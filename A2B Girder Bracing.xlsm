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D922669B-8EA6-40E9-8677-9F2384A39557}" xr6:coauthVersionLast="34" xr6:coauthVersionMax="34" xr10:uidLastSave="{00000000-0000-0000-0000-000000000000}"/>
  <bookViews>
    <workbookView xWindow="0" yWindow="0" windowWidth="23040" windowHeight="9072" xr2:uid="{E0E9EC73-8BE6-4924-B21D-C098743C4626}"/>
  </bookViews>
  <sheets>
    <sheet name="Girder Bracing Data" sheetId="3" r:id="rId1"/>
    <sheet name="Intermediate" sheetId="5" r:id="rId2"/>
    <sheet name="FEM" sheetId="1" r:id="rId3"/>
    <sheet name="Output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N10" i="1"/>
  <c r="N11" i="1"/>
  <c r="N12" i="1"/>
  <c r="N13" i="1"/>
  <c r="N9" i="1"/>
  <c r="O10" i="1"/>
  <c r="O11" i="1"/>
  <c r="O12" i="1"/>
  <c r="O13" i="1"/>
  <c r="O9" i="1"/>
  <c r="E9" i="5"/>
  <c r="P11" i="1" s="1"/>
  <c r="E8" i="5"/>
  <c r="E7" i="5"/>
  <c r="P9" i="1" l="1"/>
  <c r="P10" i="1"/>
  <c r="P13" i="1"/>
  <c r="P12" i="1"/>
  <c r="E6" i="5"/>
  <c r="U5" i="1" s="1"/>
  <c r="E5" i="5"/>
  <c r="E4" i="5"/>
  <c r="E3" i="5"/>
  <c r="E2" i="5"/>
  <c r="C7" i="1" s="1"/>
  <c r="B11" i="1" l="1"/>
  <c r="B12" i="1" s="1"/>
  <c r="B10" i="1"/>
  <c r="C10" i="1"/>
  <c r="C6" i="1"/>
  <c r="C11" i="1" s="1"/>
  <c r="C8" i="1"/>
  <c r="C12" i="1" s="1"/>
  <c r="C9" i="1"/>
  <c r="J6" i="1" l="1"/>
  <c r="J7" i="1" s="1"/>
  <c r="J8" i="1" s="1"/>
  <c r="J9" i="1" s="1"/>
  <c r="J10" i="1" s="1"/>
  <c r="J11" i="1" s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 s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  <c r="A7" i="1" s="1"/>
  <c r="A8" i="1" s="1"/>
  <c r="A9" i="1" s="1"/>
  <c r="A10" i="1" s="1"/>
  <c r="A11" i="1" s="1"/>
  <c r="A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<sst xmlns="http://schemas.openxmlformats.org/spreadsheetml/2006/main" count="67" uniqueCount="45">
  <si>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</si>
  <si>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</si>
  <si>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</si>
  <si>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</si>
  <si>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</si>
  <si>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</si>
  <si>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</si>
  <si>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</si>
  <si>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</si>
  <si>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</si>
  <si>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</si>
  <si>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</si>
  <si>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</si>
  <si>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</si>
  <si>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</si>
  <si>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</si>
  <si>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</si>
  <si>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</si>
  <si>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</si>
  <si>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</si>
  <si>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</si>
  <si>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</si>
  <si>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H</t>
  </si>
  <si>
    <t>s</t>
  </si>
  <si>
    <t>dt</t>
  </si>
  <si>
    <t>db</t>
  </si>
  <si>
    <t>OM</t>
  </si>
  <si>
    <t>Analysis #</t>
  </si>
  <si>
    <t>=</t>
  </si>
  <si>
    <t>in</t>
  </si>
  <si>
    <t>ft</t>
  </si>
  <si>
    <t>ft*kip</t>
  </si>
  <si>
    <t>ksi</t>
  </si>
  <si>
    <t>in^2</t>
  </si>
  <si>
    <t>in^4</t>
  </si>
  <si>
    <t>kip*in</t>
  </si>
  <si>
    <t>Overturning Moment           (ft-kip)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</si>
  <si>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</si>
  <si>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</si>
  <si>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</si>
  <si>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Distance from bottom of bottom flange to girder bracing (in)</t>
  </si>
  <si>
    <t>Distance from top of flange to girder bracing (in)</t>
  </si>
  <si>
    <t>Girder Spacing                      (ft)</t>
  </si>
  <si>
    <t>Girder Height (in)</t>
  </si>
  <si>
    <t>Analysis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</si>
</sst>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0</xdr:row>
          <xdr:rowOff>38100</xdr:rowOff>
        </xdr:from>
        <xdr:to>
          <xdr:col>9</xdr:col>
          <xdr:colOff>571500</xdr:colOff>
          <xdr:row>0</xdr:row>
          <xdr:rowOff>632460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FE87D5C-8977-46F4-B511-3D7C93DE6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41364</xdr:colOff>
          <xdr:row>0</xdr:row>
          <xdr:rowOff>52250</xdr:rowOff>
        </xdr:from>
        <xdr:to>
          <xdr:col>13</xdr:col>
          <xdr:colOff>185055</xdr:colOff>
          <xdr:row>0</xdr:row>
          <xdr:rowOff>304799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0CF7CD3-E016-4190-9348-C57C62B2B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I5"/>
  <sheetViews>
    <sheetView tabSelected="1" workbookViewId="0">
      <selection activeCell="D15" sqref="D15"/>
    </sheetView>
  </sheetViews>
  <sheetFormatPr defaultRowHeight="14.4" x14ac:dyDescent="0.3"/>
  <cols>
    <col min="1" max="3" width="8.88671875" style="12"/>
    <col min="4" max="4" width="18.88671875" style="12" customWidth="1"/>
    <col min="5" max="5" width="19.6640625" style="12" customWidth="1"/>
    <col min="6" max="6" width="14.21875" style="12" customWidth="1"/>
    <col min="7" max="9" width="8.88671875" style="12"/>
  </cols>
  <sheetData>
    <row r="1" spans="1:9" s="11" customFormat="1" ht="53.4" customHeight="1" x14ac:dyDescent="0.3">
      <c r="A1" s="7" t="s">
        <v>27</v>
      </c>
      <c r="B1" s="7" t="s">
        <v>43</v>
      </c>
      <c r="C1" s="7" t="s">
        <v>42</v>
      </c>
      <c r="D1" s="7" t="s">
        <v>41</v>
      </c>
      <c r="E1" s="7" t="s">
        <v>40</v>
      </c>
      <c r="F1" s="7" t="s">
        <v>36</v>
      </c>
      <c r="G1" s="7" t="s">
        <v>37</v>
      </c>
      <c r="H1" s="7" t="s">
        <v>38</v>
      </c>
      <c r="I1" s="7" t="s">
        <v>39</v>
      </c>
    </row>
    <row r="2" spans="1:9" x14ac:dyDescent="0.3">
      <c r="A2" s="12">
        <v>1</v>
      </c>
      <c r="B2" s="12">
        <v>54</v>
      </c>
      <c r="C2" s="12">
        <v>7</v>
      </c>
      <c r="D2" s="12">
        <v>12</v>
      </c>
      <c r="E2" s="12">
        <v>12</v>
      </c>
      <c r="F2" s="12">
        <v>50</v>
      </c>
      <c r="G2" s="12">
        <v>29000</v>
      </c>
      <c r="H2" s="12">
        <v>5</v>
      </c>
      <c r="I2" s="12">
        <v>50</v>
      </c>
    </row>
    <row r="3" spans="1:9" x14ac:dyDescent="0.3">
      <c r="A3" s="12">
        <v>2</v>
      </c>
      <c r="B3" s="12">
        <v>54</v>
      </c>
      <c r="C3" s="12">
        <v>7.33</v>
      </c>
      <c r="D3" s="12">
        <v>12</v>
      </c>
      <c r="E3" s="12">
        <v>12</v>
      </c>
      <c r="F3" s="12">
        <v>60</v>
      </c>
      <c r="G3" s="12">
        <v>29000</v>
      </c>
      <c r="H3" s="12">
        <v>5</v>
      </c>
      <c r="I3" s="12">
        <v>50</v>
      </c>
    </row>
    <row r="4" spans="1:9" x14ac:dyDescent="0.3">
      <c r="A4" s="12">
        <v>3</v>
      </c>
      <c r="B4" s="12">
        <v>54</v>
      </c>
      <c r="C4" s="12">
        <v>6.5</v>
      </c>
      <c r="D4" s="12">
        <v>12</v>
      </c>
      <c r="E4" s="12">
        <v>12</v>
      </c>
      <c r="F4" s="12">
        <v>70</v>
      </c>
      <c r="G4" s="12">
        <v>29000</v>
      </c>
      <c r="H4" s="12">
        <v>5</v>
      </c>
      <c r="I4" s="12">
        <v>50</v>
      </c>
    </row>
    <row r="5" spans="1:9" x14ac:dyDescent="0.3">
      <c r="A5" s="12">
        <v>4</v>
      </c>
      <c r="B5" s="12">
        <v>48</v>
      </c>
      <c r="C5" s="12">
        <v>7</v>
      </c>
      <c r="D5" s="12">
        <v>12</v>
      </c>
      <c r="E5" s="12">
        <v>12</v>
      </c>
      <c r="F5" s="12">
        <v>50</v>
      </c>
      <c r="G5" s="12">
        <v>29000</v>
      </c>
      <c r="H5" s="12">
        <v>5</v>
      </c>
      <c r="I5" s="12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irderBracing">
                <anchor moveWithCells="1" sizeWithCells="1">
                  <from>
                    <xdr:col>9</xdr:col>
                    <xdr:colOff>53340</xdr:colOff>
                    <xdr:row>0</xdr:row>
                    <xdr:rowOff>38100</xdr:rowOff>
                  </from>
                  <to>
                    <xdr:col>9</xdr:col>
                    <xdr:colOff>571500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/>
  <dimension ref="A1:F9"/>
  <sheetViews>
    <sheetView workbookViewId="0">
      <selection activeCell="F19" sqref="F19"/>
    </sheetView>
  </sheetViews>
  <sheetFormatPr defaultRowHeight="14.4" x14ac:dyDescent="0.3"/>
  <cols>
    <col min="1" max="1" width="13.5546875" customWidth="1"/>
    <col min="2" max="2" width="4" style="12" customWidth="1"/>
  </cols>
  <sheetData>
    <row r="1" spans="1:6" x14ac:dyDescent="0.3">
      <c r="A1" t="s">
        <v>44</v>
      </c>
      <c r="B1" s="12" t="s">
        <v>28</v>
      </c>
      <c r="C1">
        <v>4</v>
      </c>
    </row>
    <row r="2" spans="1:6" x14ac:dyDescent="0.3">
      <c r="A2" t="s">
        <v>22</v>
      </c>
      <c r="B2" s="12" t="s">
        <v>28</v>
      </c>
      <c r="C2">
        <v>48</v>
      </c>
      <c r="D2" t="s">
        <v>29</v>
      </c>
      <c r="E2">
        <f>C2</f>
        <v>48</v>
      </c>
      <c r="F2" s="12" t="s">
        <v>29</v>
      </c>
    </row>
    <row r="3" spans="1:6" x14ac:dyDescent="0.3">
      <c r="A3" t="s">
        <v>23</v>
      </c>
      <c r="B3" s="12" t="s">
        <v>28</v>
      </c>
      <c r="C3">
        <v>7</v>
      </c>
      <c r="D3" t="s">
        <v>30</v>
      </c>
      <c r="E3">
        <f>C3*12</f>
        <v>84</v>
      </c>
      <c r="F3" s="12" t="s">
        <v>29</v>
      </c>
    </row>
    <row r="4" spans="1:6" x14ac:dyDescent="0.3">
      <c r="A4" t="s">
        <v>24</v>
      </c>
      <c r="B4" s="12" t="s">
        <v>28</v>
      </c>
      <c r="C4">
        <v>12</v>
      </c>
      <c r="D4" t="s">
        <v>29</v>
      </c>
      <c r="E4">
        <f>C4</f>
        <v>12</v>
      </c>
      <c r="F4" s="12" t="s">
        <v>29</v>
      </c>
    </row>
    <row r="5" spans="1:6" x14ac:dyDescent="0.3">
      <c r="A5" t="s">
        <v>25</v>
      </c>
      <c r="B5" s="12" t="s">
        <v>28</v>
      </c>
      <c r="C5">
        <v>12</v>
      </c>
      <c r="D5" t="s">
        <v>29</v>
      </c>
      <c r="E5">
        <f>C5</f>
        <v>12</v>
      </c>
      <c r="F5" s="12" t="s">
        <v>29</v>
      </c>
    </row>
    <row r="6" spans="1:6" x14ac:dyDescent="0.3">
      <c r="A6" t="s">
        <v>26</v>
      </c>
      <c r="B6" s="12" t="s">
        <v>28</v>
      </c>
      <c r="C6">
        <v>50</v>
      </c>
      <c r="D6" t="s">
        <v>31</v>
      </c>
      <c r="E6">
        <f>C6*12</f>
        <v>600</v>
      </c>
      <c r="F6" t="s">
        <v>35</v>
      </c>
    </row>
    <row r="7" spans="1:6" x14ac:dyDescent="0.3">
      <c r="A7" t="s">
        <v>19</v>
      </c>
      <c r="B7" s="12" t="s">
        <v>28</v>
      </c>
      <c r="C7">
        <v>29000</v>
      </c>
      <c r="D7" t="s">
        <v>32</v>
      </c>
      <c r="E7">
        <f>C7</f>
        <v>29000</v>
      </c>
      <c r="F7" t="s">
        <v>32</v>
      </c>
    </row>
    <row r="8" spans="1:6" x14ac:dyDescent="0.3">
      <c r="A8" t="s">
        <v>20</v>
      </c>
      <c r="B8" s="12" t="s">
        <v>28</v>
      </c>
      <c r="C8">
        <v>5</v>
      </c>
      <c r="D8" t="s">
        <v>33</v>
      </c>
      <c r="E8">
        <f>C8</f>
        <v>5</v>
      </c>
      <c r="F8" t="s">
        <v>33</v>
      </c>
    </row>
    <row r="9" spans="1:6" x14ac:dyDescent="0.3">
      <c r="A9" t="s">
        <v>21</v>
      </c>
      <c r="B9" s="12" t="s">
        <v>28</v>
      </c>
      <c r="C9">
        <v>50</v>
      </c>
      <c r="D9" t="s">
        <v>34</v>
      </c>
      <c r="E9">
        <f>C9</f>
        <v>50</v>
      </c>
      <c r="F9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zoomScale="70" zoomScaleNormal="70" workbookViewId="0">
      <selection activeCell="R6" sqref="R6"/>
    </sheetView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0" t="str">
        <f>_xlfn.CONCAT("Analysis",Intermediate!C1)</f>
        <v>Analysis4</v>
      </c>
      <c r="C1" s="10"/>
      <c r="D1" s="10"/>
      <c r="E1" s="10"/>
      <c r="G1" s="6" t="s">
        <v>17</v>
      </c>
    </row>
    <row r="3" spans="1:21" s="3" customFormat="1" ht="28.8" customHeight="1" x14ac:dyDescent="0.3">
      <c r="A3" s="8" t="s">
        <v>0</v>
      </c>
      <c r="B3" s="8"/>
      <c r="C3" s="8"/>
      <c r="E3" s="9" t="s">
        <v>7</v>
      </c>
      <c r="F3" s="9"/>
      <c r="G3" s="9"/>
      <c r="H3" s="9"/>
      <c r="J3" s="8" t="s">
        <v>11</v>
      </c>
      <c r="K3" s="8"/>
      <c r="L3" s="8"/>
      <c r="M3" s="8"/>
      <c r="N3" s="8"/>
      <c r="O3" s="8"/>
      <c r="P3" s="8"/>
      <c r="R3" s="8" t="s">
        <v>15</v>
      </c>
      <c r="S3" s="8"/>
      <c r="T3" s="8"/>
      <c r="U3" s="8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Intermediate!E6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7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Intermediate!E2/2</f>
        <v>24</v>
      </c>
      <c r="E7" s="1">
        <v>8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8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(Intermediate!E3-3.5)/2</f>
        <v>40.25</v>
      </c>
      <c r="C10" s="2">
        <f>Intermediate!E5+(Intermediate!E2-Intermediate!E5-Intermediate!E4)/2</f>
        <v>24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(Intermediate!E3-3.5)</f>
        <v>80.5</v>
      </c>
      <c r="C11" s="2">
        <f>C6</f>
        <v>12</v>
      </c>
      <c r="J11" s="1">
        <f t="shared" si="0"/>
        <v>7</v>
      </c>
      <c r="K11" s="1">
        <v>6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>
        <f t="shared" si="1"/>
        <v>8</v>
      </c>
      <c r="B12" s="2">
        <f>B11</f>
        <v>80.5</v>
      </c>
      <c r="C12" s="2">
        <f>C8</f>
        <v>36</v>
      </c>
      <c r="J12" s="1">
        <f t="shared" si="0"/>
        <v>8</v>
      </c>
      <c r="K12" s="1">
        <v>2</v>
      </c>
      <c r="L12" s="1">
        <v>6</v>
      </c>
      <c r="M12" s="1">
        <v>0</v>
      </c>
      <c r="N12" s="1">
        <f>Intermediate!$C$7</f>
        <v>29000</v>
      </c>
      <c r="O12" s="1">
        <f>Intermediate!$C$8</f>
        <v>5</v>
      </c>
      <c r="P12" s="1">
        <f>Intermediate!$E$9</f>
        <v>50</v>
      </c>
    </row>
    <row r="13" spans="1:21" x14ac:dyDescent="0.3">
      <c r="A13" s="1" t="str">
        <f t="shared" si="1"/>
        <v/>
      </c>
      <c r="B13" s="2"/>
      <c r="C13" s="2"/>
      <c r="J13" s="1">
        <f t="shared" si="0"/>
        <v>9</v>
      </c>
      <c r="K13" s="1">
        <v>6</v>
      </c>
      <c r="L13" s="1">
        <v>8</v>
      </c>
      <c r="M13" s="1">
        <v>0</v>
      </c>
      <c r="N13" s="1">
        <f>Intermediate!$C$7</f>
        <v>29000</v>
      </c>
      <c r="O13" s="1">
        <f>Intermediate!$C$8</f>
        <v>5</v>
      </c>
      <c r="P13" s="1">
        <f>Intermediate!$E$9</f>
        <v>50</v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nalyze">
                <anchor moveWithCells="1" sizeWithCells="1">
                  <from>
                    <xdr:col>11</xdr:col>
                    <xdr:colOff>38100</xdr:colOff>
                    <xdr:row>0</xdr:row>
                    <xdr:rowOff>53340</xdr:rowOff>
                  </from>
                  <to>
                    <xdr:col>13</xdr:col>
                    <xdr:colOff>182880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"/>
  <sheetViews>
    <sheetView workbookViewId="0">
      <selection activeCell="C30" sqref="C30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Girder Bracing Data</vt:lpstr>
      <vt:lpstr>Intermediate</vt:lpstr>
      <vt:lpstr>FEM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2018-09-07T19:51:14Z</dcterms:modified>
</cp:coreProperties>
</file>