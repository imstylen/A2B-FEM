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xls" ContentType="application/vnd.ms-excel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el Work\Desktop\BBRS\130-17\"/>
    </mc:Choice>
  </mc:AlternateContent>
  <xr:revisionPtr revIDLastSave="0" documentId="13_ncr:1_{B0A40670-33C2-421A-B072-AA12D973191B}" xr6:coauthVersionLast="37" xr6:coauthVersionMax="37" xr10:uidLastSave="{00000000-0000-0000-0000-000000000000}"/>
  <bookViews>
    <workbookView xWindow="0" yWindow="0" windowWidth="23040" windowHeight="9780" firstSheet="1" activeTab="8" xr2:uid="{E0E9EC73-8BE6-4924-B21D-C098743C4626}"/>
  </bookViews>
  <sheets>
    <sheet name="Cover" sheetId="14" r:id="rId1"/>
    <sheet name="Girder Bracing Data" sheetId="3" r:id="rId2"/>
    <sheet name="Index" sheetId="15" r:id="rId3"/>
    <sheet name="Output" sheetId="4" r:id="rId4"/>
    <sheet name="PreDesign" sheetId="11" r:id="rId5"/>
    <sheet name="Intermediate" sheetId="5" r:id="rId6"/>
    <sheet name="FEM" sheetId="1" r:id="rId7"/>
    <sheet name="FEM (2)" sheetId="6" r:id="rId8"/>
    <sheet name="FEM (3)" sheetId="7" r:id="rId9"/>
    <sheet name="EFCO" sheetId="10" r:id="rId10"/>
    <sheet name="EFCO-Capacity (MIKE)" sheetId="13" r:id="rId11"/>
    <sheet name="Design" sheetId="12" r:id="rId12"/>
  </sheets>
  <functionGroups builtInGroupCount="19"/>
  <definedNames>
    <definedName name="ExternalData_2" localSheetId="3">Output!#REF!</definedName>
    <definedName name="ExternalData_3" localSheetId="3">Output!#REF!</definedName>
    <definedName name="ExternalData_4" localSheetId="3">Output!#REF!</definedName>
    <definedName name="ExternalData_5" localSheetId="3">Output!#REF!</definedName>
    <definedName name="ExternalData_6" localSheetId="3">Output!#REF!</definedName>
    <definedName name="ExternalData_7" localSheetId="3">Output!#REF!</definedName>
    <definedName name="ExternalData_8" localSheetId="3">Output!#REF!</definedName>
    <definedName name="ExternalData_9" localSheetId="3">Output!#REF!</definedName>
    <definedName name="_xlnm.Print_Area" localSheetId="0">Cover!$A$1:$K$47</definedName>
    <definedName name="_xlnm.Print_Area" localSheetId="11">Design!$A$1:$I$118</definedName>
    <definedName name="_xlnm.Print_Area" localSheetId="10">'EFCO-Capacity (MIKE)'!$A$1:$Q$55</definedName>
    <definedName name="_xlnm.Print_Area" localSheetId="2">Index!$A$1:$K$34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8" i="15" l="1"/>
  <c r="B9" i="15"/>
  <c r="B10" i="15"/>
  <c r="B11" i="15"/>
  <c r="B12" i="15"/>
  <c r="B13" i="15"/>
  <c r="B14" i="15"/>
  <c r="B15" i="15"/>
  <c r="B16" i="15"/>
  <c r="B17" i="15"/>
  <c r="B18" i="15"/>
  <c r="E96" i="11" l="1"/>
  <c r="F96" i="11"/>
  <c r="G96" i="11"/>
  <c r="H96" i="11"/>
  <c r="I96" i="11"/>
  <c r="E97" i="11"/>
  <c r="F97" i="11"/>
  <c r="G97" i="11"/>
  <c r="H97" i="11"/>
  <c r="I97" i="11"/>
  <c r="E98" i="11"/>
  <c r="F98" i="11"/>
  <c r="G98" i="11"/>
  <c r="H98" i="11"/>
  <c r="I98" i="11"/>
  <c r="E99" i="11"/>
  <c r="F99" i="11"/>
  <c r="G99" i="11"/>
  <c r="H99" i="11"/>
  <c r="I99" i="11"/>
  <c r="E100" i="11"/>
  <c r="F100" i="11"/>
  <c r="G100" i="11"/>
  <c r="H100" i="11"/>
  <c r="I100" i="11"/>
  <c r="E101" i="11"/>
  <c r="F101" i="11"/>
  <c r="G101" i="11"/>
  <c r="H101" i="11"/>
  <c r="I101" i="11"/>
  <c r="E102" i="11"/>
  <c r="F102" i="11"/>
  <c r="G102" i="11"/>
  <c r="H102" i="11"/>
  <c r="I102" i="11"/>
  <c r="E103" i="11"/>
  <c r="F103" i="11"/>
  <c r="G103" i="11"/>
  <c r="H103" i="11"/>
  <c r="I103" i="11"/>
  <c r="E104" i="11"/>
  <c r="F104" i="11"/>
  <c r="G104" i="11"/>
  <c r="H104" i="11"/>
  <c r="I104" i="11"/>
  <c r="E105" i="11"/>
  <c r="F105" i="11"/>
  <c r="G105" i="11"/>
  <c r="H105" i="11"/>
  <c r="I105" i="11"/>
  <c r="E106" i="11"/>
  <c r="F106" i="11"/>
  <c r="G106" i="11"/>
  <c r="H106" i="11"/>
  <c r="I106" i="11"/>
  <c r="E107" i="11"/>
  <c r="F107" i="11"/>
  <c r="G107" i="11"/>
  <c r="H107" i="11"/>
  <c r="I107" i="11"/>
  <c r="E108" i="11"/>
  <c r="F108" i="11"/>
  <c r="G108" i="11"/>
  <c r="H108" i="11"/>
  <c r="I108" i="11"/>
  <c r="E109" i="11"/>
  <c r="F109" i="11"/>
  <c r="G109" i="11"/>
  <c r="H109" i="11"/>
  <c r="I109" i="11"/>
  <c r="E110" i="11"/>
  <c r="F110" i="11"/>
  <c r="G110" i="11"/>
  <c r="H110" i="11"/>
  <c r="I110" i="11"/>
  <c r="E111" i="11"/>
  <c r="F111" i="11"/>
  <c r="G111" i="11"/>
  <c r="H111" i="11"/>
  <c r="I111" i="11"/>
  <c r="E112" i="11"/>
  <c r="F112" i="11"/>
  <c r="G112" i="11"/>
  <c r="H112" i="11"/>
  <c r="I112" i="11"/>
  <c r="E113" i="11"/>
  <c r="F113" i="11"/>
  <c r="G113" i="11"/>
  <c r="H113" i="11"/>
  <c r="I113" i="11"/>
  <c r="E114" i="11"/>
  <c r="F114" i="11"/>
  <c r="G114" i="11"/>
  <c r="H114" i="11"/>
  <c r="I114" i="11"/>
  <c r="E115" i="11"/>
  <c r="F115" i="11"/>
  <c r="G115" i="11"/>
  <c r="H115" i="11"/>
  <c r="I115" i="11"/>
  <c r="E116" i="11"/>
  <c r="F116" i="11"/>
  <c r="G116" i="11"/>
  <c r="H116" i="11"/>
  <c r="I116" i="11"/>
  <c r="E117" i="11"/>
  <c r="F117" i="11"/>
  <c r="G117" i="11"/>
  <c r="H117" i="11"/>
  <c r="I117" i="11"/>
  <c r="E118" i="11"/>
  <c r="F118" i="11"/>
  <c r="G118" i="11"/>
  <c r="H118" i="11"/>
  <c r="I118" i="11"/>
  <c r="E119" i="11"/>
  <c r="F119" i="11"/>
  <c r="G119" i="11"/>
  <c r="H119" i="11"/>
  <c r="I119" i="11"/>
  <c r="E120" i="11"/>
  <c r="F120" i="11"/>
  <c r="G120" i="11"/>
  <c r="H120" i="11"/>
  <c r="I120" i="11"/>
  <c r="E121" i="11"/>
  <c r="F121" i="11"/>
  <c r="G121" i="11"/>
  <c r="H121" i="11"/>
  <c r="I121" i="11"/>
  <c r="E122" i="11"/>
  <c r="F122" i="11"/>
  <c r="G122" i="11"/>
  <c r="H122" i="11"/>
  <c r="I122" i="11"/>
  <c r="E123" i="11"/>
  <c r="F123" i="11"/>
  <c r="G123" i="11"/>
  <c r="H123" i="11"/>
  <c r="I123" i="11"/>
  <c r="E124" i="11"/>
  <c r="F124" i="11"/>
  <c r="G124" i="11"/>
  <c r="H124" i="11"/>
  <c r="I124" i="11"/>
  <c r="E125" i="11"/>
  <c r="F125" i="11"/>
  <c r="G125" i="11"/>
  <c r="H125" i="11"/>
  <c r="I125" i="11"/>
  <c r="E126" i="11"/>
  <c r="F126" i="11"/>
  <c r="G126" i="11"/>
  <c r="H126" i="11"/>
  <c r="I126" i="11"/>
  <c r="E127" i="11"/>
  <c r="F127" i="11"/>
  <c r="G127" i="11"/>
  <c r="H127" i="11"/>
  <c r="I127" i="11"/>
  <c r="E128" i="11"/>
  <c r="F128" i="11"/>
  <c r="G128" i="11"/>
  <c r="H128" i="11"/>
  <c r="I128" i="11"/>
  <c r="E129" i="11"/>
  <c r="F129" i="11"/>
  <c r="G129" i="11"/>
  <c r="H129" i="11"/>
  <c r="I129" i="11"/>
  <c r="E130" i="11"/>
  <c r="F130" i="11"/>
  <c r="G130" i="11"/>
  <c r="H130" i="11"/>
  <c r="I130" i="11"/>
  <c r="E131" i="11"/>
  <c r="F131" i="11"/>
  <c r="G131" i="11"/>
  <c r="H131" i="11"/>
  <c r="I131" i="11"/>
  <c r="E132" i="11"/>
  <c r="F132" i="11"/>
  <c r="G132" i="11"/>
  <c r="H132" i="11"/>
  <c r="I132" i="11"/>
  <c r="E133" i="11"/>
  <c r="F133" i="11"/>
  <c r="G133" i="11"/>
  <c r="H133" i="11"/>
  <c r="I133" i="11"/>
  <c r="E134" i="11"/>
  <c r="F134" i="11"/>
  <c r="G134" i="11"/>
  <c r="H134" i="11"/>
  <c r="I134" i="11"/>
  <c r="E135" i="11"/>
  <c r="F135" i="11"/>
  <c r="G135" i="11"/>
  <c r="H135" i="11"/>
  <c r="I135" i="11"/>
  <c r="E136" i="11"/>
  <c r="F136" i="11"/>
  <c r="G136" i="11"/>
  <c r="H136" i="11"/>
  <c r="I136" i="11"/>
  <c r="E137" i="11"/>
  <c r="F137" i="11"/>
  <c r="G137" i="11"/>
  <c r="H137" i="11"/>
  <c r="I137" i="11"/>
  <c r="E138" i="11"/>
  <c r="F138" i="11"/>
  <c r="G138" i="11"/>
  <c r="H138" i="11"/>
  <c r="I138" i="11"/>
  <c r="E139" i="11"/>
  <c r="F139" i="11"/>
  <c r="G139" i="11"/>
  <c r="H139" i="11"/>
  <c r="I139" i="11"/>
  <c r="E140" i="11"/>
  <c r="F140" i="11"/>
  <c r="G140" i="11"/>
  <c r="H140" i="11"/>
  <c r="I140" i="11"/>
  <c r="E141" i="11"/>
  <c r="F141" i="11"/>
  <c r="G141" i="11"/>
  <c r="H141" i="11"/>
  <c r="I141" i="11"/>
  <c r="E142" i="11"/>
  <c r="F142" i="11"/>
  <c r="G142" i="11"/>
  <c r="H142" i="11"/>
  <c r="I142" i="11"/>
  <c r="E143" i="11"/>
  <c r="F143" i="11"/>
  <c r="G143" i="11"/>
  <c r="H143" i="11"/>
  <c r="I143" i="11"/>
  <c r="E144" i="11"/>
  <c r="F144" i="11"/>
  <c r="G144" i="11"/>
  <c r="H144" i="11"/>
  <c r="I144" i="11"/>
  <c r="E145" i="11"/>
  <c r="F145" i="11"/>
  <c r="G145" i="11"/>
  <c r="H145" i="11"/>
  <c r="I145" i="11"/>
  <c r="E146" i="11"/>
  <c r="F146" i="11"/>
  <c r="G146" i="11"/>
  <c r="H146" i="11"/>
  <c r="I146" i="11"/>
  <c r="E147" i="11"/>
  <c r="F147" i="11"/>
  <c r="G147" i="11"/>
  <c r="H147" i="11"/>
  <c r="I147" i="11"/>
  <c r="E148" i="11"/>
  <c r="F148" i="11"/>
  <c r="G148" i="11"/>
  <c r="H148" i="11"/>
  <c r="I148" i="11"/>
  <c r="E149" i="11"/>
  <c r="F149" i="11"/>
  <c r="G149" i="11"/>
  <c r="H149" i="11"/>
  <c r="I149" i="11"/>
  <c r="E150" i="11"/>
  <c r="F150" i="11"/>
  <c r="G150" i="11"/>
  <c r="H150" i="11"/>
  <c r="I150" i="11"/>
  <c r="E151" i="11"/>
  <c r="F151" i="11"/>
  <c r="G151" i="11"/>
  <c r="H151" i="11"/>
  <c r="I151" i="11"/>
  <c r="E152" i="11"/>
  <c r="F152" i="11"/>
  <c r="G152" i="11"/>
  <c r="H152" i="11"/>
  <c r="I152" i="11"/>
  <c r="E153" i="11"/>
  <c r="F153" i="11"/>
  <c r="G153" i="11"/>
  <c r="H153" i="11"/>
  <c r="I153" i="11"/>
  <c r="E154" i="11"/>
  <c r="F154" i="11"/>
  <c r="G154" i="11"/>
  <c r="H154" i="11"/>
  <c r="I154" i="11"/>
  <c r="E155" i="11"/>
  <c r="F155" i="11"/>
  <c r="G155" i="11"/>
  <c r="H155" i="11"/>
  <c r="I155" i="11"/>
  <c r="E156" i="11"/>
  <c r="F156" i="11"/>
  <c r="G156" i="11"/>
  <c r="H156" i="11"/>
  <c r="I156" i="11"/>
  <c r="E157" i="11"/>
  <c r="F157" i="11"/>
  <c r="G157" i="11"/>
  <c r="H157" i="11"/>
  <c r="I157" i="11"/>
  <c r="E158" i="11"/>
  <c r="F158" i="11"/>
  <c r="G158" i="11"/>
  <c r="H158" i="11"/>
  <c r="I158" i="11"/>
  <c r="E159" i="11"/>
  <c r="F159" i="11"/>
  <c r="G159" i="11"/>
  <c r="H159" i="11"/>
  <c r="I159" i="11"/>
  <c r="E160" i="11"/>
  <c r="F160" i="11"/>
  <c r="G160" i="11"/>
  <c r="H160" i="11"/>
  <c r="I160" i="11"/>
  <c r="E161" i="11"/>
  <c r="F161" i="11"/>
  <c r="G161" i="11"/>
  <c r="H161" i="11"/>
  <c r="I161" i="11"/>
  <c r="E162" i="11"/>
  <c r="F162" i="11"/>
  <c r="G162" i="11"/>
  <c r="H162" i="11"/>
  <c r="I162" i="11"/>
  <c r="E163" i="11"/>
  <c r="F163" i="11"/>
  <c r="G163" i="11"/>
  <c r="H163" i="11"/>
  <c r="I163" i="11"/>
  <c r="E164" i="11"/>
  <c r="F164" i="11"/>
  <c r="G164" i="11"/>
  <c r="H164" i="11"/>
  <c r="I164" i="11"/>
  <c r="E165" i="11"/>
  <c r="F165" i="11"/>
  <c r="G165" i="11"/>
  <c r="H165" i="11"/>
  <c r="I165" i="11"/>
  <c r="E166" i="11"/>
  <c r="F166" i="11"/>
  <c r="G166" i="11"/>
  <c r="H166" i="11"/>
  <c r="I166" i="11"/>
  <c r="E167" i="11"/>
  <c r="F167" i="11"/>
  <c r="G167" i="11"/>
  <c r="H167" i="11"/>
  <c r="I167" i="11"/>
  <c r="E168" i="11"/>
  <c r="F168" i="11"/>
  <c r="G168" i="11"/>
  <c r="H168" i="11"/>
  <c r="I168" i="11"/>
  <c r="E169" i="11"/>
  <c r="F169" i="11"/>
  <c r="G169" i="11"/>
  <c r="H169" i="11"/>
  <c r="I169" i="11"/>
  <c r="E170" i="11"/>
  <c r="F170" i="11"/>
  <c r="G170" i="11"/>
  <c r="H170" i="11"/>
  <c r="I170" i="11"/>
  <c r="E171" i="11"/>
  <c r="F171" i="11"/>
  <c r="G171" i="11"/>
  <c r="H171" i="11"/>
  <c r="I171" i="11"/>
  <c r="E172" i="11"/>
  <c r="F172" i="11"/>
  <c r="G172" i="11"/>
  <c r="H172" i="11"/>
  <c r="I172" i="11"/>
  <c r="E173" i="11"/>
  <c r="F173" i="11"/>
  <c r="G173" i="11"/>
  <c r="H173" i="11"/>
  <c r="I173" i="11"/>
  <c r="E174" i="11"/>
  <c r="F174" i="11"/>
  <c r="G174" i="11"/>
  <c r="H174" i="11"/>
  <c r="I174" i="11"/>
  <c r="E175" i="11"/>
  <c r="F175" i="11"/>
  <c r="G175" i="11"/>
  <c r="H175" i="11"/>
  <c r="I175" i="11"/>
  <c r="E176" i="11"/>
  <c r="F176" i="11"/>
  <c r="G176" i="11"/>
  <c r="H176" i="11"/>
  <c r="I176" i="11"/>
  <c r="E177" i="11"/>
  <c r="F177" i="11"/>
  <c r="G177" i="11"/>
  <c r="H177" i="11"/>
  <c r="I177" i="11"/>
  <c r="E178" i="11"/>
  <c r="F178" i="11"/>
  <c r="G178" i="11"/>
  <c r="H178" i="11"/>
  <c r="I178" i="11"/>
  <c r="E179" i="11"/>
  <c r="F179" i="11"/>
  <c r="G179" i="11"/>
  <c r="H179" i="11"/>
  <c r="I179" i="11"/>
  <c r="E180" i="11"/>
  <c r="F180" i="11"/>
  <c r="G180" i="11"/>
  <c r="H180" i="11"/>
  <c r="I180" i="11"/>
  <c r="E181" i="11"/>
  <c r="F181" i="11"/>
  <c r="G181" i="11"/>
  <c r="H181" i="11"/>
  <c r="I181" i="11"/>
  <c r="E182" i="11"/>
  <c r="F182" i="11"/>
  <c r="G182" i="11"/>
  <c r="H182" i="11"/>
  <c r="I182" i="11"/>
  <c r="E183" i="11"/>
  <c r="F183" i="11"/>
  <c r="G183" i="11"/>
  <c r="H183" i="11"/>
  <c r="I183" i="11"/>
  <c r="E184" i="11"/>
  <c r="F184" i="11"/>
  <c r="G184" i="11"/>
  <c r="H184" i="11"/>
  <c r="I184" i="11"/>
  <c r="E185" i="11"/>
  <c r="F185" i="11"/>
  <c r="G185" i="11"/>
  <c r="H185" i="11"/>
  <c r="I185" i="11"/>
  <c r="E186" i="11"/>
  <c r="F186" i="11"/>
  <c r="G186" i="11"/>
  <c r="H186" i="11"/>
  <c r="I186" i="11"/>
  <c r="E187" i="11"/>
  <c r="F187" i="11"/>
  <c r="G187" i="11"/>
  <c r="H187" i="11"/>
  <c r="I187" i="11"/>
  <c r="E188" i="11"/>
  <c r="F188" i="11"/>
  <c r="G188" i="11"/>
  <c r="H188" i="11"/>
  <c r="I188" i="11"/>
  <c r="E189" i="11"/>
  <c r="F189" i="11"/>
  <c r="G189" i="11"/>
  <c r="H189" i="11"/>
  <c r="I189" i="11"/>
  <c r="E190" i="11"/>
  <c r="F190" i="11"/>
  <c r="G190" i="11"/>
  <c r="H190" i="11"/>
  <c r="I190" i="11"/>
  <c r="E191" i="11"/>
  <c r="F191" i="11"/>
  <c r="G191" i="11"/>
  <c r="H191" i="11"/>
  <c r="I191" i="11"/>
  <c r="E192" i="11"/>
  <c r="F192" i="11"/>
  <c r="G192" i="11"/>
  <c r="H192" i="11"/>
  <c r="I192" i="11"/>
  <c r="E193" i="11"/>
  <c r="F193" i="11"/>
  <c r="G193" i="11"/>
  <c r="H193" i="11"/>
  <c r="I193" i="11"/>
  <c r="E194" i="11"/>
  <c r="F194" i="11"/>
  <c r="G194" i="11"/>
  <c r="H194" i="11"/>
  <c r="I194" i="11"/>
  <c r="E195" i="11"/>
  <c r="F195" i="11"/>
  <c r="G195" i="11"/>
  <c r="H195" i="11"/>
  <c r="I195" i="11"/>
  <c r="E196" i="11"/>
  <c r="F196" i="11"/>
  <c r="G196" i="11"/>
  <c r="H196" i="11"/>
  <c r="I196" i="11"/>
  <c r="E197" i="11"/>
  <c r="F197" i="11"/>
  <c r="G197" i="11"/>
  <c r="H197" i="11"/>
  <c r="I197" i="11"/>
  <c r="E198" i="11"/>
  <c r="F198" i="11"/>
  <c r="G198" i="11"/>
  <c r="H198" i="11"/>
  <c r="I198" i="11"/>
  <c r="E199" i="11"/>
  <c r="F199" i="11"/>
  <c r="G199" i="11"/>
  <c r="H199" i="11"/>
  <c r="I199" i="11"/>
  <c r="E200" i="11"/>
  <c r="F200" i="11"/>
  <c r="G200" i="11"/>
  <c r="H200" i="11"/>
  <c r="I200" i="11"/>
  <c r="E201" i="11"/>
  <c r="F201" i="11"/>
  <c r="G201" i="11"/>
  <c r="H201" i="11"/>
  <c r="I201" i="11"/>
  <c r="E202" i="11"/>
  <c r="F202" i="11"/>
  <c r="G202" i="11"/>
  <c r="H202" i="11"/>
  <c r="I202" i="11"/>
  <c r="E203" i="11"/>
  <c r="F203" i="11"/>
  <c r="G203" i="11"/>
  <c r="H203" i="11"/>
  <c r="I203" i="11"/>
  <c r="E204" i="11"/>
  <c r="F204" i="11"/>
  <c r="G204" i="11"/>
  <c r="H204" i="11"/>
  <c r="I204" i="11"/>
  <c r="E205" i="11"/>
  <c r="F205" i="11"/>
  <c r="G205" i="11"/>
  <c r="H205" i="11"/>
  <c r="I205" i="11"/>
  <c r="E206" i="11"/>
  <c r="F206" i="11"/>
  <c r="G206" i="11"/>
  <c r="H206" i="11"/>
  <c r="I206" i="11"/>
  <c r="E207" i="11"/>
  <c r="F207" i="11"/>
  <c r="G207" i="11"/>
  <c r="H207" i="11"/>
  <c r="I207" i="11"/>
  <c r="E208" i="11"/>
  <c r="F208" i="11"/>
  <c r="G208" i="11"/>
  <c r="H208" i="11"/>
  <c r="I208" i="11"/>
  <c r="E209" i="11"/>
  <c r="F209" i="11"/>
  <c r="G209" i="11"/>
  <c r="H209" i="11"/>
  <c r="I209" i="11"/>
  <c r="E210" i="11"/>
  <c r="F210" i="11"/>
  <c r="G210" i="11"/>
  <c r="H210" i="11"/>
  <c r="I210" i="11"/>
  <c r="E211" i="11"/>
  <c r="F211" i="11"/>
  <c r="G211" i="11"/>
  <c r="H211" i="11"/>
  <c r="I211" i="11"/>
  <c r="E212" i="11"/>
  <c r="F212" i="11"/>
  <c r="G212" i="11"/>
  <c r="H212" i="11"/>
  <c r="I212" i="11"/>
  <c r="E213" i="11"/>
  <c r="F213" i="11"/>
  <c r="G213" i="11"/>
  <c r="H213" i="11"/>
  <c r="I213" i="11"/>
  <c r="E214" i="11"/>
  <c r="F214" i="11"/>
  <c r="G214" i="11"/>
  <c r="H214" i="11"/>
  <c r="I214" i="11"/>
  <c r="E215" i="11"/>
  <c r="F215" i="11"/>
  <c r="G215" i="11"/>
  <c r="H215" i="11"/>
  <c r="I215" i="11"/>
  <c r="E216" i="11"/>
  <c r="F216" i="11"/>
  <c r="G216" i="11"/>
  <c r="H216" i="11"/>
  <c r="I216" i="11"/>
  <c r="E217" i="11"/>
  <c r="F217" i="11"/>
  <c r="G217" i="11"/>
  <c r="H217" i="11"/>
  <c r="I217" i="11"/>
  <c r="E218" i="11"/>
  <c r="F218" i="11"/>
  <c r="G218" i="11"/>
  <c r="H218" i="11"/>
  <c r="I218" i="11"/>
  <c r="E219" i="11"/>
  <c r="F219" i="11"/>
  <c r="G219" i="11"/>
  <c r="H219" i="11"/>
  <c r="I219" i="11"/>
  <c r="E220" i="11"/>
  <c r="F220" i="11"/>
  <c r="G220" i="11"/>
  <c r="H220" i="11"/>
  <c r="I220" i="11"/>
  <c r="E221" i="11"/>
  <c r="F221" i="11"/>
  <c r="G221" i="11"/>
  <c r="H221" i="11"/>
  <c r="I221" i="11"/>
  <c r="E222" i="11"/>
  <c r="F222" i="11"/>
  <c r="G222" i="11"/>
  <c r="H222" i="11"/>
  <c r="I222" i="11"/>
  <c r="E223" i="11"/>
  <c r="F223" i="11"/>
  <c r="G223" i="11"/>
  <c r="H223" i="11"/>
  <c r="I223" i="11"/>
  <c r="E224" i="11"/>
  <c r="F224" i="11"/>
  <c r="G224" i="11"/>
  <c r="H224" i="11"/>
  <c r="I224" i="11"/>
  <c r="E225" i="11"/>
  <c r="F225" i="11"/>
  <c r="G225" i="11"/>
  <c r="H225" i="11"/>
  <c r="I225" i="11"/>
  <c r="E226" i="11"/>
  <c r="F226" i="11"/>
  <c r="G226" i="11"/>
  <c r="H226" i="11"/>
  <c r="I226" i="11"/>
  <c r="E227" i="11"/>
  <c r="F227" i="11"/>
  <c r="G227" i="11"/>
  <c r="H227" i="11"/>
  <c r="I227" i="11"/>
  <c r="E228" i="11"/>
  <c r="F228" i="11"/>
  <c r="G228" i="11"/>
  <c r="H228" i="11"/>
  <c r="I228" i="11"/>
  <c r="E229" i="11"/>
  <c r="F229" i="11"/>
  <c r="G229" i="11"/>
  <c r="H229" i="11"/>
  <c r="I229" i="11"/>
  <c r="E230" i="11"/>
  <c r="F230" i="11"/>
  <c r="G230" i="11"/>
  <c r="H230" i="11"/>
  <c r="I230" i="11"/>
  <c r="E231" i="11"/>
  <c r="F231" i="11"/>
  <c r="G231" i="11"/>
  <c r="H231" i="11"/>
  <c r="I231" i="11"/>
  <c r="E232" i="11"/>
  <c r="F232" i="11"/>
  <c r="G232" i="11"/>
  <c r="H232" i="11"/>
  <c r="I232" i="11"/>
  <c r="E233" i="11"/>
  <c r="F233" i="11"/>
  <c r="G233" i="11"/>
  <c r="H233" i="11"/>
  <c r="I233" i="11"/>
  <c r="E234" i="11"/>
  <c r="F234" i="11"/>
  <c r="G234" i="11"/>
  <c r="H234" i="11"/>
  <c r="I234" i="11"/>
  <c r="E235" i="11"/>
  <c r="F235" i="11"/>
  <c r="G235" i="11"/>
  <c r="H235" i="11"/>
  <c r="I235" i="11"/>
  <c r="E236" i="11"/>
  <c r="F236" i="11"/>
  <c r="G236" i="11"/>
  <c r="H236" i="11"/>
  <c r="I236" i="11"/>
  <c r="E237" i="11"/>
  <c r="F237" i="11"/>
  <c r="G237" i="11"/>
  <c r="H237" i="11"/>
  <c r="I237" i="11"/>
  <c r="E238" i="11"/>
  <c r="F238" i="11"/>
  <c r="G238" i="11"/>
  <c r="H238" i="11"/>
  <c r="I238" i="11"/>
  <c r="E239" i="11"/>
  <c r="F239" i="11"/>
  <c r="G239" i="11"/>
  <c r="H239" i="11"/>
  <c r="I239" i="11"/>
  <c r="E240" i="11"/>
  <c r="F240" i="11"/>
  <c r="G240" i="11"/>
  <c r="H240" i="11"/>
  <c r="I240" i="11"/>
  <c r="E241" i="11"/>
  <c r="F241" i="11"/>
  <c r="G241" i="11"/>
  <c r="H241" i="11"/>
  <c r="I241" i="11"/>
  <c r="E242" i="11"/>
  <c r="F242" i="11"/>
  <c r="G242" i="11"/>
  <c r="H242" i="11"/>
  <c r="I242" i="11"/>
  <c r="E243" i="11"/>
  <c r="F243" i="11"/>
  <c r="G243" i="11"/>
  <c r="H243" i="11"/>
  <c r="I243" i="11"/>
  <c r="E244" i="11"/>
  <c r="F244" i="11"/>
  <c r="G244" i="11"/>
  <c r="H244" i="11"/>
  <c r="I244" i="11"/>
  <c r="E245" i="11"/>
  <c r="F245" i="11"/>
  <c r="G245" i="11"/>
  <c r="H245" i="11"/>
  <c r="I245" i="11"/>
  <c r="E246" i="11"/>
  <c r="F246" i="11"/>
  <c r="G246" i="11"/>
  <c r="H246" i="11"/>
  <c r="I246" i="11"/>
  <c r="E247" i="11"/>
  <c r="F247" i="11"/>
  <c r="G247" i="11"/>
  <c r="H247" i="11"/>
  <c r="I247" i="11"/>
  <c r="E248" i="11"/>
  <c r="F248" i="11"/>
  <c r="G248" i="11"/>
  <c r="H248" i="11"/>
  <c r="I248" i="11"/>
  <c r="E249" i="11"/>
  <c r="F249" i="11"/>
  <c r="G249" i="11"/>
  <c r="H249" i="11"/>
  <c r="I249" i="11"/>
  <c r="E250" i="11"/>
  <c r="F250" i="11"/>
  <c r="G250" i="11"/>
  <c r="H250" i="11"/>
  <c r="I250" i="11"/>
  <c r="E251" i="11"/>
  <c r="F251" i="11"/>
  <c r="G251" i="11"/>
  <c r="H251" i="11"/>
  <c r="I251" i="11"/>
  <c r="E252" i="11"/>
  <c r="F252" i="11"/>
  <c r="G252" i="11"/>
  <c r="H252" i="11"/>
  <c r="I252" i="11"/>
  <c r="E253" i="11"/>
  <c r="F253" i="11"/>
  <c r="G253" i="11"/>
  <c r="H253" i="11"/>
  <c r="I253" i="11"/>
  <c r="E254" i="11"/>
  <c r="F254" i="11"/>
  <c r="G254" i="11"/>
  <c r="H254" i="11"/>
  <c r="I254" i="11"/>
  <c r="E255" i="11"/>
  <c r="F255" i="11"/>
  <c r="G255" i="11"/>
  <c r="H255" i="11"/>
  <c r="I255" i="11"/>
  <c r="E256" i="11"/>
  <c r="F256" i="11"/>
  <c r="G256" i="11"/>
  <c r="H256" i="11"/>
  <c r="I256" i="11"/>
  <c r="E257" i="11"/>
  <c r="F257" i="11"/>
  <c r="G257" i="11"/>
  <c r="H257" i="11"/>
  <c r="I257" i="11"/>
  <c r="E258" i="11"/>
  <c r="F258" i="11"/>
  <c r="G258" i="11"/>
  <c r="H258" i="11"/>
  <c r="I258" i="11"/>
  <c r="E259" i="11"/>
  <c r="F259" i="11"/>
  <c r="G259" i="11"/>
  <c r="H259" i="11"/>
  <c r="I259" i="11"/>
  <c r="E260" i="11"/>
  <c r="F260" i="11"/>
  <c r="G260" i="11"/>
  <c r="H260" i="11"/>
  <c r="I260" i="11"/>
  <c r="E261" i="11"/>
  <c r="F261" i="11"/>
  <c r="G261" i="11"/>
  <c r="H261" i="11"/>
  <c r="I261" i="11"/>
  <c r="E262" i="11"/>
  <c r="F262" i="11"/>
  <c r="G262" i="11"/>
  <c r="H262" i="11"/>
  <c r="I262" i="11"/>
  <c r="E263" i="11"/>
  <c r="F263" i="11"/>
  <c r="G263" i="11"/>
  <c r="H263" i="11"/>
  <c r="I263" i="11"/>
  <c r="E264" i="11"/>
  <c r="F264" i="11"/>
  <c r="G264" i="11"/>
  <c r="H264" i="11"/>
  <c r="I264" i="11"/>
  <c r="E265" i="11"/>
  <c r="F265" i="11"/>
  <c r="G265" i="11"/>
  <c r="H265" i="11"/>
  <c r="I265" i="11"/>
  <c r="E266" i="11"/>
  <c r="F266" i="11"/>
  <c r="G266" i="11"/>
  <c r="H266" i="11"/>
  <c r="I266" i="11"/>
  <c r="E267" i="11"/>
  <c r="F267" i="11"/>
  <c r="G267" i="11"/>
  <c r="H267" i="11"/>
  <c r="I267" i="11"/>
  <c r="E268" i="11"/>
  <c r="F268" i="11"/>
  <c r="G268" i="11"/>
  <c r="H268" i="11"/>
  <c r="I268" i="11"/>
  <c r="E269" i="11"/>
  <c r="F269" i="11"/>
  <c r="G269" i="11"/>
  <c r="H269" i="11"/>
  <c r="I269" i="11"/>
  <c r="E270" i="11"/>
  <c r="F270" i="11"/>
  <c r="G270" i="11"/>
  <c r="H270" i="11"/>
  <c r="I270" i="11"/>
  <c r="E271" i="11"/>
  <c r="F271" i="11"/>
  <c r="G271" i="11"/>
  <c r="H271" i="11"/>
  <c r="I271" i="11"/>
  <c r="E272" i="11"/>
  <c r="F272" i="11"/>
  <c r="G272" i="11"/>
  <c r="H272" i="11"/>
  <c r="I272" i="11"/>
  <c r="E273" i="11"/>
  <c r="F273" i="11"/>
  <c r="G273" i="11"/>
  <c r="H273" i="11"/>
  <c r="I273" i="11"/>
  <c r="E274" i="11"/>
  <c r="F274" i="11"/>
  <c r="G274" i="11"/>
  <c r="H274" i="11"/>
  <c r="I274" i="11"/>
  <c r="E275" i="11"/>
  <c r="F275" i="11"/>
  <c r="G275" i="11"/>
  <c r="H275" i="11"/>
  <c r="I275" i="11"/>
  <c r="E276" i="11"/>
  <c r="F276" i="11"/>
  <c r="G276" i="11"/>
  <c r="H276" i="11"/>
  <c r="I276" i="11"/>
  <c r="E277" i="11"/>
  <c r="F277" i="11"/>
  <c r="G277" i="11"/>
  <c r="H277" i="11"/>
  <c r="I277" i="11"/>
  <c r="E278" i="11"/>
  <c r="F278" i="11"/>
  <c r="G278" i="11"/>
  <c r="H278" i="11"/>
  <c r="I278" i="11"/>
  <c r="E279" i="11"/>
  <c r="F279" i="11"/>
  <c r="G279" i="11"/>
  <c r="H279" i="11"/>
  <c r="I279" i="11"/>
  <c r="E280" i="11"/>
  <c r="F280" i="11"/>
  <c r="G280" i="11"/>
  <c r="H280" i="11"/>
  <c r="I280" i="11"/>
  <c r="E281" i="11"/>
  <c r="F281" i="11"/>
  <c r="G281" i="11"/>
  <c r="H281" i="11"/>
  <c r="I281" i="11"/>
  <c r="E282" i="11"/>
  <c r="F282" i="11"/>
  <c r="G282" i="11"/>
  <c r="H282" i="11"/>
  <c r="I282" i="11"/>
  <c r="E283" i="11"/>
  <c r="F283" i="11"/>
  <c r="G283" i="11"/>
  <c r="H283" i="11"/>
  <c r="I283" i="11"/>
  <c r="E284" i="11"/>
  <c r="F284" i="11"/>
  <c r="G284" i="11"/>
  <c r="H284" i="11"/>
  <c r="I284" i="11"/>
  <c r="E285" i="11"/>
  <c r="F285" i="11"/>
  <c r="G285" i="11"/>
  <c r="H285" i="11"/>
  <c r="I285" i="11"/>
  <c r="E286" i="11"/>
  <c r="F286" i="11"/>
  <c r="G286" i="11"/>
  <c r="H286" i="11"/>
  <c r="I286" i="11"/>
  <c r="E287" i="11"/>
  <c r="F287" i="11"/>
  <c r="G287" i="11"/>
  <c r="H287" i="11"/>
  <c r="I287" i="11"/>
  <c r="E288" i="11"/>
  <c r="F288" i="11"/>
  <c r="G288" i="11"/>
  <c r="H288" i="11"/>
  <c r="I288" i="11"/>
  <c r="E289" i="11"/>
  <c r="F289" i="11"/>
  <c r="G289" i="11"/>
  <c r="H289" i="11"/>
  <c r="I289" i="11"/>
  <c r="E290" i="11"/>
  <c r="F290" i="11"/>
  <c r="G290" i="11"/>
  <c r="H290" i="11"/>
  <c r="I290" i="11"/>
  <c r="E291" i="11"/>
  <c r="F291" i="11"/>
  <c r="G291" i="11"/>
  <c r="H291" i="11"/>
  <c r="I291" i="11"/>
  <c r="E292" i="11"/>
  <c r="F292" i="11"/>
  <c r="G292" i="11"/>
  <c r="H292" i="11"/>
  <c r="I292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6" i="11"/>
  <c r="B7" i="11"/>
  <c r="B8" i="11"/>
  <c r="B9" i="11"/>
  <c r="B10" i="11"/>
  <c r="B11" i="11"/>
  <c r="B12" i="11"/>
  <c r="B13" i="11"/>
  <c r="B14" i="11"/>
  <c r="B1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V5" i="3"/>
  <c r="W5" i="3" s="1"/>
  <c r="U5" i="3"/>
  <c r="N5" i="3"/>
  <c r="M5" i="3"/>
  <c r="L5" i="3"/>
  <c r="G5" i="3"/>
  <c r="I5" i="3" s="1"/>
  <c r="F5" i="3"/>
  <c r="H5" i="3" s="1"/>
  <c r="V4" i="3"/>
  <c r="W4" i="3" s="1"/>
  <c r="U4" i="3"/>
  <c r="N4" i="3"/>
  <c r="M4" i="3"/>
  <c r="L4" i="3"/>
  <c r="G4" i="3"/>
  <c r="I4" i="3" s="1"/>
  <c r="F4" i="3"/>
  <c r="H4" i="3" s="1"/>
  <c r="V3" i="3"/>
  <c r="W3" i="3" s="1"/>
  <c r="U3" i="3"/>
  <c r="N3" i="3"/>
  <c r="M3" i="3"/>
  <c r="L3" i="3"/>
  <c r="G3" i="3"/>
  <c r="I3" i="3" s="1"/>
  <c r="F3" i="3"/>
  <c r="H3" i="3" s="1"/>
  <c r="V2" i="3"/>
  <c r="W2" i="3" s="1"/>
  <c r="U2" i="3"/>
  <c r="N2" i="3"/>
  <c r="M2" i="3"/>
  <c r="L2" i="3"/>
  <c r="G2" i="3"/>
  <c r="I2" i="3" s="1"/>
  <c r="F2" i="3"/>
  <c r="H2" i="3" s="1"/>
  <c r="F98" i="12" l="1"/>
  <c r="E98" i="12"/>
  <c r="D98" i="12"/>
  <c r="F97" i="12"/>
  <c r="E97" i="12"/>
  <c r="D97" i="12"/>
  <c r="AC29" i="3"/>
  <c r="AB31" i="3" s="1"/>
  <c r="AB32" i="3" s="1"/>
  <c r="B5" i="15" l="1"/>
  <c r="B6" i="15"/>
  <c r="B7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4" i="15"/>
  <c r="C35" i="15" l="1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A25" i="12" l="1"/>
  <c r="B1" i="7"/>
  <c r="B1" i="6"/>
  <c r="B1" i="1"/>
  <c r="M18" i="4" l="1"/>
  <c r="M19" i="4"/>
  <c r="M35" i="4"/>
  <c r="M36" i="4"/>
  <c r="M52" i="4"/>
  <c r="M53" i="4"/>
  <c r="M69" i="4"/>
  <c r="M70" i="4"/>
  <c r="M86" i="4"/>
  <c r="M87" i="4"/>
  <c r="M103" i="4"/>
  <c r="M104" i="4"/>
  <c r="M120" i="4"/>
  <c r="M121" i="4"/>
  <c r="M137" i="4"/>
  <c r="M138" i="4"/>
  <c r="M154" i="4"/>
  <c r="M155" i="4"/>
  <c r="M171" i="4"/>
  <c r="M172" i="4"/>
  <c r="M188" i="4"/>
  <c r="M189" i="4"/>
  <c r="M205" i="4"/>
  <c r="M206" i="4"/>
  <c r="M222" i="4"/>
  <c r="M223" i="4"/>
  <c r="M239" i="4"/>
  <c r="M240" i="4"/>
  <c r="M256" i="4"/>
  <c r="M257" i="4"/>
  <c r="M273" i="4"/>
  <c r="M274" i="4"/>
  <c r="M290" i="4"/>
  <c r="M291" i="4"/>
  <c r="M307" i="4"/>
  <c r="M308" i="4"/>
  <c r="M324" i="4"/>
  <c r="M325" i="4"/>
  <c r="M341" i="4"/>
  <c r="M342" i="4"/>
  <c r="M358" i="4"/>
  <c r="M359" i="4"/>
  <c r="M375" i="4"/>
  <c r="M376" i="4"/>
  <c r="M392" i="4"/>
  <c r="M393" i="4"/>
  <c r="M409" i="4"/>
  <c r="M410" i="4"/>
  <c r="M426" i="4"/>
  <c r="M427" i="4"/>
  <c r="M443" i="4"/>
  <c r="M444" i="4"/>
  <c r="M460" i="4"/>
  <c r="M461" i="4"/>
  <c r="M477" i="4"/>
  <c r="M478" i="4"/>
  <c r="M494" i="4"/>
  <c r="M495" i="4"/>
  <c r="M511" i="4"/>
  <c r="M512" i="4"/>
  <c r="M528" i="4"/>
  <c r="M529" i="4"/>
  <c r="M545" i="4"/>
  <c r="M546" i="4"/>
  <c r="M562" i="4"/>
  <c r="M563" i="4"/>
  <c r="M579" i="4"/>
  <c r="M580" i="4"/>
  <c r="M596" i="4"/>
  <c r="M597" i="4"/>
  <c r="M613" i="4"/>
  <c r="M614" i="4"/>
  <c r="M630" i="4"/>
  <c r="M631" i="4"/>
  <c r="M647" i="4"/>
  <c r="M648" i="4"/>
  <c r="M664" i="4"/>
  <c r="M665" i="4"/>
  <c r="M681" i="4"/>
  <c r="M682" i="4"/>
  <c r="M698" i="4"/>
  <c r="M699" i="4"/>
  <c r="M715" i="4"/>
  <c r="M716" i="4"/>
  <c r="M732" i="4"/>
  <c r="M733" i="4"/>
  <c r="M749" i="4"/>
  <c r="M750" i="4"/>
  <c r="M766" i="4"/>
  <c r="M767" i="4"/>
  <c r="M783" i="4"/>
  <c r="M784" i="4"/>
  <c r="M800" i="4"/>
  <c r="M801" i="4"/>
  <c r="M817" i="4"/>
  <c r="M818" i="4"/>
  <c r="M834" i="4"/>
  <c r="M835" i="4"/>
  <c r="M851" i="4"/>
  <c r="M852" i="4"/>
  <c r="M868" i="4"/>
  <c r="M869" i="4"/>
  <c r="M885" i="4"/>
  <c r="M886" i="4"/>
  <c r="M902" i="4"/>
  <c r="M903" i="4"/>
  <c r="M919" i="4"/>
  <c r="M920" i="4"/>
  <c r="M936" i="4"/>
  <c r="M937" i="4"/>
  <c r="M953" i="4"/>
  <c r="M954" i="4"/>
  <c r="M970" i="4"/>
  <c r="M971" i="4"/>
  <c r="M987" i="4"/>
  <c r="M988" i="4"/>
  <c r="M1004" i="4"/>
  <c r="M1005" i="4"/>
  <c r="M1021" i="4"/>
  <c r="M1022" i="4"/>
  <c r="M1038" i="4"/>
  <c r="M1039" i="4"/>
  <c r="M1055" i="4"/>
  <c r="M1056" i="4"/>
  <c r="M1072" i="4"/>
  <c r="M1073" i="4"/>
  <c r="M1089" i="4"/>
  <c r="M1090" i="4"/>
  <c r="M1106" i="4"/>
  <c r="M1107" i="4"/>
  <c r="M1123" i="4"/>
  <c r="M1124" i="4"/>
  <c r="M1140" i="4"/>
  <c r="M1141" i="4"/>
  <c r="M1157" i="4"/>
  <c r="M1158" i="4"/>
  <c r="M1174" i="4"/>
  <c r="M1175" i="4"/>
  <c r="M1191" i="4"/>
  <c r="M1192" i="4"/>
  <c r="M1208" i="4"/>
  <c r="M1209" i="4"/>
  <c r="M1225" i="4"/>
  <c r="M1226" i="4"/>
  <c r="M1242" i="4"/>
  <c r="M1243" i="4"/>
  <c r="M1259" i="4"/>
  <c r="M1260" i="4"/>
  <c r="M1276" i="4"/>
  <c r="M1277" i="4"/>
  <c r="M1293" i="4"/>
  <c r="M1294" i="4"/>
  <c r="M1310" i="4"/>
  <c r="M1311" i="4"/>
  <c r="M1327" i="4"/>
  <c r="M1328" i="4"/>
  <c r="M1344" i="4"/>
  <c r="M1345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Q5" i="13" l="1"/>
  <c r="Q6" i="13"/>
  <c r="Q7" i="13"/>
  <c r="Q8" i="13"/>
  <c r="Q9" i="13"/>
  <c r="Q10" i="13"/>
  <c r="Q4" i="13"/>
  <c r="V6" i="13"/>
  <c r="V7" i="13"/>
  <c r="V8" i="13"/>
  <c r="V10" i="13"/>
  <c r="V11" i="13"/>
  <c r="V12" i="13"/>
  <c r="V13" i="13"/>
  <c r="V15" i="13"/>
  <c r="V16" i="13"/>
  <c r="V17" i="13"/>
  <c r="V18" i="13"/>
  <c r="V20" i="13"/>
  <c r="V21" i="13"/>
  <c r="V22" i="13"/>
  <c r="V23" i="13"/>
  <c r="V24" i="13"/>
  <c r="V25" i="13"/>
  <c r="V26" i="13"/>
  <c r="V27" i="13"/>
  <c r="V29" i="13"/>
  <c r="V30" i="13"/>
  <c r="V31" i="13"/>
  <c r="V32" i="13"/>
  <c r="V33" i="13"/>
  <c r="V34" i="13"/>
  <c r="V35" i="13"/>
  <c r="V36" i="13"/>
  <c r="V37" i="13"/>
  <c r="V38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" i="13"/>
  <c r="O4" i="13"/>
  <c r="O6" i="13"/>
  <c r="O7" i="13"/>
  <c r="O8" i="13"/>
  <c r="O9" i="13"/>
  <c r="O10" i="13"/>
  <c r="O5" i="13"/>
  <c r="Y63" i="13" l="1"/>
  <c r="Z63" i="13" s="1"/>
  <c r="U63" i="13"/>
  <c r="Y62" i="13"/>
  <c r="Z62" i="13" s="1"/>
  <c r="U62" i="13"/>
  <c r="Y61" i="13"/>
  <c r="Z61" i="13" s="1"/>
  <c r="U61" i="13"/>
  <c r="Y60" i="13"/>
  <c r="Z60" i="13" s="1"/>
  <c r="U60" i="13"/>
  <c r="Y59" i="13"/>
  <c r="Z59" i="13" s="1"/>
  <c r="U59" i="13"/>
  <c r="Y58" i="13"/>
  <c r="Z58" i="13" s="1"/>
  <c r="U58" i="13"/>
  <c r="Y57" i="13"/>
  <c r="Z57" i="13" s="1"/>
  <c r="U57" i="13"/>
  <c r="W57" i="13" s="1"/>
  <c r="Y56" i="13"/>
  <c r="Z56" i="13" s="1"/>
  <c r="U56" i="13"/>
  <c r="Y55" i="13"/>
  <c r="Z55" i="13" s="1"/>
  <c r="U55" i="13"/>
  <c r="Y54" i="13"/>
  <c r="Z54" i="13" s="1"/>
  <c r="U54" i="13"/>
  <c r="Y53" i="13"/>
  <c r="Z53" i="13" s="1"/>
  <c r="U53" i="13"/>
  <c r="W53" i="13" s="1"/>
  <c r="W52" i="13"/>
  <c r="W51" i="13"/>
  <c r="W50" i="13"/>
  <c r="W49" i="13"/>
  <c r="W48" i="13"/>
  <c r="W47" i="13"/>
  <c r="W46" i="13"/>
  <c r="W45" i="13"/>
  <c r="W44" i="13"/>
  <c r="W43" i="13"/>
  <c r="W42" i="13"/>
  <c r="W41" i="13"/>
  <c r="W40" i="13"/>
  <c r="W39" i="13"/>
  <c r="W38" i="13"/>
  <c r="W37" i="13"/>
  <c r="W36" i="13"/>
  <c r="W35" i="13"/>
  <c r="W34" i="13"/>
  <c r="W33" i="13"/>
  <c r="W32" i="13"/>
  <c r="W31" i="13"/>
  <c r="W30" i="13"/>
  <c r="W29" i="13"/>
  <c r="W28" i="13"/>
  <c r="W27" i="13"/>
  <c r="W26" i="13"/>
  <c r="W25" i="13"/>
  <c r="W24" i="13"/>
  <c r="W23" i="13"/>
  <c r="W22" i="13"/>
  <c r="W21" i="13"/>
  <c r="W20" i="13"/>
  <c r="W19" i="13"/>
  <c r="W18" i="13"/>
  <c r="W17" i="13"/>
  <c r="W16" i="13"/>
  <c r="W15" i="13"/>
  <c r="W14" i="13"/>
  <c r="W13" i="13"/>
  <c r="W12" i="13"/>
  <c r="W11" i="13"/>
  <c r="W10" i="13"/>
  <c r="W9" i="13"/>
  <c r="W8" i="13"/>
  <c r="W7" i="13"/>
  <c r="W6" i="13"/>
  <c r="W5" i="13"/>
  <c r="E15" i="5"/>
  <c r="I3" i="5"/>
  <c r="I4" i="5" s="1"/>
  <c r="I5" i="5" s="1"/>
  <c r="I6" i="5" s="1"/>
  <c r="E1" i="5"/>
  <c r="X8" i="13" l="1"/>
  <c r="X12" i="13"/>
  <c r="X16" i="13"/>
  <c r="X20" i="13"/>
  <c r="X24" i="13"/>
  <c r="X32" i="13"/>
  <c r="X36" i="13"/>
  <c r="X40" i="13"/>
  <c r="X44" i="13"/>
  <c r="X48" i="13"/>
  <c r="X5" i="13"/>
  <c r="X13" i="13"/>
  <c r="X17" i="13"/>
  <c r="X21" i="13"/>
  <c r="X25" i="13"/>
  <c r="X33" i="13"/>
  <c r="X37" i="13"/>
  <c r="X41" i="13"/>
  <c r="X45" i="13"/>
  <c r="X49" i="13"/>
  <c r="X7" i="13"/>
  <c r="X11" i="13"/>
  <c r="X15" i="13"/>
  <c r="X23" i="13"/>
  <c r="X27" i="13"/>
  <c r="X31" i="13"/>
  <c r="X35" i="13"/>
  <c r="X43" i="13"/>
  <c r="X47" i="13"/>
  <c r="X51" i="13"/>
  <c r="X6" i="13"/>
  <c r="X10" i="13"/>
  <c r="X18" i="13"/>
  <c r="X22" i="13"/>
  <c r="X26" i="13"/>
  <c r="X30" i="13"/>
  <c r="X34" i="13"/>
  <c r="X38" i="13"/>
  <c r="X42" i="13"/>
  <c r="X46" i="13"/>
  <c r="X50" i="13"/>
  <c r="W54" i="13"/>
  <c r="X53" i="13" s="1"/>
  <c r="V53" i="13"/>
  <c r="W56" i="13"/>
  <c r="V55" i="13"/>
  <c r="W58" i="13"/>
  <c r="X57" i="13" s="1"/>
  <c r="V57" i="13"/>
  <c r="W60" i="13"/>
  <c r="V59" i="13"/>
  <c r="W62" i="13"/>
  <c r="V61" i="13"/>
  <c r="W55" i="13"/>
  <c r="V54" i="13"/>
  <c r="W59" i="13"/>
  <c r="V58" i="13"/>
  <c r="W61" i="13"/>
  <c r="V60" i="13"/>
  <c r="W63" i="13"/>
  <c r="V62" i="13"/>
  <c r="X29" i="13"/>
  <c r="X60" i="13" l="1"/>
  <c r="X62" i="13"/>
  <c r="X58" i="13"/>
  <c r="X61" i="13"/>
  <c r="X54" i="13"/>
  <c r="X59" i="13"/>
  <c r="X55" i="13"/>
  <c r="E106" i="12"/>
  <c r="D77" i="12" l="1"/>
  <c r="M11" i="12"/>
  <c r="N11" i="12"/>
  <c r="O11" i="12"/>
  <c r="P11" i="12"/>
  <c r="Q11" i="12"/>
  <c r="R11" i="12"/>
  <c r="U17" i="12" l="1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E9" i="5"/>
  <c r="E8" i="5"/>
  <c r="Z17" i="12" l="1"/>
  <c r="D83" i="12" s="1"/>
  <c r="AD17" i="12"/>
  <c r="H80" i="12" s="1"/>
  <c r="AL17" i="12"/>
  <c r="E89" i="12" s="1"/>
  <c r="D95" i="12" s="1"/>
  <c r="AP17" i="12"/>
  <c r="E111" i="12" s="1"/>
  <c r="W17" i="12"/>
  <c r="D80" i="12" s="1"/>
  <c r="AA17" i="12"/>
  <c r="D84" i="12" s="1"/>
  <c r="AE17" i="12"/>
  <c r="H81" i="12" s="1"/>
  <c r="AI17" i="12"/>
  <c r="D87" i="12" s="1"/>
  <c r="AM17" i="12"/>
  <c r="E108" i="12" s="1"/>
  <c r="E115" i="12" s="1"/>
  <c r="AQ17" i="12"/>
  <c r="E112" i="12" s="1"/>
  <c r="X17" i="12"/>
  <c r="D81" i="12" s="1"/>
  <c r="AB17" i="12"/>
  <c r="D85" i="12" s="1"/>
  <c r="AJ17" i="12"/>
  <c r="E90" i="12" s="1"/>
  <c r="AN17" i="12"/>
  <c r="E109" i="12" s="1"/>
  <c r="AR17" i="12"/>
  <c r="E113" i="12" s="1"/>
  <c r="Y17" i="12"/>
  <c r="D82" i="12" s="1"/>
  <c r="AC17" i="12"/>
  <c r="D86" i="12" s="1"/>
  <c r="AK17" i="12"/>
  <c r="E91" i="12" s="1"/>
  <c r="AO17" i="12"/>
  <c r="E110" i="12" s="1"/>
  <c r="V17" i="12"/>
  <c r="D78" i="12" s="1"/>
  <c r="A27" i="12" s="1"/>
  <c r="E4" i="5"/>
  <c r="E18" i="5"/>
  <c r="E17" i="5"/>
  <c r="E16" i="5"/>
  <c r="E2" i="5"/>
  <c r="F95" i="12" l="1"/>
  <c r="E95" i="12"/>
  <c r="E100" i="12"/>
  <c r="F99" i="12"/>
  <c r="F100" i="12"/>
  <c r="E99" i="12"/>
  <c r="D100" i="12"/>
  <c r="D99" i="12"/>
  <c r="E116" i="12"/>
  <c r="E118" i="12" s="1"/>
  <c r="L99" i="12"/>
  <c r="L96" i="12"/>
  <c r="N99" i="12"/>
  <c r="N96" i="12"/>
  <c r="M99" i="12"/>
  <c r="M96" i="12"/>
  <c r="F96" i="12"/>
  <c r="E96" i="12"/>
  <c r="D96" i="12"/>
  <c r="O11" i="6"/>
  <c r="O10" i="7"/>
  <c r="O11" i="7"/>
  <c r="O10" i="1"/>
  <c r="O11" i="1"/>
  <c r="O10" i="6"/>
  <c r="O9" i="7"/>
  <c r="O9" i="1"/>
  <c r="O9" i="6"/>
  <c r="D102" i="12" l="1"/>
  <c r="E102" i="12"/>
  <c r="E101" i="12"/>
  <c r="F102" i="12"/>
  <c r="D101" i="12"/>
  <c r="F101" i="12"/>
  <c r="AF17" i="12"/>
  <c r="H83" i="12" s="1"/>
  <c r="AH17" i="12"/>
  <c r="H85" i="12" s="1"/>
  <c r="AG17" i="12"/>
  <c r="H84" i="12" s="1"/>
  <c r="N100" i="12"/>
  <c r="Q36" i="12" s="1"/>
  <c r="M97" i="12"/>
  <c r="Q32" i="12" s="1"/>
  <c r="L97" i="12"/>
  <c r="Q31" i="12" s="1"/>
  <c r="N97" i="12"/>
  <c r="Q33" i="12" s="1"/>
  <c r="L100" i="12"/>
  <c r="Q34" i="12" s="1"/>
  <c r="M100" i="12"/>
  <c r="Q35" i="12" s="1"/>
  <c r="E104" i="12" l="1"/>
  <c r="A90" i="11"/>
  <c r="A91" i="11"/>
  <c r="A92" i="11"/>
  <c r="A93" i="11"/>
  <c r="A94" i="11"/>
  <c r="A95" i="11"/>
  <c r="B3" i="11"/>
  <c r="A3" i="11" s="1"/>
  <c r="B4" i="11"/>
  <c r="B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B2" i="11"/>
  <c r="E84" i="11" l="1"/>
  <c r="I84" i="11"/>
  <c r="F84" i="11"/>
  <c r="G84" i="11"/>
  <c r="H84" i="11"/>
  <c r="H68" i="11"/>
  <c r="F68" i="11"/>
  <c r="G68" i="11"/>
  <c r="I68" i="11"/>
  <c r="E68" i="11"/>
  <c r="H52" i="11"/>
  <c r="F52" i="11"/>
  <c r="G52" i="11"/>
  <c r="I52" i="11"/>
  <c r="E52" i="11"/>
  <c r="H28" i="11"/>
  <c r="F28" i="11"/>
  <c r="G28" i="11"/>
  <c r="I28" i="11"/>
  <c r="E28" i="11"/>
  <c r="F87" i="11"/>
  <c r="G87" i="11"/>
  <c r="H87" i="11"/>
  <c r="E87" i="11"/>
  <c r="I87" i="11"/>
  <c r="F83" i="11"/>
  <c r="G83" i="11"/>
  <c r="H83" i="11"/>
  <c r="E83" i="11"/>
  <c r="I83" i="11"/>
  <c r="F79" i="11"/>
  <c r="G79" i="11"/>
  <c r="H79" i="11"/>
  <c r="E79" i="11"/>
  <c r="I79" i="11"/>
  <c r="F75" i="11"/>
  <c r="G75" i="11"/>
  <c r="H75" i="11"/>
  <c r="I75" i="11"/>
  <c r="E75" i="11"/>
  <c r="E71" i="11"/>
  <c r="I71" i="11"/>
  <c r="G71" i="11"/>
  <c r="H71" i="11"/>
  <c r="F71" i="11"/>
  <c r="E67" i="11"/>
  <c r="I67" i="11"/>
  <c r="G67" i="11"/>
  <c r="F67" i="11"/>
  <c r="H67" i="11"/>
  <c r="E63" i="11"/>
  <c r="I63" i="11"/>
  <c r="G63" i="11"/>
  <c r="H63" i="11"/>
  <c r="F63" i="11"/>
  <c r="E59" i="11"/>
  <c r="I59" i="11"/>
  <c r="G59" i="11"/>
  <c r="F59" i="11"/>
  <c r="H59" i="11"/>
  <c r="E55" i="11"/>
  <c r="I55" i="11"/>
  <c r="G55" i="11"/>
  <c r="H55" i="11"/>
  <c r="F55" i="11"/>
  <c r="E51" i="11"/>
  <c r="I51" i="11"/>
  <c r="G51" i="11"/>
  <c r="F51" i="11"/>
  <c r="H51" i="11"/>
  <c r="E47" i="11"/>
  <c r="I47" i="11"/>
  <c r="G47" i="11"/>
  <c r="H47" i="11"/>
  <c r="F47" i="11"/>
  <c r="E43" i="11"/>
  <c r="I43" i="11"/>
  <c r="G43" i="11"/>
  <c r="F43" i="11"/>
  <c r="H43" i="11"/>
  <c r="E39" i="11"/>
  <c r="I39" i="11"/>
  <c r="G39" i="11"/>
  <c r="H39" i="11"/>
  <c r="F39" i="11"/>
  <c r="E35" i="11"/>
  <c r="I35" i="11"/>
  <c r="G35" i="11"/>
  <c r="F35" i="11"/>
  <c r="H35" i="11"/>
  <c r="E31" i="11"/>
  <c r="I31" i="11"/>
  <c r="G31" i="11"/>
  <c r="H31" i="11"/>
  <c r="F31" i="11"/>
  <c r="E27" i="11"/>
  <c r="I27" i="11"/>
  <c r="G27" i="11"/>
  <c r="F27" i="11"/>
  <c r="H27" i="11"/>
  <c r="E23" i="11"/>
  <c r="I23" i="11"/>
  <c r="G23" i="11"/>
  <c r="H23" i="11"/>
  <c r="F23" i="11"/>
  <c r="E19" i="11"/>
  <c r="I19" i="11"/>
  <c r="G19" i="11"/>
  <c r="F19" i="11"/>
  <c r="H19" i="11"/>
  <c r="E15" i="11"/>
  <c r="I15" i="11"/>
  <c r="G15" i="11"/>
  <c r="H15" i="11"/>
  <c r="F15" i="11"/>
  <c r="E11" i="11"/>
  <c r="I11" i="11"/>
  <c r="G11" i="11"/>
  <c r="F11" i="11"/>
  <c r="H11" i="11"/>
  <c r="E7" i="11"/>
  <c r="I7" i="11"/>
  <c r="G7" i="11"/>
  <c r="H7" i="11"/>
  <c r="F7" i="11"/>
  <c r="E92" i="11"/>
  <c r="I92" i="11"/>
  <c r="F92" i="11"/>
  <c r="G92" i="11"/>
  <c r="H92" i="11"/>
  <c r="E80" i="11"/>
  <c r="I80" i="11"/>
  <c r="F80" i="11"/>
  <c r="G80" i="11"/>
  <c r="H80" i="11"/>
  <c r="H64" i="11"/>
  <c r="F64" i="11"/>
  <c r="E64" i="11"/>
  <c r="G64" i="11"/>
  <c r="I64" i="11"/>
  <c r="H44" i="11"/>
  <c r="F44" i="11"/>
  <c r="G44" i="11"/>
  <c r="I44" i="11"/>
  <c r="E44" i="11"/>
  <c r="G86" i="11"/>
  <c r="H86" i="11"/>
  <c r="E86" i="11"/>
  <c r="I86" i="11"/>
  <c r="F86" i="11"/>
  <c r="G82" i="11"/>
  <c r="H82" i="11"/>
  <c r="E82" i="11"/>
  <c r="I82" i="11"/>
  <c r="F82" i="11"/>
  <c r="G78" i="11"/>
  <c r="H78" i="11"/>
  <c r="E78" i="11"/>
  <c r="I78" i="11"/>
  <c r="F78" i="11"/>
  <c r="G74" i="11"/>
  <c r="H74" i="11"/>
  <c r="E74" i="11"/>
  <c r="I74" i="11"/>
  <c r="F74" i="11"/>
  <c r="F70" i="11"/>
  <c r="H70" i="11"/>
  <c r="E70" i="11"/>
  <c r="G70" i="11"/>
  <c r="I70" i="11"/>
  <c r="F66" i="11"/>
  <c r="H66" i="11"/>
  <c r="I66" i="11"/>
  <c r="E66" i="11"/>
  <c r="G66" i="11"/>
  <c r="F62" i="11"/>
  <c r="H62" i="11"/>
  <c r="E62" i="11"/>
  <c r="G62" i="11"/>
  <c r="I62" i="11"/>
  <c r="F58" i="11"/>
  <c r="H58" i="11"/>
  <c r="I58" i="11"/>
  <c r="E58" i="11"/>
  <c r="G58" i="11"/>
  <c r="F54" i="11"/>
  <c r="H54" i="11"/>
  <c r="E54" i="11"/>
  <c r="G54" i="11"/>
  <c r="I54" i="11"/>
  <c r="F50" i="11"/>
  <c r="H50" i="11"/>
  <c r="I50" i="11"/>
  <c r="E50" i="11"/>
  <c r="G50" i="11"/>
  <c r="F46" i="11"/>
  <c r="H46" i="11"/>
  <c r="E46" i="11"/>
  <c r="G46" i="11"/>
  <c r="I46" i="11"/>
  <c r="F42" i="11"/>
  <c r="H42" i="11"/>
  <c r="I42" i="11"/>
  <c r="G42" i="11"/>
  <c r="E42" i="11"/>
  <c r="F38" i="11"/>
  <c r="H38" i="11"/>
  <c r="E38" i="11"/>
  <c r="G38" i="11"/>
  <c r="I38" i="11"/>
  <c r="F34" i="11"/>
  <c r="H34" i="11"/>
  <c r="I34" i="11"/>
  <c r="E34" i="11"/>
  <c r="G34" i="11"/>
  <c r="F30" i="11"/>
  <c r="H30" i="11"/>
  <c r="E30" i="11"/>
  <c r="G30" i="11"/>
  <c r="I30" i="11"/>
  <c r="F26" i="11"/>
  <c r="H26" i="11"/>
  <c r="I26" i="11"/>
  <c r="E26" i="11"/>
  <c r="G26" i="11"/>
  <c r="F22" i="11"/>
  <c r="H22" i="11"/>
  <c r="E22" i="11"/>
  <c r="G22" i="11"/>
  <c r="I22" i="11"/>
  <c r="F18" i="11"/>
  <c r="H18" i="11"/>
  <c r="I18" i="11"/>
  <c r="G18" i="11"/>
  <c r="E18" i="11"/>
  <c r="F14" i="11"/>
  <c r="H14" i="11"/>
  <c r="E14" i="11"/>
  <c r="G14" i="11"/>
  <c r="I14" i="11"/>
  <c r="F10" i="11"/>
  <c r="H10" i="11"/>
  <c r="I10" i="11"/>
  <c r="G10" i="11"/>
  <c r="E10" i="11"/>
  <c r="F6" i="11"/>
  <c r="H6" i="11"/>
  <c r="E6" i="11"/>
  <c r="G6" i="11"/>
  <c r="I6" i="11"/>
  <c r="F95" i="11"/>
  <c r="G95" i="11"/>
  <c r="H95" i="11"/>
  <c r="E95" i="11"/>
  <c r="I95" i="11"/>
  <c r="F91" i="11"/>
  <c r="G91" i="11"/>
  <c r="H91" i="11"/>
  <c r="I91" i="11"/>
  <c r="E91" i="11"/>
  <c r="E88" i="11"/>
  <c r="I88" i="11"/>
  <c r="F88" i="11"/>
  <c r="G88" i="11"/>
  <c r="H88" i="11"/>
  <c r="H72" i="11"/>
  <c r="F72" i="11"/>
  <c r="E72" i="11"/>
  <c r="G72" i="11"/>
  <c r="I72" i="11"/>
  <c r="H56" i="11"/>
  <c r="F56" i="11"/>
  <c r="E56" i="11"/>
  <c r="I56" i="11"/>
  <c r="G56" i="11"/>
  <c r="H36" i="11"/>
  <c r="F36" i="11"/>
  <c r="G36" i="11"/>
  <c r="I36" i="11"/>
  <c r="E36" i="11"/>
  <c r="H89" i="11"/>
  <c r="E89" i="11"/>
  <c r="I89" i="11"/>
  <c r="F89" i="11"/>
  <c r="G89" i="11"/>
  <c r="H85" i="11"/>
  <c r="E85" i="11"/>
  <c r="I85" i="11"/>
  <c r="F85" i="11"/>
  <c r="G85" i="11"/>
  <c r="H81" i="11"/>
  <c r="E81" i="11"/>
  <c r="I81" i="11"/>
  <c r="F81" i="11"/>
  <c r="G81" i="11"/>
  <c r="H77" i="11"/>
  <c r="E77" i="11"/>
  <c r="I77" i="11"/>
  <c r="F77" i="11"/>
  <c r="G77" i="11"/>
  <c r="G73" i="11"/>
  <c r="E73" i="11"/>
  <c r="I73" i="11"/>
  <c r="F73" i="11"/>
  <c r="H73" i="11"/>
  <c r="G69" i="11"/>
  <c r="E69" i="11"/>
  <c r="I69" i="11"/>
  <c r="F69" i="11"/>
  <c r="H69" i="11"/>
  <c r="G65" i="11"/>
  <c r="E65" i="11"/>
  <c r="I65" i="11"/>
  <c r="F65" i="11"/>
  <c r="H65" i="11"/>
  <c r="G61" i="11"/>
  <c r="E61" i="11"/>
  <c r="I61" i="11"/>
  <c r="F61" i="11"/>
  <c r="H61" i="11"/>
  <c r="G57" i="11"/>
  <c r="E57" i="11"/>
  <c r="I57" i="11"/>
  <c r="F57" i="11"/>
  <c r="H57" i="11"/>
  <c r="G53" i="11"/>
  <c r="E53" i="11"/>
  <c r="I53" i="11"/>
  <c r="F53" i="11"/>
  <c r="H53" i="11"/>
  <c r="G49" i="11"/>
  <c r="E49" i="11"/>
  <c r="I49" i="11"/>
  <c r="F49" i="11"/>
  <c r="H49" i="11"/>
  <c r="G45" i="11"/>
  <c r="E45" i="11"/>
  <c r="I45" i="11"/>
  <c r="H45" i="11"/>
  <c r="F45" i="11"/>
  <c r="G41" i="11"/>
  <c r="E41" i="11"/>
  <c r="I41" i="11"/>
  <c r="F41" i="11"/>
  <c r="H41" i="11"/>
  <c r="G37" i="11"/>
  <c r="E37" i="11"/>
  <c r="I37" i="11"/>
  <c r="H37" i="11"/>
  <c r="F37" i="11"/>
  <c r="G33" i="11"/>
  <c r="E33" i="11"/>
  <c r="I33" i="11"/>
  <c r="F33" i="11"/>
  <c r="H33" i="11"/>
  <c r="G29" i="11"/>
  <c r="E29" i="11"/>
  <c r="I29" i="11"/>
  <c r="F29" i="11"/>
  <c r="H29" i="11"/>
  <c r="G25" i="11"/>
  <c r="E25" i="11"/>
  <c r="I25" i="11"/>
  <c r="F25" i="11"/>
  <c r="H25" i="11"/>
  <c r="G21" i="11"/>
  <c r="E21" i="11"/>
  <c r="I21" i="11"/>
  <c r="H21" i="11"/>
  <c r="F21" i="11"/>
  <c r="G17" i="11"/>
  <c r="E17" i="11"/>
  <c r="I17" i="11"/>
  <c r="F17" i="11"/>
  <c r="H17" i="11"/>
  <c r="G13" i="11"/>
  <c r="E13" i="11"/>
  <c r="I13" i="11"/>
  <c r="H13" i="11"/>
  <c r="F13" i="11"/>
  <c r="G9" i="11"/>
  <c r="E9" i="11"/>
  <c r="I9" i="11"/>
  <c r="F9" i="11"/>
  <c r="H9" i="11"/>
  <c r="G94" i="11"/>
  <c r="H94" i="11"/>
  <c r="E94" i="11"/>
  <c r="I94" i="11"/>
  <c r="F94" i="11"/>
  <c r="G90" i="11"/>
  <c r="H90" i="11"/>
  <c r="E90" i="11"/>
  <c r="I90" i="11"/>
  <c r="F90" i="11"/>
  <c r="E76" i="11"/>
  <c r="I76" i="11"/>
  <c r="F76" i="11"/>
  <c r="G76" i="11"/>
  <c r="H76" i="11"/>
  <c r="H60" i="11"/>
  <c r="F60" i="11"/>
  <c r="G60" i="11"/>
  <c r="I60" i="11"/>
  <c r="E60" i="11"/>
  <c r="H48" i="11"/>
  <c r="F48" i="11"/>
  <c r="E48" i="11"/>
  <c r="I48" i="11"/>
  <c r="G48" i="11"/>
  <c r="H40" i="11"/>
  <c r="F40" i="11"/>
  <c r="E40" i="11"/>
  <c r="G40" i="11"/>
  <c r="I40" i="11"/>
  <c r="H32" i="11"/>
  <c r="F32" i="11"/>
  <c r="E32" i="11"/>
  <c r="I32" i="11"/>
  <c r="G32" i="11"/>
  <c r="H24" i="11"/>
  <c r="F24" i="11"/>
  <c r="E24" i="11"/>
  <c r="I24" i="11"/>
  <c r="G24" i="11"/>
  <c r="H20" i="11"/>
  <c r="F20" i="11"/>
  <c r="G20" i="11"/>
  <c r="I20" i="11"/>
  <c r="E20" i="11"/>
  <c r="H16" i="11"/>
  <c r="F16" i="11"/>
  <c r="E16" i="11"/>
  <c r="I16" i="11"/>
  <c r="G16" i="11"/>
  <c r="H12" i="11"/>
  <c r="F12" i="11"/>
  <c r="G12" i="11"/>
  <c r="I12" i="11"/>
  <c r="E12" i="11"/>
  <c r="H8" i="11"/>
  <c r="F8" i="11"/>
  <c r="E8" i="11"/>
  <c r="I8" i="11"/>
  <c r="G8" i="11"/>
  <c r="H93" i="11"/>
  <c r="E93" i="11"/>
  <c r="I93" i="11"/>
  <c r="F93" i="11"/>
  <c r="G93" i="11"/>
  <c r="C87" i="11"/>
  <c r="D87" i="11"/>
  <c r="C83" i="11"/>
  <c r="D83" i="11"/>
  <c r="C75" i="11"/>
  <c r="D75" i="11"/>
  <c r="C67" i="11"/>
  <c r="D67" i="11"/>
  <c r="C59" i="11"/>
  <c r="D59" i="11"/>
  <c r="C47" i="11"/>
  <c r="D47" i="11"/>
  <c r="C35" i="11"/>
  <c r="D35" i="11"/>
  <c r="C11" i="11"/>
  <c r="D11" i="11"/>
  <c r="C82" i="11"/>
  <c r="D82" i="11"/>
  <c r="C74" i="11"/>
  <c r="D74" i="11"/>
  <c r="C66" i="11"/>
  <c r="D66" i="11"/>
  <c r="C58" i="11"/>
  <c r="D58" i="11"/>
  <c r="C50" i="11"/>
  <c r="D50" i="11"/>
  <c r="C42" i="11"/>
  <c r="D42" i="11"/>
  <c r="C34" i="11"/>
  <c r="D34" i="11"/>
  <c r="C26" i="11"/>
  <c r="D26" i="11"/>
  <c r="C18" i="11"/>
  <c r="D18" i="11"/>
  <c r="C6" i="11"/>
  <c r="D6" i="11"/>
  <c r="C91" i="11"/>
  <c r="D91" i="11"/>
  <c r="C89" i="11"/>
  <c r="D89" i="11"/>
  <c r="C85" i="11"/>
  <c r="D85" i="11"/>
  <c r="C81" i="11"/>
  <c r="D81" i="11"/>
  <c r="C77" i="11"/>
  <c r="D77" i="11"/>
  <c r="C73" i="11"/>
  <c r="D73" i="11"/>
  <c r="C69" i="11"/>
  <c r="D69" i="11"/>
  <c r="C65" i="11"/>
  <c r="D65" i="11"/>
  <c r="C61" i="11"/>
  <c r="D61" i="11"/>
  <c r="C57" i="11"/>
  <c r="D57" i="11"/>
  <c r="C53" i="11"/>
  <c r="D53" i="11"/>
  <c r="C49" i="11"/>
  <c r="D49" i="11"/>
  <c r="C45" i="11"/>
  <c r="D45" i="11"/>
  <c r="C41" i="11"/>
  <c r="D41" i="11"/>
  <c r="C37" i="11"/>
  <c r="D37" i="11"/>
  <c r="C33" i="11"/>
  <c r="D33" i="11"/>
  <c r="C29" i="11"/>
  <c r="D29" i="11"/>
  <c r="C25" i="11"/>
  <c r="D25" i="11"/>
  <c r="C21" i="11"/>
  <c r="D21" i="11"/>
  <c r="C17" i="11"/>
  <c r="D17" i="11"/>
  <c r="C13" i="11"/>
  <c r="D13" i="11"/>
  <c r="C9" i="11"/>
  <c r="D9" i="11"/>
  <c r="C94" i="11"/>
  <c r="D94" i="11"/>
  <c r="C90" i="11"/>
  <c r="D90" i="11"/>
  <c r="C79" i="11"/>
  <c r="D79" i="11"/>
  <c r="C71" i="11"/>
  <c r="D71" i="11"/>
  <c r="C63" i="11"/>
  <c r="D63" i="11"/>
  <c r="C55" i="11"/>
  <c r="D55" i="11"/>
  <c r="C51" i="11"/>
  <c r="D51" i="11"/>
  <c r="C43" i="11"/>
  <c r="D43" i="11"/>
  <c r="C39" i="11"/>
  <c r="D39" i="11"/>
  <c r="C31" i="11"/>
  <c r="D31" i="11"/>
  <c r="C27" i="11"/>
  <c r="D27" i="11"/>
  <c r="C23" i="11"/>
  <c r="D23" i="11"/>
  <c r="C19" i="11"/>
  <c r="D19" i="11"/>
  <c r="C15" i="11"/>
  <c r="D15" i="11"/>
  <c r="C7" i="11"/>
  <c r="D7" i="11"/>
  <c r="C92" i="11"/>
  <c r="D92" i="11"/>
  <c r="C86" i="11"/>
  <c r="D86" i="11"/>
  <c r="C78" i="11"/>
  <c r="D78" i="11"/>
  <c r="C70" i="11"/>
  <c r="D70" i="11"/>
  <c r="C62" i="11"/>
  <c r="D62" i="11"/>
  <c r="C54" i="11"/>
  <c r="D54" i="11"/>
  <c r="C46" i="11"/>
  <c r="D46" i="11"/>
  <c r="C38" i="11"/>
  <c r="D38" i="11"/>
  <c r="C30" i="11"/>
  <c r="D30" i="11"/>
  <c r="C22" i="11"/>
  <c r="D22" i="11"/>
  <c r="C14" i="11"/>
  <c r="D14" i="11"/>
  <c r="C10" i="11"/>
  <c r="D10" i="11"/>
  <c r="C95" i="11"/>
  <c r="D95" i="11"/>
  <c r="C88" i="11"/>
  <c r="D88" i="11"/>
  <c r="C84" i="11"/>
  <c r="D84" i="11"/>
  <c r="C80" i="11"/>
  <c r="D80" i="11"/>
  <c r="C76" i="11"/>
  <c r="D76" i="11"/>
  <c r="C72" i="11"/>
  <c r="D72" i="11"/>
  <c r="C68" i="11"/>
  <c r="D68" i="11"/>
  <c r="C64" i="11"/>
  <c r="D64" i="11"/>
  <c r="C60" i="11"/>
  <c r="D60" i="11"/>
  <c r="C56" i="11"/>
  <c r="D56" i="11"/>
  <c r="C52" i="11"/>
  <c r="D52" i="11"/>
  <c r="C48" i="11"/>
  <c r="D48" i="11"/>
  <c r="C44" i="11"/>
  <c r="D44" i="11"/>
  <c r="C40" i="11"/>
  <c r="D40" i="11"/>
  <c r="C36" i="11"/>
  <c r="D36" i="11"/>
  <c r="C32" i="11"/>
  <c r="D32" i="11"/>
  <c r="C28" i="11"/>
  <c r="D28" i="11"/>
  <c r="C24" i="11"/>
  <c r="D24" i="11"/>
  <c r="C20" i="11"/>
  <c r="D20" i="11"/>
  <c r="C16" i="11"/>
  <c r="D16" i="11"/>
  <c r="C12" i="11"/>
  <c r="D12" i="11"/>
  <c r="C8" i="11"/>
  <c r="D8" i="11"/>
  <c r="C93" i="11"/>
  <c r="D93" i="11"/>
  <c r="A4" i="11"/>
  <c r="N18" i="4"/>
  <c r="O18" i="4"/>
  <c r="P18" i="4"/>
  <c r="Q18" i="4"/>
  <c r="R18" i="4"/>
  <c r="S18" i="4"/>
  <c r="N19" i="4"/>
  <c r="O19" i="4"/>
  <c r="P19" i="4"/>
  <c r="Q19" i="4"/>
  <c r="R19" i="4"/>
  <c r="S19" i="4"/>
  <c r="N35" i="4"/>
  <c r="O35" i="4"/>
  <c r="P35" i="4"/>
  <c r="Q35" i="4"/>
  <c r="R35" i="4"/>
  <c r="S35" i="4"/>
  <c r="N36" i="4"/>
  <c r="O36" i="4"/>
  <c r="P36" i="4"/>
  <c r="Q36" i="4"/>
  <c r="R36" i="4"/>
  <c r="S36" i="4"/>
  <c r="N52" i="4"/>
  <c r="O52" i="4"/>
  <c r="P52" i="4"/>
  <c r="Q52" i="4"/>
  <c r="R52" i="4"/>
  <c r="S52" i="4"/>
  <c r="N53" i="4"/>
  <c r="O53" i="4"/>
  <c r="P53" i="4"/>
  <c r="Q53" i="4"/>
  <c r="R53" i="4"/>
  <c r="S53" i="4"/>
  <c r="N69" i="4"/>
  <c r="O69" i="4"/>
  <c r="P69" i="4"/>
  <c r="Q69" i="4"/>
  <c r="R69" i="4"/>
  <c r="S69" i="4"/>
  <c r="N70" i="4"/>
  <c r="O70" i="4"/>
  <c r="P70" i="4"/>
  <c r="Q70" i="4"/>
  <c r="R70" i="4"/>
  <c r="S70" i="4"/>
  <c r="N86" i="4"/>
  <c r="O86" i="4"/>
  <c r="P86" i="4"/>
  <c r="Q86" i="4"/>
  <c r="R86" i="4"/>
  <c r="S86" i="4"/>
  <c r="N87" i="4"/>
  <c r="O87" i="4"/>
  <c r="P87" i="4"/>
  <c r="Q87" i="4"/>
  <c r="R87" i="4"/>
  <c r="S87" i="4"/>
  <c r="N103" i="4"/>
  <c r="O103" i="4"/>
  <c r="P103" i="4"/>
  <c r="Q103" i="4"/>
  <c r="R103" i="4"/>
  <c r="S103" i="4"/>
  <c r="N104" i="4"/>
  <c r="O104" i="4"/>
  <c r="P104" i="4"/>
  <c r="Q104" i="4"/>
  <c r="R104" i="4"/>
  <c r="S104" i="4"/>
  <c r="N120" i="4"/>
  <c r="O120" i="4"/>
  <c r="P120" i="4"/>
  <c r="Q120" i="4"/>
  <c r="R120" i="4"/>
  <c r="S120" i="4"/>
  <c r="N121" i="4"/>
  <c r="O121" i="4"/>
  <c r="P121" i="4"/>
  <c r="Q121" i="4"/>
  <c r="R121" i="4"/>
  <c r="S121" i="4"/>
  <c r="N137" i="4"/>
  <c r="O137" i="4"/>
  <c r="P137" i="4"/>
  <c r="Q137" i="4"/>
  <c r="R137" i="4"/>
  <c r="S137" i="4"/>
  <c r="N138" i="4"/>
  <c r="O138" i="4"/>
  <c r="P138" i="4"/>
  <c r="Q138" i="4"/>
  <c r="R138" i="4"/>
  <c r="S138" i="4"/>
  <c r="N154" i="4"/>
  <c r="O154" i="4"/>
  <c r="P154" i="4"/>
  <c r="Q154" i="4"/>
  <c r="R154" i="4"/>
  <c r="S154" i="4"/>
  <c r="N155" i="4"/>
  <c r="O155" i="4"/>
  <c r="P155" i="4"/>
  <c r="Q155" i="4"/>
  <c r="R155" i="4"/>
  <c r="S155" i="4"/>
  <c r="N171" i="4"/>
  <c r="O171" i="4"/>
  <c r="P171" i="4"/>
  <c r="Q171" i="4"/>
  <c r="R171" i="4"/>
  <c r="S171" i="4"/>
  <c r="N172" i="4"/>
  <c r="O172" i="4"/>
  <c r="P172" i="4"/>
  <c r="Q172" i="4"/>
  <c r="R172" i="4"/>
  <c r="S172" i="4"/>
  <c r="N188" i="4"/>
  <c r="O188" i="4"/>
  <c r="P188" i="4"/>
  <c r="Q188" i="4"/>
  <c r="R188" i="4"/>
  <c r="S188" i="4"/>
  <c r="N189" i="4"/>
  <c r="O189" i="4"/>
  <c r="P189" i="4"/>
  <c r="Q189" i="4"/>
  <c r="R189" i="4"/>
  <c r="S189" i="4"/>
  <c r="N205" i="4"/>
  <c r="O205" i="4"/>
  <c r="P205" i="4"/>
  <c r="Q205" i="4"/>
  <c r="R205" i="4"/>
  <c r="S205" i="4"/>
  <c r="N206" i="4"/>
  <c r="O206" i="4"/>
  <c r="P206" i="4"/>
  <c r="Q206" i="4"/>
  <c r="R206" i="4"/>
  <c r="S206" i="4"/>
  <c r="N222" i="4"/>
  <c r="O222" i="4"/>
  <c r="P222" i="4"/>
  <c r="Q222" i="4"/>
  <c r="R222" i="4"/>
  <c r="S222" i="4"/>
  <c r="N223" i="4"/>
  <c r="O223" i="4"/>
  <c r="P223" i="4"/>
  <c r="Q223" i="4"/>
  <c r="R223" i="4"/>
  <c r="S223" i="4"/>
  <c r="N239" i="4"/>
  <c r="O239" i="4"/>
  <c r="P239" i="4"/>
  <c r="Q239" i="4"/>
  <c r="R239" i="4"/>
  <c r="S239" i="4"/>
  <c r="N240" i="4"/>
  <c r="O240" i="4"/>
  <c r="P240" i="4"/>
  <c r="Q240" i="4"/>
  <c r="R240" i="4"/>
  <c r="S240" i="4"/>
  <c r="N256" i="4"/>
  <c r="O256" i="4"/>
  <c r="P256" i="4"/>
  <c r="Q256" i="4"/>
  <c r="R256" i="4"/>
  <c r="S256" i="4"/>
  <c r="N257" i="4"/>
  <c r="O257" i="4"/>
  <c r="P257" i="4"/>
  <c r="Q257" i="4"/>
  <c r="R257" i="4"/>
  <c r="S257" i="4"/>
  <c r="N273" i="4"/>
  <c r="O273" i="4"/>
  <c r="P273" i="4"/>
  <c r="Q273" i="4"/>
  <c r="R273" i="4"/>
  <c r="S273" i="4"/>
  <c r="N274" i="4"/>
  <c r="O274" i="4"/>
  <c r="P274" i="4"/>
  <c r="Q274" i="4"/>
  <c r="R274" i="4"/>
  <c r="S274" i="4"/>
  <c r="N290" i="4"/>
  <c r="O290" i="4"/>
  <c r="P290" i="4"/>
  <c r="Q290" i="4"/>
  <c r="R290" i="4"/>
  <c r="S290" i="4"/>
  <c r="N291" i="4"/>
  <c r="O291" i="4"/>
  <c r="P291" i="4"/>
  <c r="Q291" i="4"/>
  <c r="R291" i="4"/>
  <c r="S291" i="4"/>
  <c r="N307" i="4"/>
  <c r="O307" i="4"/>
  <c r="P307" i="4"/>
  <c r="Q307" i="4"/>
  <c r="R307" i="4"/>
  <c r="S307" i="4"/>
  <c r="N308" i="4"/>
  <c r="O308" i="4"/>
  <c r="P308" i="4"/>
  <c r="Q308" i="4"/>
  <c r="R308" i="4"/>
  <c r="S308" i="4"/>
  <c r="N324" i="4"/>
  <c r="O324" i="4"/>
  <c r="P324" i="4"/>
  <c r="Q324" i="4"/>
  <c r="R324" i="4"/>
  <c r="S324" i="4"/>
  <c r="N325" i="4"/>
  <c r="O325" i="4"/>
  <c r="P325" i="4"/>
  <c r="Q325" i="4"/>
  <c r="R325" i="4"/>
  <c r="S325" i="4"/>
  <c r="N341" i="4"/>
  <c r="O341" i="4"/>
  <c r="P341" i="4"/>
  <c r="Q341" i="4"/>
  <c r="R341" i="4"/>
  <c r="S341" i="4"/>
  <c r="N342" i="4"/>
  <c r="O342" i="4"/>
  <c r="P342" i="4"/>
  <c r="Q342" i="4"/>
  <c r="R342" i="4"/>
  <c r="S342" i="4"/>
  <c r="N358" i="4"/>
  <c r="O358" i="4"/>
  <c r="P358" i="4"/>
  <c r="Q358" i="4"/>
  <c r="R358" i="4"/>
  <c r="S358" i="4"/>
  <c r="N359" i="4"/>
  <c r="O359" i="4"/>
  <c r="P359" i="4"/>
  <c r="Q359" i="4"/>
  <c r="R359" i="4"/>
  <c r="S359" i="4"/>
  <c r="N375" i="4"/>
  <c r="O375" i="4"/>
  <c r="P375" i="4"/>
  <c r="Q375" i="4"/>
  <c r="R375" i="4"/>
  <c r="S375" i="4"/>
  <c r="N376" i="4"/>
  <c r="O376" i="4"/>
  <c r="P376" i="4"/>
  <c r="Q376" i="4"/>
  <c r="R376" i="4"/>
  <c r="S376" i="4"/>
  <c r="N392" i="4"/>
  <c r="O392" i="4"/>
  <c r="P392" i="4"/>
  <c r="Q392" i="4"/>
  <c r="R392" i="4"/>
  <c r="S392" i="4"/>
  <c r="N393" i="4"/>
  <c r="O393" i="4"/>
  <c r="P393" i="4"/>
  <c r="Q393" i="4"/>
  <c r="R393" i="4"/>
  <c r="S393" i="4"/>
  <c r="N409" i="4"/>
  <c r="O409" i="4"/>
  <c r="P409" i="4"/>
  <c r="Q409" i="4"/>
  <c r="R409" i="4"/>
  <c r="S409" i="4"/>
  <c r="N410" i="4"/>
  <c r="O410" i="4"/>
  <c r="P410" i="4"/>
  <c r="Q410" i="4"/>
  <c r="R410" i="4"/>
  <c r="S410" i="4"/>
  <c r="N426" i="4"/>
  <c r="O426" i="4"/>
  <c r="P426" i="4"/>
  <c r="Q426" i="4"/>
  <c r="R426" i="4"/>
  <c r="S426" i="4"/>
  <c r="N427" i="4"/>
  <c r="O427" i="4"/>
  <c r="P427" i="4"/>
  <c r="Q427" i="4"/>
  <c r="R427" i="4"/>
  <c r="S427" i="4"/>
  <c r="N443" i="4"/>
  <c r="O443" i="4"/>
  <c r="P443" i="4"/>
  <c r="Q443" i="4"/>
  <c r="R443" i="4"/>
  <c r="S443" i="4"/>
  <c r="N444" i="4"/>
  <c r="O444" i="4"/>
  <c r="P444" i="4"/>
  <c r="Q444" i="4"/>
  <c r="R444" i="4"/>
  <c r="S444" i="4"/>
  <c r="N460" i="4"/>
  <c r="O460" i="4"/>
  <c r="P460" i="4"/>
  <c r="Q460" i="4"/>
  <c r="R460" i="4"/>
  <c r="S460" i="4"/>
  <c r="N461" i="4"/>
  <c r="O461" i="4"/>
  <c r="P461" i="4"/>
  <c r="Q461" i="4"/>
  <c r="R461" i="4"/>
  <c r="S461" i="4"/>
  <c r="N477" i="4"/>
  <c r="O477" i="4"/>
  <c r="P477" i="4"/>
  <c r="Q477" i="4"/>
  <c r="R477" i="4"/>
  <c r="S477" i="4"/>
  <c r="N478" i="4"/>
  <c r="O478" i="4"/>
  <c r="P478" i="4"/>
  <c r="Q478" i="4"/>
  <c r="R478" i="4"/>
  <c r="S478" i="4"/>
  <c r="N494" i="4"/>
  <c r="O494" i="4"/>
  <c r="P494" i="4"/>
  <c r="Q494" i="4"/>
  <c r="R494" i="4"/>
  <c r="S494" i="4"/>
  <c r="N495" i="4"/>
  <c r="O495" i="4"/>
  <c r="P495" i="4"/>
  <c r="Q495" i="4"/>
  <c r="R495" i="4"/>
  <c r="S495" i="4"/>
  <c r="N511" i="4"/>
  <c r="O511" i="4"/>
  <c r="P511" i="4"/>
  <c r="Q511" i="4"/>
  <c r="R511" i="4"/>
  <c r="S511" i="4"/>
  <c r="N512" i="4"/>
  <c r="O512" i="4"/>
  <c r="P512" i="4"/>
  <c r="Q512" i="4"/>
  <c r="R512" i="4"/>
  <c r="S512" i="4"/>
  <c r="N528" i="4"/>
  <c r="O528" i="4"/>
  <c r="P528" i="4"/>
  <c r="Q528" i="4"/>
  <c r="R528" i="4"/>
  <c r="S528" i="4"/>
  <c r="N529" i="4"/>
  <c r="O529" i="4"/>
  <c r="P529" i="4"/>
  <c r="Q529" i="4"/>
  <c r="R529" i="4"/>
  <c r="S529" i="4"/>
  <c r="N545" i="4"/>
  <c r="O545" i="4"/>
  <c r="P545" i="4"/>
  <c r="Q545" i="4"/>
  <c r="R545" i="4"/>
  <c r="S545" i="4"/>
  <c r="N546" i="4"/>
  <c r="O546" i="4"/>
  <c r="P546" i="4"/>
  <c r="Q546" i="4"/>
  <c r="R546" i="4"/>
  <c r="S546" i="4"/>
  <c r="N562" i="4"/>
  <c r="O562" i="4"/>
  <c r="P562" i="4"/>
  <c r="Q562" i="4"/>
  <c r="R562" i="4"/>
  <c r="S562" i="4"/>
  <c r="N563" i="4"/>
  <c r="O563" i="4"/>
  <c r="P563" i="4"/>
  <c r="Q563" i="4"/>
  <c r="R563" i="4"/>
  <c r="S563" i="4"/>
  <c r="N579" i="4"/>
  <c r="O579" i="4"/>
  <c r="P579" i="4"/>
  <c r="Q579" i="4"/>
  <c r="R579" i="4"/>
  <c r="S579" i="4"/>
  <c r="N580" i="4"/>
  <c r="O580" i="4"/>
  <c r="P580" i="4"/>
  <c r="Q580" i="4"/>
  <c r="R580" i="4"/>
  <c r="S580" i="4"/>
  <c r="N596" i="4"/>
  <c r="O596" i="4"/>
  <c r="P596" i="4"/>
  <c r="Q596" i="4"/>
  <c r="R596" i="4"/>
  <c r="S596" i="4"/>
  <c r="N597" i="4"/>
  <c r="O597" i="4"/>
  <c r="P597" i="4"/>
  <c r="Q597" i="4"/>
  <c r="R597" i="4"/>
  <c r="S597" i="4"/>
  <c r="N613" i="4"/>
  <c r="O613" i="4"/>
  <c r="P613" i="4"/>
  <c r="Q613" i="4"/>
  <c r="R613" i="4"/>
  <c r="S613" i="4"/>
  <c r="N614" i="4"/>
  <c r="O614" i="4"/>
  <c r="P614" i="4"/>
  <c r="Q614" i="4"/>
  <c r="R614" i="4"/>
  <c r="S614" i="4"/>
  <c r="N630" i="4"/>
  <c r="O630" i="4"/>
  <c r="P630" i="4"/>
  <c r="Q630" i="4"/>
  <c r="R630" i="4"/>
  <c r="S630" i="4"/>
  <c r="N631" i="4"/>
  <c r="O631" i="4"/>
  <c r="P631" i="4"/>
  <c r="Q631" i="4"/>
  <c r="R631" i="4"/>
  <c r="S631" i="4"/>
  <c r="N647" i="4"/>
  <c r="O647" i="4"/>
  <c r="P647" i="4"/>
  <c r="Q647" i="4"/>
  <c r="R647" i="4"/>
  <c r="S647" i="4"/>
  <c r="N648" i="4"/>
  <c r="O648" i="4"/>
  <c r="P648" i="4"/>
  <c r="Q648" i="4"/>
  <c r="R648" i="4"/>
  <c r="S648" i="4"/>
  <c r="N664" i="4"/>
  <c r="O664" i="4"/>
  <c r="P664" i="4"/>
  <c r="Q664" i="4"/>
  <c r="R664" i="4"/>
  <c r="S664" i="4"/>
  <c r="N665" i="4"/>
  <c r="O665" i="4"/>
  <c r="P665" i="4"/>
  <c r="Q665" i="4"/>
  <c r="R665" i="4"/>
  <c r="S665" i="4"/>
  <c r="N681" i="4"/>
  <c r="O681" i="4"/>
  <c r="P681" i="4"/>
  <c r="Q681" i="4"/>
  <c r="R681" i="4"/>
  <c r="S681" i="4"/>
  <c r="N682" i="4"/>
  <c r="O682" i="4"/>
  <c r="P682" i="4"/>
  <c r="Q682" i="4"/>
  <c r="R682" i="4"/>
  <c r="S682" i="4"/>
  <c r="N698" i="4"/>
  <c r="O698" i="4"/>
  <c r="P698" i="4"/>
  <c r="Q698" i="4"/>
  <c r="R698" i="4"/>
  <c r="S698" i="4"/>
  <c r="N699" i="4"/>
  <c r="O699" i="4"/>
  <c r="P699" i="4"/>
  <c r="Q699" i="4"/>
  <c r="R699" i="4"/>
  <c r="S699" i="4"/>
  <c r="N715" i="4"/>
  <c r="O715" i="4"/>
  <c r="P715" i="4"/>
  <c r="Q715" i="4"/>
  <c r="R715" i="4"/>
  <c r="S715" i="4"/>
  <c r="N716" i="4"/>
  <c r="O716" i="4"/>
  <c r="P716" i="4"/>
  <c r="Q716" i="4"/>
  <c r="R716" i="4"/>
  <c r="S716" i="4"/>
  <c r="N732" i="4"/>
  <c r="O732" i="4"/>
  <c r="P732" i="4"/>
  <c r="Q732" i="4"/>
  <c r="R732" i="4"/>
  <c r="S732" i="4"/>
  <c r="N733" i="4"/>
  <c r="O733" i="4"/>
  <c r="P733" i="4"/>
  <c r="Q733" i="4"/>
  <c r="R733" i="4"/>
  <c r="S733" i="4"/>
  <c r="N749" i="4"/>
  <c r="O749" i="4"/>
  <c r="P749" i="4"/>
  <c r="Q749" i="4"/>
  <c r="R749" i="4"/>
  <c r="S749" i="4"/>
  <c r="N750" i="4"/>
  <c r="O750" i="4"/>
  <c r="P750" i="4"/>
  <c r="Q750" i="4"/>
  <c r="R750" i="4"/>
  <c r="S750" i="4"/>
  <c r="N766" i="4"/>
  <c r="O766" i="4"/>
  <c r="P766" i="4"/>
  <c r="Q766" i="4"/>
  <c r="R766" i="4"/>
  <c r="S766" i="4"/>
  <c r="N767" i="4"/>
  <c r="O767" i="4"/>
  <c r="P767" i="4"/>
  <c r="Q767" i="4"/>
  <c r="R767" i="4"/>
  <c r="S767" i="4"/>
  <c r="N783" i="4"/>
  <c r="O783" i="4"/>
  <c r="P783" i="4"/>
  <c r="Q783" i="4"/>
  <c r="R783" i="4"/>
  <c r="S783" i="4"/>
  <c r="N784" i="4"/>
  <c r="O784" i="4"/>
  <c r="P784" i="4"/>
  <c r="Q784" i="4"/>
  <c r="R784" i="4"/>
  <c r="S784" i="4"/>
  <c r="N800" i="4"/>
  <c r="O800" i="4"/>
  <c r="P800" i="4"/>
  <c r="Q800" i="4"/>
  <c r="R800" i="4"/>
  <c r="S800" i="4"/>
  <c r="N801" i="4"/>
  <c r="O801" i="4"/>
  <c r="P801" i="4"/>
  <c r="Q801" i="4"/>
  <c r="R801" i="4"/>
  <c r="S801" i="4"/>
  <c r="N817" i="4"/>
  <c r="O817" i="4"/>
  <c r="P817" i="4"/>
  <c r="Q817" i="4"/>
  <c r="R817" i="4"/>
  <c r="S817" i="4"/>
  <c r="N818" i="4"/>
  <c r="O818" i="4"/>
  <c r="P818" i="4"/>
  <c r="Q818" i="4"/>
  <c r="R818" i="4"/>
  <c r="S818" i="4"/>
  <c r="N834" i="4"/>
  <c r="O834" i="4"/>
  <c r="P834" i="4"/>
  <c r="Q834" i="4"/>
  <c r="R834" i="4"/>
  <c r="S834" i="4"/>
  <c r="N835" i="4"/>
  <c r="O835" i="4"/>
  <c r="P835" i="4"/>
  <c r="Q835" i="4"/>
  <c r="R835" i="4"/>
  <c r="S835" i="4"/>
  <c r="N851" i="4"/>
  <c r="O851" i="4"/>
  <c r="P851" i="4"/>
  <c r="Q851" i="4"/>
  <c r="R851" i="4"/>
  <c r="S851" i="4"/>
  <c r="N852" i="4"/>
  <c r="O852" i="4"/>
  <c r="P852" i="4"/>
  <c r="Q852" i="4"/>
  <c r="R852" i="4"/>
  <c r="S852" i="4"/>
  <c r="N868" i="4"/>
  <c r="O868" i="4"/>
  <c r="P868" i="4"/>
  <c r="Q868" i="4"/>
  <c r="R868" i="4"/>
  <c r="S868" i="4"/>
  <c r="N869" i="4"/>
  <c r="O869" i="4"/>
  <c r="P869" i="4"/>
  <c r="Q869" i="4"/>
  <c r="R869" i="4"/>
  <c r="S869" i="4"/>
  <c r="N885" i="4"/>
  <c r="O885" i="4"/>
  <c r="P885" i="4"/>
  <c r="Q885" i="4"/>
  <c r="R885" i="4"/>
  <c r="S885" i="4"/>
  <c r="N886" i="4"/>
  <c r="O886" i="4"/>
  <c r="P886" i="4"/>
  <c r="Q886" i="4"/>
  <c r="R886" i="4"/>
  <c r="S886" i="4"/>
  <c r="N902" i="4"/>
  <c r="O902" i="4"/>
  <c r="P902" i="4"/>
  <c r="Q902" i="4"/>
  <c r="R902" i="4"/>
  <c r="S902" i="4"/>
  <c r="N903" i="4"/>
  <c r="O903" i="4"/>
  <c r="P903" i="4"/>
  <c r="Q903" i="4"/>
  <c r="R903" i="4"/>
  <c r="S903" i="4"/>
  <c r="N919" i="4"/>
  <c r="O919" i="4"/>
  <c r="P919" i="4"/>
  <c r="Q919" i="4"/>
  <c r="R919" i="4"/>
  <c r="S919" i="4"/>
  <c r="N920" i="4"/>
  <c r="O920" i="4"/>
  <c r="P920" i="4"/>
  <c r="Q920" i="4"/>
  <c r="R920" i="4"/>
  <c r="S920" i="4"/>
  <c r="N936" i="4"/>
  <c r="O936" i="4"/>
  <c r="P936" i="4"/>
  <c r="Q936" i="4"/>
  <c r="R936" i="4"/>
  <c r="S936" i="4"/>
  <c r="N937" i="4"/>
  <c r="O937" i="4"/>
  <c r="P937" i="4"/>
  <c r="Q937" i="4"/>
  <c r="R937" i="4"/>
  <c r="S937" i="4"/>
  <c r="N953" i="4"/>
  <c r="O953" i="4"/>
  <c r="P953" i="4"/>
  <c r="Q953" i="4"/>
  <c r="R953" i="4"/>
  <c r="S953" i="4"/>
  <c r="N954" i="4"/>
  <c r="O954" i="4"/>
  <c r="P954" i="4"/>
  <c r="Q954" i="4"/>
  <c r="R954" i="4"/>
  <c r="S954" i="4"/>
  <c r="N970" i="4"/>
  <c r="O970" i="4"/>
  <c r="P970" i="4"/>
  <c r="Q970" i="4"/>
  <c r="R970" i="4"/>
  <c r="S970" i="4"/>
  <c r="N971" i="4"/>
  <c r="O971" i="4"/>
  <c r="P971" i="4"/>
  <c r="Q971" i="4"/>
  <c r="R971" i="4"/>
  <c r="S971" i="4"/>
  <c r="N987" i="4"/>
  <c r="O987" i="4"/>
  <c r="P987" i="4"/>
  <c r="Q987" i="4"/>
  <c r="R987" i="4"/>
  <c r="S987" i="4"/>
  <c r="N988" i="4"/>
  <c r="O988" i="4"/>
  <c r="P988" i="4"/>
  <c r="Q988" i="4"/>
  <c r="R988" i="4"/>
  <c r="S988" i="4"/>
  <c r="N1004" i="4"/>
  <c r="O1004" i="4"/>
  <c r="P1004" i="4"/>
  <c r="Q1004" i="4"/>
  <c r="R1004" i="4"/>
  <c r="S1004" i="4"/>
  <c r="N1005" i="4"/>
  <c r="O1005" i="4"/>
  <c r="P1005" i="4"/>
  <c r="Q1005" i="4"/>
  <c r="R1005" i="4"/>
  <c r="S1005" i="4"/>
  <c r="N1021" i="4"/>
  <c r="O1021" i="4"/>
  <c r="P1021" i="4"/>
  <c r="Q1021" i="4"/>
  <c r="R1021" i="4"/>
  <c r="S1021" i="4"/>
  <c r="N1022" i="4"/>
  <c r="O1022" i="4"/>
  <c r="P1022" i="4"/>
  <c r="Q1022" i="4"/>
  <c r="R1022" i="4"/>
  <c r="S1022" i="4"/>
  <c r="N1038" i="4"/>
  <c r="O1038" i="4"/>
  <c r="P1038" i="4"/>
  <c r="Q1038" i="4"/>
  <c r="R1038" i="4"/>
  <c r="S1038" i="4"/>
  <c r="N1039" i="4"/>
  <c r="O1039" i="4"/>
  <c r="P1039" i="4"/>
  <c r="Q1039" i="4"/>
  <c r="R1039" i="4"/>
  <c r="S1039" i="4"/>
  <c r="N1055" i="4"/>
  <c r="O1055" i="4"/>
  <c r="P1055" i="4"/>
  <c r="Q1055" i="4"/>
  <c r="R1055" i="4"/>
  <c r="S1055" i="4"/>
  <c r="N1056" i="4"/>
  <c r="O1056" i="4"/>
  <c r="P1056" i="4"/>
  <c r="Q1056" i="4"/>
  <c r="R1056" i="4"/>
  <c r="S1056" i="4"/>
  <c r="N1072" i="4"/>
  <c r="O1072" i="4"/>
  <c r="P1072" i="4"/>
  <c r="Q1072" i="4"/>
  <c r="R1072" i="4"/>
  <c r="S1072" i="4"/>
  <c r="N1073" i="4"/>
  <c r="O1073" i="4"/>
  <c r="P1073" i="4"/>
  <c r="Q1073" i="4"/>
  <c r="R1073" i="4"/>
  <c r="S1073" i="4"/>
  <c r="N1089" i="4"/>
  <c r="O1089" i="4"/>
  <c r="P1089" i="4"/>
  <c r="Q1089" i="4"/>
  <c r="R1089" i="4"/>
  <c r="S1089" i="4"/>
  <c r="N1090" i="4"/>
  <c r="O1090" i="4"/>
  <c r="P1090" i="4"/>
  <c r="Q1090" i="4"/>
  <c r="R1090" i="4"/>
  <c r="S1090" i="4"/>
  <c r="N1106" i="4"/>
  <c r="O1106" i="4"/>
  <c r="P1106" i="4"/>
  <c r="Q1106" i="4"/>
  <c r="R1106" i="4"/>
  <c r="S1106" i="4"/>
  <c r="N1107" i="4"/>
  <c r="O1107" i="4"/>
  <c r="P1107" i="4"/>
  <c r="Q1107" i="4"/>
  <c r="R1107" i="4"/>
  <c r="S1107" i="4"/>
  <c r="N1123" i="4"/>
  <c r="O1123" i="4"/>
  <c r="P1123" i="4"/>
  <c r="Q1123" i="4"/>
  <c r="R1123" i="4"/>
  <c r="S1123" i="4"/>
  <c r="N1124" i="4"/>
  <c r="O1124" i="4"/>
  <c r="P1124" i="4"/>
  <c r="Q1124" i="4"/>
  <c r="R1124" i="4"/>
  <c r="S1124" i="4"/>
  <c r="N1140" i="4"/>
  <c r="O1140" i="4"/>
  <c r="P1140" i="4"/>
  <c r="Q1140" i="4"/>
  <c r="R1140" i="4"/>
  <c r="S1140" i="4"/>
  <c r="N1141" i="4"/>
  <c r="O1141" i="4"/>
  <c r="P1141" i="4"/>
  <c r="Q1141" i="4"/>
  <c r="R1141" i="4"/>
  <c r="S1141" i="4"/>
  <c r="N1157" i="4"/>
  <c r="O1157" i="4"/>
  <c r="P1157" i="4"/>
  <c r="Q1157" i="4"/>
  <c r="R1157" i="4"/>
  <c r="S1157" i="4"/>
  <c r="N1158" i="4"/>
  <c r="O1158" i="4"/>
  <c r="P1158" i="4"/>
  <c r="Q1158" i="4"/>
  <c r="R1158" i="4"/>
  <c r="S1158" i="4"/>
  <c r="N1174" i="4"/>
  <c r="O1174" i="4"/>
  <c r="P1174" i="4"/>
  <c r="Q1174" i="4"/>
  <c r="R1174" i="4"/>
  <c r="S1174" i="4"/>
  <c r="N1175" i="4"/>
  <c r="O1175" i="4"/>
  <c r="P1175" i="4"/>
  <c r="Q1175" i="4"/>
  <c r="R1175" i="4"/>
  <c r="S1175" i="4"/>
  <c r="N1191" i="4"/>
  <c r="O1191" i="4"/>
  <c r="P1191" i="4"/>
  <c r="Q1191" i="4"/>
  <c r="R1191" i="4"/>
  <c r="S1191" i="4"/>
  <c r="N1192" i="4"/>
  <c r="O1192" i="4"/>
  <c r="P1192" i="4"/>
  <c r="Q1192" i="4"/>
  <c r="R1192" i="4"/>
  <c r="S1192" i="4"/>
  <c r="N1208" i="4"/>
  <c r="O1208" i="4"/>
  <c r="P1208" i="4"/>
  <c r="Q1208" i="4"/>
  <c r="R1208" i="4"/>
  <c r="S1208" i="4"/>
  <c r="N1209" i="4"/>
  <c r="O1209" i="4"/>
  <c r="P1209" i="4"/>
  <c r="Q1209" i="4"/>
  <c r="R1209" i="4"/>
  <c r="S1209" i="4"/>
  <c r="N1225" i="4"/>
  <c r="O1225" i="4"/>
  <c r="P1225" i="4"/>
  <c r="Q1225" i="4"/>
  <c r="R1225" i="4"/>
  <c r="S1225" i="4"/>
  <c r="N1226" i="4"/>
  <c r="O1226" i="4"/>
  <c r="P1226" i="4"/>
  <c r="Q1226" i="4"/>
  <c r="R1226" i="4"/>
  <c r="S1226" i="4"/>
  <c r="N1242" i="4"/>
  <c r="O1242" i="4"/>
  <c r="P1242" i="4"/>
  <c r="Q1242" i="4"/>
  <c r="R1242" i="4"/>
  <c r="S1242" i="4"/>
  <c r="N1243" i="4"/>
  <c r="O1243" i="4"/>
  <c r="P1243" i="4"/>
  <c r="Q1243" i="4"/>
  <c r="R1243" i="4"/>
  <c r="S1243" i="4"/>
  <c r="N1259" i="4"/>
  <c r="O1259" i="4"/>
  <c r="P1259" i="4"/>
  <c r="Q1259" i="4"/>
  <c r="R1259" i="4"/>
  <c r="S1259" i="4"/>
  <c r="N1260" i="4"/>
  <c r="O1260" i="4"/>
  <c r="P1260" i="4"/>
  <c r="Q1260" i="4"/>
  <c r="R1260" i="4"/>
  <c r="S1260" i="4"/>
  <c r="N1276" i="4"/>
  <c r="O1276" i="4"/>
  <c r="P1276" i="4"/>
  <c r="Q1276" i="4"/>
  <c r="R1276" i="4"/>
  <c r="S1276" i="4"/>
  <c r="N1277" i="4"/>
  <c r="O1277" i="4"/>
  <c r="P1277" i="4"/>
  <c r="Q1277" i="4"/>
  <c r="R1277" i="4"/>
  <c r="S1277" i="4"/>
  <c r="N1293" i="4"/>
  <c r="O1293" i="4"/>
  <c r="P1293" i="4"/>
  <c r="Q1293" i="4"/>
  <c r="R1293" i="4"/>
  <c r="S1293" i="4"/>
  <c r="N1294" i="4"/>
  <c r="O1294" i="4"/>
  <c r="P1294" i="4"/>
  <c r="Q1294" i="4"/>
  <c r="R1294" i="4"/>
  <c r="S1294" i="4"/>
  <c r="N1310" i="4"/>
  <c r="O1310" i="4"/>
  <c r="P1310" i="4"/>
  <c r="Q1310" i="4"/>
  <c r="R1310" i="4"/>
  <c r="S1310" i="4"/>
  <c r="N1311" i="4"/>
  <c r="O1311" i="4"/>
  <c r="P1311" i="4"/>
  <c r="Q1311" i="4"/>
  <c r="R1311" i="4"/>
  <c r="S1311" i="4"/>
  <c r="N1327" i="4"/>
  <c r="O1327" i="4"/>
  <c r="P1327" i="4"/>
  <c r="Q1327" i="4"/>
  <c r="R1327" i="4"/>
  <c r="S1327" i="4"/>
  <c r="N1328" i="4"/>
  <c r="O1328" i="4"/>
  <c r="P1328" i="4"/>
  <c r="Q1328" i="4"/>
  <c r="R1328" i="4"/>
  <c r="S1328" i="4"/>
  <c r="N1344" i="4"/>
  <c r="O1344" i="4"/>
  <c r="P1344" i="4"/>
  <c r="Q1344" i="4"/>
  <c r="R1344" i="4"/>
  <c r="S1344" i="4"/>
  <c r="N1345" i="4"/>
  <c r="O1345" i="4"/>
  <c r="P1345" i="4"/>
  <c r="Q1345" i="4"/>
  <c r="R1345" i="4"/>
  <c r="S1345" i="4"/>
  <c r="N1350" i="4"/>
  <c r="O1350" i="4"/>
  <c r="P1350" i="4"/>
  <c r="Q1350" i="4"/>
  <c r="R1350" i="4"/>
  <c r="S1350" i="4"/>
  <c r="N1351" i="4"/>
  <c r="O1351" i="4"/>
  <c r="P1351" i="4"/>
  <c r="Q1351" i="4"/>
  <c r="R1351" i="4"/>
  <c r="S1351" i="4"/>
  <c r="N1352" i="4"/>
  <c r="O1352" i="4"/>
  <c r="P1352" i="4"/>
  <c r="Q1352" i="4"/>
  <c r="R1352" i="4"/>
  <c r="S1352" i="4"/>
  <c r="N1353" i="4"/>
  <c r="O1353" i="4"/>
  <c r="P1353" i="4"/>
  <c r="Q1353" i="4"/>
  <c r="R1353" i="4"/>
  <c r="S1353" i="4"/>
  <c r="N1354" i="4"/>
  <c r="O1354" i="4"/>
  <c r="P1354" i="4"/>
  <c r="Q1354" i="4"/>
  <c r="R1354" i="4"/>
  <c r="S1354" i="4"/>
  <c r="N1355" i="4"/>
  <c r="O1355" i="4"/>
  <c r="P1355" i="4"/>
  <c r="Q1355" i="4"/>
  <c r="R1355" i="4"/>
  <c r="S1355" i="4"/>
  <c r="N1356" i="4"/>
  <c r="O1356" i="4"/>
  <c r="P1356" i="4"/>
  <c r="Q1356" i="4"/>
  <c r="R1356" i="4"/>
  <c r="S1356" i="4"/>
  <c r="N1357" i="4"/>
  <c r="O1357" i="4"/>
  <c r="P1357" i="4"/>
  <c r="Q1357" i="4"/>
  <c r="R1357" i="4"/>
  <c r="S1357" i="4"/>
  <c r="N1358" i="4"/>
  <c r="O1358" i="4"/>
  <c r="P1358" i="4"/>
  <c r="Q1358" i="4"/>
  <c r="R1358" i="4"/>
  <c r="S1358" i="4"/>
  <c r="N1359" i="4"/>
  <c r="O1359" i="4"/>
  <c r="P1359" i="4"/>
  <c r="Q1359" i="4"/>
  <c r="R1359" i="4"/>
  <c r="S1359" i="4"/>
  <c r="N1360" i="4"/>
  <c r="O1360" i="4"/>
  <c r="P1360" i="4"/>
  <c r="Q1360" i="4"/>
  <c r="R1360" i="4"/>
  <c r="S1360" i="4"/>
  <c r="N1361" i="4"/>
  <c r="O1361" i="4"/>
  <c r="P1361" i="4"/>
  <c r="Q1361" i="4"/>
  <c r="R1361" i="4"/>
  <c r="S1361" i="4"/>
  <c r="N1362" i="4"/>
  <c r="O1362" i="4"/>
  <c r="P1362" i="4"/>
  <c r="Q1362" i="4"/>
  <c r="R1362" i="4"/>
  <c r="S1362" i="4"/>
  <c r="N1363" i="4"/>
  <c r="O1363" i="4"/>
  <c r="P1363" i="4"/>
  <c r="Q1363" i="4"/>
  <c r="R1363" i="4"/>
  <c r="S1363" i="4"/>
  <c r="N1364" i="4"/>
  <c r="O1364" i="4"/>
  <c r="P1364" i="4"/>
  <c r="Q1364" i="4"/>
  <c r="R1364" i="4"/>
  <c r="S1364" i="4"/>
  <c r="N1365" i="4"/>
  <c r="O1365" i="4"/>
  <c r="P1365" i="4"/>
  <c r="Q1365" i="4"/>
  <c r="R1365" i="4"/>
  <c r="S1365" i="4"/>
  <c r="N1366" i="4"/>
  <c r="O1366" i="4"/>
  <c r="P1366" i="4"/>
  <c r="Q1366" i="4"/>
  <c r="R1366" i="4"/>
  <c r="S1366" i="4"/>
  <c r="N1367" i="4"/>
  <c r="O1367" i="4"/>
  <c r="P1367" i="4"/>
  <c r="Q1367" i="4"/>
  <c r="R1367" i="4"/>
  <c r="S1367" i="4"/>
  <c r="N1368" i="4"/>
  <c r="O1368" i="4"/>
  <c r="P1368" i="4"/>
  <c r="Q1368" i="4"/>
  <c r="R1368" i="4"/>
  <c r="S1368" i="4"/>
  <c r="N1369" i="4"/>
  <c r="O1369" i="4"/>
  <c r="P1369" i="4"/>
  <c r="Q1369" i="4"/>
  <c r="R1369" i="4"/>
  <c r="S1369" i="4"/>
  <c r="N1370" i="4"/>
  <c r="O1370" i="4"/>
  <c r="P1370" i="4"/>
  <c r="Q1370" i="4"/>
  <c r="R1370" i="4"/>
  <c r="S1370" i="4"/>
  <c r="N1371" i="4"/>
  <c r="O1371" i="4"/>
  <c r="P1371" i="4"/>
  <c r="Q1371" i="4"/>
  <c r="R1371" i="4"/>
  <c r="S1371" i="4"/>
  <c r="N1372" i="4"/>
  <c r="O1372" i="4"/>
  <c r="P1372" i="4"/>
  <c r="Q1372" i="4"/>
  <c r="R1372" i="4"/>
  <c r="S1372" i="4"/>
  <c r="N1373" i="4"/>
  <c r="O1373" i="4"/>
  <c r="P1373" i="4"/>
  <c r="Q1373" i="4"/>
  <c r="R1373" i="4"/>
  <c r="S1373" i="4"/>
  <c r="N1374" i="4"/>
  <c r="O1374" i="4"/>
  <c r="P1374" i="4"/>
  <c r="Q1374" i="4"/>
  <c r="R1374" i="4"/>
  <c r="S1374" i="4"/>
  <c r="N1375" i="4"/>
  <c r="O1375" i="4"/>
  <c r="P1375" i="4"/>
  <c r="Q1375" i="4"/>
  <c r="R1375" i="4"/>
  <c r="S1375" i="4"/>
  <c r="N1376" i="4"/>
  <c r="O1376" i="4"/>
  <c r="P1376" i="4"/>
  <c r="Q1376" i="4"/>
  <c r="R1376" i="4"/>
  <c r="S1376" i="4"/>
  <c r="N1377" i="4"/>
  <c r="O1377" i="4"/>
  <c r="P1377" i="4"/>
  <c r="Q1377" i="4"/>
  <c r="R1377" i="4"/>
  <c r="S1377" i="4"/>
  <c r="N1378" i="4"/>
  <c r="O1378" i="4"/>
  <c r="P1378" i="4"/>
  <c r="Q1378" i="4"/>
  <c r="R1378" i="4"/>
  <c r="S1378" i="4"/>
  <c r="N1379" i="4"/>
  <c r="O1379" i="4"/>
  <c r="P1379" i="4"/>
  <c r="Q1379" i="4"/>
  <c r="R1379" i="4"/>
  <c r="S1379" i="4"/>
  <c r="N1380" i="4"/>
  <c r="O1380" i="4"/>
  <c r="P1380" i="4"/>
  <c r="Q1380" i="4"/>
  <c r="R1380" i="4"/>
  <c r="S1380" i="4"/>
  <c r="N1381" i="4"/>
  <c r="O1381" i="4"/>
  <c r="P1381" i="4"/>
  <c r="Q1381" i="4"/>
  <c r="R1381" i="4"/>
  <c r="S1381" i="4"/>
  <c r="N1382" i="4"/>
  <c r="O1382" i="4"/>
  <c r="P1382" i="4"/>
  <c r="Q1382" i="4"/>
  <c r="R1382" i="4"/>
  <c r="S1382" i="4"/>
  <c r="N1383" i="4"/>
  <c r="O1383" i="4"/>
  <c r="P1383" i="4"/>
  <c r="Q1383" i="4"/>
  <c r="R1383" i="4"/>
  <c r="S1383" i="4"/>
  <c r="N1384" i="4"/>
  <c r="O1384" i="4"/>
  <c r="P1384" i="4"/>
  <c r="Q1384" i="4"/>
  <c r="R1384" i="4"/>
  <c r="S1384" i="4"/>
  <c r="N1385" i="4"/>
  <c r="O1385" i="4"/>
  <c r="P1385" i="4"/>
  <c r="Q1385" i="4"/>
  <c r="R1385" i="4"/>
  <c r="S1385" i="4"/>
  <c r="N1386" i="4"/>
  <c r="O1386" i="4"/>
  <c r="P1386" i="4"/>
  <c r="Q1386" i="4"/>
  <c r="R1386" i="4"/>
  <c r="S1386" i="4"/>
  <c r="N1387" i="4"/>
  <c r="O1387" i="4"/>
  <c r="P1387" i="4"/>
  <c r="Q1387" i="4"/>
  <c r="R1387" i="4"/>
  <c r="S1387" i="4"/>
  <c r="N1388" i="4"/>
  <c r="O1388" i="4"/>
  <c r="P1388" i="4"/>
  <c r="Q1388" i="4"/>
  <c r="R1388" i="4"/>
  <c r="S1388" i="4"/>
  <c r="N1389" i="4"/>
  <c r="O1389" i="4"/>
  <c r="P1389" i="4"/>
  <c r="Q1389" i="4"/>
  <c r="R1389" i="4"/>
  <c r="S1389" i="4"/>
  <c r="N1390" i="4"/>
  <c r="O1390" i="4"/>
  <c r="P1390" i="4"/>
  <c r="Q1390" i="4"/>
  <c r="R1390" i="4"/>
  <c r="S1390" i="4"/>
  <c r="N1391" i="4"/>
  <c r="O1391" i="4"/>
  <c r="P1391" i="4"/>
  <c r="Q1391" i="4"/>
  <c r="R1391" i="4"/>
  <c r="S1391" i="4"/>
  <c r="N1392" i="4"/>
  <c r="O1392" i="4"/>
  <c r="P1392" i="4"/>
  <c r="Q1392" i="4"/>
  <c r="R1392" i="4"/>
  <c r="S1392" i="4"/>
  <c r="N1393" i="4"/>
  <c r="O1393" i="4"/>
  <c r="P1393" i="4"/>
  <c r="Q1393" i="4"/>
  <c r="R1393" i="4"/>
  <c r="S1393" i="4"/>
  <c r="N1394" i="4"/>
  <c r="O1394" i="4"/>
  <c r="P1394" i="4"/>
  <c r="Q1394" i="4"/>
  <c r="R1394" i="4"/>
  <c r="S1394" i="4"/>
  <c r="N1395" i="4"/>
  <c r="O1395" i="4"/>
  <c r="P1395" i="4"/>
  <c r="Q1395" i="4"/>
  <c r="R1395" i="4"/>
  <c r="S1395" i="4"/>
  <c r="N1396" i="4"/>
  <c r="O1396" i="4"/>
  <c r="P1396" i="4"/>
  <c r="Q1396" i="4"/>
  <c r="R1396" i="4"/>
  <c r="S1396" i="4"/>
  <c r="N1397" i="4"/>
  <c r="O1397" i="4"/>
  <c r="P1397" i="4"/>
  <c r="Q1397" i="4"/>
  <c r="R1397" i="4"/>
  <c r="S1397" i="4"/>
  <c r="N1398" i="4"/>
  <c r="O1398" i="4"/>
  <c r="P1398" i="4"/>
  <c r="Q1398" i="4"/>
  <c r="R1398" i="4"/>
  <c r="S1398" i="4"/>
  <c r="N1399" i="4"/>
  <c r="O1399" i="4"/>
  <c r="P1399" i="4"/>
  <c r="Q1399" i="4"/>
  <c r="R1399" i="4"/>
  <c r="S1399" i="4"/>
  <c r="N1400" i="4"/>
  <c r="O1400" i="4"/>
  <c r="P1400" i="4"/>
  <c r="Q1400" i="4"/>
  <c r="R1400" i="4"/>
  <c r="S1400" i="4"/>
  <c r="N1401" i="4"/>
  <c r="O1401" i="4"/>
  <c r="P1401" i="4"/>
  <c r="Q1401" i="4"/>
  <c r="R1401" i="4"/>
  <c r="S1401" i="4"/>
  <c r="N1402" i="4"/>
  <c r="O1402" i="4"/>
  <c r="P1402" i="4"/>
  <c r="Q1402" i="4"/>
  <c r="R1402" i="4"/>
  <c r="S1402" i="4"/>
  <c r="N1403" i="4"/>
  <c r="O1403" i="4"/>
  <c r="P1403" i="4"/>
  <c r="Q1403" i="4"/>
  <c r="R1403" i="4"/>
  <c r="S1403" i="4"/>
  <c r="N1404" i="4"/>
  <c r="O1404" i="4"/>
  <c r="P1404" i="4"/>
  <c r="Q1404" i="4"/>
  <c r="R1404" i="4"/>
  <c r="S1404" i="4"/>
  <c r="N1405" i="4"/>
  <c r="O1405" i="4"/>
  <c r="P1405" i="4"/>
  <c r="Q1405" i="4"/>
  <c r="R1405" i="4"/>
  <c r="S1405" i="4"/>
  <c r="N1406" i="4"/>
  <c r="O1406" i="4"/>
  <c r="P1406" i="4"/>
  <c r="Q1406" i="4"/>
  <c r="R1406" i="4"/>
  <c r="S1406" i="4"/>
  <c r="N1407" i="4"/>
  <c r="O1407" i="4"/>
  <c r="P1407" i="4"/>
  <c r="Q1407" i="4"/>
  <c r="R1407" i="4"/>
  <c r="S1407" i="4"/>
  <c r="N1408" i="4"/>
  <c r="O1408" i="4"/>
  <c r="P1408" i="4"/>
  <c r="Q1408" i="4"/>
  <c r="R1408" i="4"/>
  <c r="S1408" i="4"/>
  <c r="N1409" i="4"/>
  <c r="O1409" i="4"/>
  <c r="P1409" i="4"/>
  <c r="Q1409" i="4"/>
  <c r="R1409" i="4"/>
  <c r="S1409" i="4"/>
  <c r="N1410" i="4"/>
  <c r="O1410" i="4"/>
  <c r="P1410" i="4"/>
  <c r="Q1410" i="4"/>
  <c r="R1410" i="4"/>
  <c r="S1410" i="4"/>
  <c r="N1411" i="4"/>
  <c r="O1411" i="4"/>
  <c r="P1411" i="4"/>
  <c r="Q1411" i="4"/>
  <c r="R1411" i="4"/>
  <c r="S1411" i="4"/>
  <c r="N1412" i="4"/>
  <c r="O1412" i="4"/>
  <c r="P1412" i="4"/>
  <c r="Q1412" i="4"/>
  <c r="R1412" i="4"/>
  <c r="S1412" i="4"/>
  <c r="N1413" i="4"/>
  <c r="O1413" i="4"/>
  <c r="P1413" i="4"/>
  <c r="Q1413" i="4"/>
  <c r="R1413" i="4"/>
  <c r="S1413" i="4"/>
  <c r="N1414" i="4"/>
  <c r="O1414" i="4"/>
  <c r="P1414" i="4"/>
  <c r="Q1414" i="4"/>
  <c r="R1414" i="4"/>
  <c r="S1414" i="4"/>
  <c r="N1415" i="4"/>
  <c r="O1415" i="4"/>
  <c r="P1415" i="4"/>
  <c r="Q1415" i="4"/>
  <c r="R1415" i="4"/>
  <c r="S1415" i="4"/>
  <c r="N1416" i="4"/>
  <c r="O1416" i="4"/>
  <c r="P1416" i="4"/>
  <c r="Q1416" i="4"/>
  <c r="R1416" i="4"/>
  <c r="S1416" i="4"/>
  <c r="L20" i="4"/>
  <c r="M20" i="4" s="1"/>
  <c r="L37" i="4"/>
  <c r="M37" i="4" s="1"/>
  <c r="L54" i="4"/>
  <c r="L71" i="4"/>
  <c r="M71" i="4" s="1"/>
  <c r="L88" i="4"/>
  <c r="M88" i="4" s="1"/>
  <c r="L105" i="4"/>
  <c r="M105" i="4" s="1"/>
  <c r="L122" i="4"/>
  <c r="M122" i="4" s="1"/>
  <c r="L139" i="4"/>
  <c r="M139" i="4" s="1"/>
  <c r="L156" i="4"/>
  <c r="M156" i="4" s="1"/>
  <c r="L173" i="4"/>
  <c r="M173" i="4" s="1"/>
  <c r="L190" i="4"/>
  <c r="M190" i="4" s="1"/>
  <c r="L207" i="4"/>
  <c r="M207" i="4" s="1"/>
  <c r="L224" i="4"/>
  <c r="M224" i="4" s="1"/>
  <c r="L241" i="4"/>
  <c r="M241" i="4" s="1"/>
  <c r="L258" i="4"/>
  <c r="L275" i="4"/>
  <c r="L292" i="4"/>
  <c r="M292" i="4" s="1"/>
  <c r="L309" i="4"/>
  <c r="M309" i="4" s="1"/>
  <c r="L326" i="4"/>
  <c r="M326" i="4" s="1"/>
  <c r="L343" i="4"/>
  <c r="L360" i="4"/>
  <c r="M360" i="4" s="1"/>
  <c r="L377" i="4"/>
  <c r="M377" i="4" s="1"/>
  <c r="L394" i="4"/>
  <c r="M394" i="4" s="1"/>
  <c r="L411" i="4"/>
  <c r="M411" i="4" s="1"/>
  <c r="L428" i="4"/>
  <c r="M428" i="4" s="1"/>
  <c r="L445" i="4"/>
  <c r="L462" i="4"/>
  <c r="L479" i="4"/>
  <c r="M479" i="4" s="1"/>
  <c r="L496" i="4"/>
  <c r="M496" i="4" s="1"/>
  <c r="L513" i="4"/>
  <c r="M513" i="4" s="1"/>
  <c r="L530" i="4"/>
  <c r="M530" i="4" s="1"/>
  <c r="L547" i="4"/>
  <c r="M547" i="4" s="1"/>
  <c r="L564" i="4"/>
  <c r="M564" i="4" s="1"/>
  <c r="L581" i="4"/>
  <c r="M581" i="4" s="1"/>
  <c r="L598" i="4"/>
  <c r="L615" i="4"/>
  <c r="M615" i="4" s="1"/>
  <c r="L632" i="4"/>
  <c r="M632" i="4" s="1"/>
  <c r="L649" i="4"/>
  <c r="M649" i="4" s="1"/>
  <c r="L666" i="4"/>
  <c r="M666" i="4" s="1"/>
  <c r="L683" i="4"/>
  <c r="M683" i="4" s="1"/>
  <c r="L700" i="4"/>
  <c r="M700" i="4" s="1"/>
  <c r="L717" i="4"/>
  <c r="L734" i="4"/>
  <c r="L751" i="4"/>
  <c r="M751" i="4" s="1"/>
  <c r="L768" i="4"/>
  <c r="L785" i="4"/>
  <c r="L802" i="4"/>
  <c r="M802" i="4" s="1"/>
  <c r="L819" i="4"/>
  <c r="L836" i="4"/>
  <c r="L853" i="4"/>
  <c r="M853" i="4" s="1"/>
  <c r="L870" i="4"/>
  <c r="L887" i="4"/>
  <c r="L904" i="4"/>
  <c r="L921" i="4"/>
  <c r="M921" i="4" s="1"/>
  <c r="L938" i="4"/>
  <c r="M938" i="4" s="1"/>
  <c r="L955" i="4"/>
  <c r="L972" i="4"/>
  <c r="L989" i="4"/>
  <c r="M989" i="4" s="1"/>
  <c r="L1006" i="4"/>
  <c r="L1023" i="4"/>
  <c r="M1023" i="4" s="1"/>
  <c r="L1040" i="4"/>
  <c r="L1057" i="4"/>
  <c r="M1057" i="4" s="1"/>
  <c r="L1074" i="4"/>
  <c r="L1091" i="4"/>
  <c r="L1108" i="4"/>
  <c r="M1108" i="4" s="1"/>
  <c r="L1125" i="4"/>
  <c r="L1142" i="4"/>
  <c r="L1159" i="4"/>
  <c r="M1159" i="4" s="1"/>
  <c r="L1176" i="4"/>
  <c r="L1193" i="4"/>
  <c r="M1193" i="4" s="1"/>
  <c r="L1210" i="4"/>
  <c r="L1227" i="4"/>
  <c r="M1227" i="4" s="1"/>
  <c r="L1244" i="4"/>
  <c r="M1244" i="4" s="1"/>
  <c r="L1261" i="4"/>
  <c r="L1278" i="4"/>
  <c r="L1295" i="4"/>
  <c r="M1295" i="4" s="1"/>
  <c r="L1312" i="4"/>
  <c r="M1312" i="4" s="1"/>
  <c r="L1329" i="4"/>
  <c r="L1346" i="4"/>
  <c r="L3" i="4"/>
  <c r="L4" i="4" s="1"/>
  <c r="M4" i="4" s="1"/>
  <c r="S1346" i="4" l="1"/>
  <c r="M1346" i="4"/>
  <c r="S1142" i="4"/>
  <c r="M1142" i="4"/>
  <c r="L259" i="4"/>
  <c r="M259" i="4" s="1"/>
  <c r="M258" i="4"/>
  <c r="L55" i="4"/>
  <c r="M55" i="4" s="1"/>
  <c r="M54" i="4"/>
  <c r="L1330" i="4"/>
  <c r="Q1330" i="4" s="1"/>
  <c r="M1329" i="4"/>
  <c r="L1262" i="4"/>
  <c r="M1262" i="4" s="1"/>
  <c r="M1261" i="4"/>
  <c r="L1126" i="4"/>
  <c r="M1126" i="4" s="1"/>
  <c r="M1125" i="4"/>
  <c r="L718" i="4"/>
  <c r="M718" i="4" s="1"/>
  <c r="M717" i="4"/>
  <c r="L446" i="4"/>
  <c r="M446" i="4" s="1"/>
  <c r="M445" i="4"/>
  <c r="S1278" i="4"/>
  <c r="M1278" i="4"/>
  <c r="S1074" i="4"/>
  <c r="M1074" i="4"/>
  <c r="L599" i="4"/>
  <c r="M599" i="4" s="1"/>
  <c r="M598" i="4"/>
  <c r="L463" i="4"/>
  <c r="M463" i="4" s="1"/>
  <c r="M462" i="4"/>
  <c r="L786" i="4"/>
  <c r="M786" i="4" s="1"/>
  <c r="M785" i="4"/>
  <c r="O1176" i="4"/>
  <c r="M1176" i="4"/>
  <c r="O1040" i="4"/>
  <c r="M1040" i="4"/>
  <c r="S972" i="4"/>
  <c r="M972" i="4"/>
  <c r="L905" i="4"/>
  <c r="M905" i="4" s="1"/>
  <c r="M904" i="4"/>
  <c r="L837" i="4"/>
  <c r="P837" i="4" s="1"/>
  <c r="M836" i="4"/>
  <c r="L769" i="4"/>
  <c r="M769" i="4" s="1"/>
  <c r="M768" i="4"/>
  <c r="S1210" i="4"/>
  <c r="M1210" i="4"/>
  <c r="O1006" i="4"/>
  <c r="M1006" i="4"/>
  <c r="L871" i="4"/>
  <c r="M871" i="4" s="1"/>
  <c r="M870" i="4"/>
  <c r="L735" i="4"/>
  <c r="M735" i="4" s="1"/>
  <c r="M734" i="4"/>
  <c r="Q1091" i="4"/>
  <c r="M1091" i="4"/>
  <c r="R955" i="4"/>
  <c r="M955" i="4"/>
  <c r="R887" i="4"/>
  <c r="M887" i="4"/>
  <c r="R819" i="4"/>
  <c r="M819" i="4"/>
  <c r="L344" i="4"/>
  <c r="R344" i="4" s="1"/>
  <c r="M343" i="4"/>
  <c r="L276" i="4"/>
  <c r="M276" i="4" s="1"/>
  <c r="M275" i="4"/>
  <c r="L1041" i="4"/>
  <c r="N1041" i="4" s="1"/>
  <c r="L1194" i="4"/>
  <c r="N853" i="4"/>
  <c r="L667" i="4"/>
  <c r="Q667" i="4" s="1"/>
  <c r="L1075" i="4"/>
  <c r="L191" i="4"/>
  <c r="M191" i="4" s="1"/>
  <c r="L140" i="4"/>
  <c r="N140" i="4" s="1"/>
  <c r="L514" i="4"/>
  <c r="L650" i="4"/>
  <c r="M650" i="4" s="1"/>
  <c r="L888" i="4"/>
  <c r="L820" i="4"/>
  <c r="L531" i="4"/>
  <c r="S531" i="4" s="1"/>
  <c r="L72" i="4"/>
  <c r="A5" i="11"/>
  <c r="Q326" i="4"/>
  <c r="N326" i="4"/>
  <c r="R326" i="4"/>
  <c r="O326" i="4"/>
  <c r="S326" i="4"/>
  <c r="P326" i="4"/>
  <c r="L327" i="4"/>
  <c r="M327" i="4" s="1"/>
  <c r="N1227" i="4"/>
  <c r="R1227" i="4"/>
  <c r="O1227" i="4"/>
  <c r="S1227" i="4"/>
  <c r="P1227" i="4"/>
  <c r="L1228" i="4"/>
  <c r="M1228" i="4" s="1"/>
  <c r="L1245" i="4"/>
  <c r="M1245" i="4" s="1"/>
  <c r="P1244" i="4"/>
  <c r="Q1244" i="4"/>
  <c r="N1244" i="4"/>
  <c r="R1244" i="4"/>
  <c r="O1244" i="4"/>
  <c r="S1244" i="4"/>
  <c r="Q581" i="4"/>
  <c r="N581" i="4"/>
  <c r="R581" i="4"/>
  <c r="S581" i="4"/>
  <c r="O581" i="4"/>
  <c r="P581" i="4"/>
  <c r="L582" i="4"/>
  <c r="M582" i="4" s="1"/>
  <c r="L378" i="4"/>
  <c r="M378" i="4" s="1"/>
  <c r="P377" i="4"/>
  <c r="Q377" i="4"/>
  <c r="N377" i="4"/>
  <c r="R377" i="4"/>
  <c r="O377" i="4"/>
  <c r="S377" i="4"/>
  <c r="L1177" i="4"/>
  <c r="M1177" i="4" s="1"/>
  <c r="P1176" i="4"/>
  <c r="Q1176" i="4"/>
  <c r="N1176" i="4"/>
  <c r="R1176" i="4"/>
  <c r="S1176" i="4"/>
  <c r="L1024" i="4"/>
  <c r="M1024" i="4" s="1"/>
  <c r="N1023" i="4"/>
  <c r="R1023" i="4"/>
  <c r="O1023" i="4"/>
  <c r="S1023" i="4"/>
  <c r="P1023" i="4"/>
  <c r="Q1023" i="4"/>
  <c r="L1109" i="4"/>
  <c r="M1109" i="4" s="1"/>
  <c r="P1108" i="4"/>
  <c r="Q1108" i="4"/>
  <c r="N1108" i="4"/>
  <c r="R1108" i="4"/>
  <c r="O1108" i="4"/>
  <c r="S1108" i="4"/>
  <c r="P411" i="4"/>
  <c r="Q411" i="4"/>
  <c r="N411" i="4"/>
  <c r="R411" i="4"/>
  <c r="O411" i="4"/>
  <c r="S411" i="4"/>
  <c r="L412" i="4"/>
  <c r="M412" i="4" s="1"/>
  <c r="L89" i="4"/>
  <c r="M89" i="4" s="1"/>
  <c r="Q88" i="4"/>
  <c r="N88" i="4"/>
  <c r="R88" i="4"/>
  <c r="O88" i="4"/>
  <c r="S88" i="4"/>
  <c r="P88" i="4"/>
  <c r="N1295" i="4"/>
  <c r="R1295" i="4"/>
  <c r="O1295" i="4"/>
  <c r="S1295" i="4"/>
  <c r="P1295" i="4"/>
  <c r="L1296" i="4"/>
  <c r="M1296" i="4" s="1"/>
  <c r="Q1295" i="4"/>
  <c r="N1159" i="4"/>
  <c r="R1159" i="4"/>
  <c r="O1159" i="4"/>
  <c r="S1159" i="4"/>
  <c r="P1159" i="4"/>
  <c r="L1160" i="4"/>
  <c r="M1160" i="4" s="1"/>
  <c r="Q1159" i="4"/>
  <c r="L1058" i="4"/>
  <c r="M1058" i="4" s="1"/>
  <c r="N1057" i="4"/>
  <c r="R1057" i="4"/>
  <c r="O1057" i="4"/>
  <c r="S1057" i="4"/>
  <c r="P1057" i="4"/>
  <c r="Q1057" i="4"/>
  <c r="L5" i="4"/>
  <c r="M5" i="4" s="1"/>
  <c r="L1313" i="4"/>
  <c r="M1313" i="4" s="1"/>
  <c r="P1312" i="4"/>
  <c r="Q1312" i="4"/>
  <c r="N1312" i="4"/>
  <c r="R1312" i="4"/>
  <c r="S1312" i="4"/>
  <c r="L939" i="4"/>
  <c r="M939" i="4" s="1"/>
  <c r="N938" i="4"/>
  <c r="R938" i="4"/>
  <c r="S938" i="4"/>
  <c r="O938" i="4"/>
  <c r="P938" i="4"/>
  <c r="Q938" i="4"/>
  <c r="L684" i="4"/>
  <c r="M684" i="4" s="1"/>
  <c r="Q683" i="4"/>
  <c r="N683" i="4"/>
  <c r="R683" i="4"/>
  <c r="O683" i="4"/>
  <c r="S683" i="4"/>
  <c r="P683" i="4"/>
  <c r="N344" i="4"/>
  <c r="L38" i="4"/>
  <c r="M38" i="4" s="1"/>
  <c r="P37" i="4"/>
  <c r="Q37" i="4"/>
  <c r="N37" i="4"/>
  <c r="R37" i="4"/>
  <c r="S37" i="4"/>
  <c r="O37" i="4"/>
  <c r="O1312" i="4"/>
  <c r="Q1227" i="4"/>
  <c r="S1006" i="4"/>
  <c r="N1329" i="4"/>
  <c r="R1329" i="4"/>
  <c r="O1329" i="4"/>
  <c r="S1329" i="4"/>
  <c r="P1329" i="4"/>
  <c r="L1279" i="4"/>
  <c r="M1279" i="4" s="1"/>
  <c r="P1278" i="4"/>
  <c r="Q1278" i="4"/>
  <c r="N1278" i="4"/>
  <c r="R1278" i="4"/>
  <c r="N1193" i="4"/>
  <c r="R1193" i="4"/>
  <c r="O1193" i="4"/>
  <c r="S1193" i="4"/>
  <c r="P1193" i="4"/>
  <c r="L1143" i="4"/>
  <c r="M1143" i="4" s="1"/>
  <c r="P1142" i="4"/>
  <c r="Q1142" i="4"/>
  <c r="N1142" i="4"/>
  <c r="R1142" i="4"/>
  <c r="L1092" i="4"/>
  <c r="M1092" i="4" s="1"/>
  <c r="N1091" i="4"/>
  <c r="R1091" i="4"/>
  <c r="O1091" i="4"/>
  <c r="S1091" i="4"/>
  <c r="P1091" i="4"/>
  <c r="L1007" i="4"/>
  <c r="M1007" i="4" s="1"/>
  <c r="L973" i="4"/>
  <c r="M973" i="4" s="1"/>
  <c r="Q904" i="4"/>
  <c r="N904" i="4"/>
  <c r="R904" i="4"/>
  <c r="S904" i="4"/>
  <c r="O904" i="4"/>
  <c r="Q870" i="4"/>
  <c r="N870" i="4"/>
  <c r="R870" i="4"/>
  <c r="O870" i="4"/>
  <c r="P870" i="4"/>
  <c r="S870" i="4"/>
  <c r="L803" i="4"/>
  <c r="M803" i="4" s="1"/>
  <c r="O785" i="4"/>
  <c r="S785" i="4"/>
  <c r="P785" i="4"/>
  <c r="Q785" i="4"/>
  <c r="R785" i="4"/>
  <c r="L752" i="4"/>
  <c r="M752" i="4" s="1"/>
  <c r="Q751" i="4"/>
  <c r="N751" i="4"/>
  <c r="R751" i="4"/>
  <c r="O751" i="4"/>
  <c r="S751" i="4"/>
  <c r="P751" i="4"/>
  <c r="O734" i="4"/>
  <c r="S734" i="4"/>
  <c r="P734" i="4"/>
  <c r="Q734" i="4"/>
  <c r="R734" i="4"/>
  <c r="N734" i="4"/>
  <c r="O598" i="4"/>
  <c r="S598" i="4"/>
  <c r="P598" i="4"/>
  <c r="Q598" i="4"/>
  <c r="R598" i="4"/>
  <c r="N598" i="4"/>
  <c r="P513" i="4"/>
  <c r="Q513" i="4"/>
  <c r="N513" i="4"/>
  <c r="R513" i="4"/>
  <c r="O513" i="4"/>
  <c r="S513" i="4"/>
  <c r="L480" i="4"/>
  <c r="M480" i="4" s="1"/>
  <c r="P479" i="4"/>
  <c r="Q479" i="4"/>
  <c r="N479" i="4"/>
  <c r="R479" i="4"/>
  <c r="S479" i="4"/>
  <c r="O479" i="4"/>
  <c r="N462" i="4"/>
  <c r="R462" i="4"/>
  <c r="O462" i="4"/>
  <c r="S462" i="4"/>
  <c r="P462" i="4"/>
  <c r="Q462" i="4"/>
  <c r="P445" i="4"/>
  <c r="Q445" i="4"/>
  <c r="N445" i="4"/>
  <c r="R445" i="4"/>
  <c r="O445" i="4"/>
  <c r="S445" i="4"/>
  <c r="L395" i="4"/>
  <c r="M395" i="4" s="1"/>
  <c r="L310" i="4"/>
  <c r="M310" i="4" s="1"/>
  <c r="P309" i="4"/>
  <c r="R309" i="4"/>
  <c r="N309" i="4"/>
  <c r="S309" i="4"/>
  <c r="O309" i="4"/>
  <c r="Q309" i="4"/>
  <c r="P275" i="4"/>
  <c r="Q275" i="4"/>
  <c r="R275" i="4"/>
  <c r="N275" i="4"/>
  <c r="S275" i="4"/>
  <c r="O275" i="4"/>
  <c r="N258" i="4"/>
  <c r="R258" i="4"/>
  <c r="P258" i="4"/>
  <c r="Q258" i="4"/>
  <c r="S258" i="4"/>
  <c r="O258" i="4"/>
  <c r="L208" i="4"/>
  <c r="M208" i="4" s="1"/>
  <c r="O207" i="4"/>
  <c r="S207" i="4"/>
  <c r="P207" i="4"/>
  <c r="Q207" i="4"/>
  <c r="R207" i="4"/>
  <c r="N207" i="4"/>
  <c r="L174" i="4"/>
  <c r="M174" i="4" s="1"/>
  <c r="O173" i="4"/>
  <c r="S173" i="4"/>
  <c r="P173" i="4"/>
  <c r="N173" i="4"/>
  <c r="Q173" i="4"/>
  <c r="R173" i="4"/>
  <c r="L123" i="4"/>
  <c r="M123" i="4" s="1"/>
  <c r="L21" i="4"/>
  <c r="M21" i="4" s="1"/>
  <c r="N20" i="4"/>
  <c r="R20" i="4"/>
  <c r="O20" i="4"/>
  <c r="S20" i="4"/>
  <c r="P20" i="4"/>
  <c r="Q20" i="4"/>
  <c r="Q1329" i="4"/>
  <c r="O1278" i="4"/>
  <c r="Q1193" i="4"/>
  <c r="O1142" i="4"/>
  <c r="N785" i="4"/>
  <c r="R1041" i="4"/>
  <c r="O1041" i="4"/>
  <c r="S1041" i="4"/>
  <c r="N972" i="4"/>
  <c r="R972" i="4"/>
  <c r="O972" i="4"/>
  <c r="P972" i="4"/>
  <c r="Q972" i="4"/>
  <c r="O837" i="4"/>
  <c r="S837" i="4"/>
  <c r="N837" i="4"/>
  <c r="Q837" i="4"/>
  <c r="Q802" i="4"/>
  <c r="N802" i="4"/>
  <c r="R802" i="4"/>
  <c r="O802" i="4"/>
  <c r="P802" i="4"/>
  <c r="S802" i="4"/>
  <c r="L548" i="4"/>
  <c r="M548" i="4" s="1"/>
  <c r="P547" i="4"/>
  <c r="Q547" i="4"/>
  <c r="N547" i="4"/>
  <c r="R547" i="4"/>
  <c r="O547" i="4"/>
  <c r="S547" i="4"/>
  <c r="L429" i="4"/>
  <c r="M429" i="4" s="1"/>
  <c r="N428" i="4"/>
  <c r="R428" i="4"/>
  <c r="O428" i="4"/>
  <c r="S428" i="4"/>
  <c r="P428" i="4"/>
  <c r="Q428" i="4"/>
  <c r="N394" i="4"/>
  <c r="R394" i="4"/>
  <c r="O394" i="4"/>
  <c r="S394" i="4"/>
  <c r="P394" i="4"/>
  <c r="Q394" i="4"/>
  <c r="O343" i="4"/>
  <c r="S343" i="4"/>
  <c r="P343" i="4"/>
  <c r="Q343" i="4"/>
  <c r="N343" i="4"/>
  <c r="R343" i="4"/>
  <c r="L242" i="4"/>
  <c r="M242" i="4" s="1"/>
  <c r="O241" i="4"/>
  <c r="S241" i="4"/>
  <c r="P241" i="4"/>
  <c r="N241" i="4"/>
  <c r="Q241" i="4"/>
  <c r="R241" i="4"/>
  <c r="N54" i="4"/>
  <c r="R54" i="4"/>
  <c r="O54" i="4"/>
  <c r="S54" i="4"/>
  <c r="P54" i="4"/>
  <c r="Q54" i="4"/>
  <c r="P904" i="4"/>
  <c r="R837" i="4"/>
  <c r="P1006" i="4"/>
  <c r="Q1006" i="4"/>
  <c r="N1006" i="4"/>
  <c r="R1006" i="4"/>
  <c r="L922" i="4"/>
  <c r="M922" i="4" s="1"/>
  <c r="O921" i="4"/>
  <c r="S921" i="4"/>
  <c r="P921" i="4"/>
  <c r="Q921" i="4"/>
  <c r="R921" i="4"/>
  <c r="Q717" i="4"/>
  <c r="N717" i="4"/>
  <c r="R717" i="4"/>
  <c r="O717" i="4"/>
  <c r="S717" i="4"/>
  <c r="P717" i="4"/>
  <c r="L361" i="4"/>
  <c r="M361" i="4" s="1"/>
  <c r="Q360" i="4"/>
  <c r="N360" i="4"/>
  <c r="R360" i="4"/>
  <c r="S360" i="4"/>
  <c r="O360" i="4"/>
  <c r="P360" i="4"/>
  <c r="L293" i="4"/>
  <c r="M293" i="4" s="1"/>
  <c r="N292" i="4"/>
  <c r="R292" i="4"/>
  <c r="Q292" i="4"/>
  <c r="S292" i="4"/>
  <c r="O292" i="4"/>
  <c r="P292" i="4"/>
  <c r="O122" i="4"/>
  <c r="S122" i="4"/>
  <c r="N122" i="4"/>
  <c r="Q122" i="4"/>
  <c r="R122" i="4"/>
  <c r="P122" i="4"/>
  <c r="L1347" i="4"/>
  <c r="M1347" i="4" s="1"/>
  <c r="P1346" i="4"/>
  <c r="Q1346" i="4"/>
  <c r="N1346" i="4"/>
  <c r="R1346" i="4"/>
  <c r="N1261" i="4"/>
  <c r="R1261" i="4"/>
  <c r="O1261" i="4"/>
  <c r="S1261" i="4"/>
  <c r="P1261" i="4"/>
  <c r="L1211" i="4"/>
  <c r="M1211" i="4" s="1"/>
  <c r="P1210" i="4"/>
  <c r="Q1210" i="4"/>
  <c r="N1210" i="4"/>
  <c r="R1210" i="4"/>
  <c r="N1125" i="4"/>
  <c r="R1125" i="4"/>
  <c r="O1125" i="4"/>
  <c r="S1125" i="4"/>
  <c r="P1125" i="4"/>
  <c r="P1074" i="4"/>
  <c r="Q1074" i="4"/>
  <c r="N1074" i="4"/>
  <c r="R1074" i="4"/>
  <c r="P1040" i="4"/>
  <c r="Q1040" i="4"/>
  <c r="N1040" i="4"/>
  <c r="R1040" i="4"/>
  <c r="L990" i="4"/>
  <c r="M990" i="4" s="1"/>
  <c r="N989" i="4"/>
  <c r="R989" i="4"/>
  <c r="O989" i="4"/>
  <c r="S989" i="4"/>
  <c r="P989" i="4"/>
  <c r="L956" i="4"/>
  <c r="M956" i="4" s="1"/>
  <c r="P955" i="4"/>
  <c r="N955" i="4"/>
  <c r="S955" i="4"/>
  <c r="O955" i="4"/>
  <c r="Q955" i="4"/>
  <c r="O887" i="4"/>
  <c r="S887" i="4"/>
  <c r="P887" i="4"/>
  <c r="N887" i="4"/>
  <c r="Q887" i="4"/>
  <c r="L854" i="4"/>
  <c r="M854" i="4" s="1"/>
  <c r="O853" i="4"/>
  <c r="S853" i="4"/>
  <c r="P853" i="4"/>
  <c r="Q853" i="4"/>
  <c r="R853" i="4"/>
  <c r="Q836" i="4"/>
  <c r="N836" i="4"/>
  <c r="R836" i="4"/>
  <c r="S836" i="4"/>
  <c r="O836" i="4"/>
  <c r="O819" i="4"/>
  <c r="S819" i="4"/>
  <c r="P819" i="4"/>
  <c r="N819" i="4"/>
  <c r="Q819" i="4"/>
  <c r="O768" i="4"/>
  <c r="S768" i="4"/>
  <c r="P768" i="4"/>
  <c r="Q768" i="4"/>
  <c r="N768" i="4"/>
  <c r="R768" i="4"/>
  <c r="L701" i="4"/>
  <c r="M701" i="4" s="1"/>
  <c r="O700" i="4"/>
  <c r="S700" i="4"/>
  <c r="P700" i="4"/>
  <c r="Q700" i="4"/>
  <c r="N700" i="4"/>
  <c r="R700" i="4"/>
  <c r="O666" i="4"/>
  <c r="S666" i="4"/>
  <c r="P666" i="4"/>
  <c r="Q666" i="4"/>
  <c r="N666" i="4"/>
  <c r="R666" i="4"/>
  <c r="Q649" i="4"/>
  <c r="N649" i="4"/>
  <c r="R649" i="4"/>
  <c r="O649" i="4"/>
  <c r="S649" i="4"/>
  <c r="P649" i="4"/>
  <c r="L633" i="4"/>
  <c r="M633" i="4" s="1"/>
  <c r="O632" i="4"/>
  <c r="S632" i="4"/>
  <c r="P632" i="4"/>
  <c r="Q632" i="4"/>
  <c r="N632" i="4"/>
  <c r="R632" i="4"/>
  <c r="L616" i="4"/>
  <c r="M616" i="4" s="1"/>
  <c r="Q615" i="4"/>
  <c r="N615" i="4"/>
  <c r="R615" i="4"/>
  <c r="O615" i="4"/>
  <c r="S615" i="4"/>
  <c r="P615" i="4"/>
  <c r="L565" i="4"/>
  <c r="M565" i="4" s="1"/>
  <c r="N564" i="4"/>
  <c r="R564" i="4"/>
  <c r="O564" i="4"/>
  <c r="S564" i="4"/>
  <c r="P564" i="4"/>
  <c r="Q564" i="4"/>
  <c r="N530" i="4"/>
  <c r="R530" i="4"/>
  <c r="O530" i="4"/>
  <c r="S530" i="4"/>
  <c r="P530" i="4"/>
  <c r="Q530" i="4"/>
  <c r="L497" i="4"/>
  <c r="M497" i="4" s="1"/>
  <c r="N496" i="4"/>
  <c r="R496" i="4"/>
  <c r="O496" i="4"/>
  <c r="S496" i="4"/>
  <c r="P496" i="4"/>
  <c r="Q496" i="4"/>
  <c r="L225" i="4"/>
  <c r="M225" i="4" s="1"/>
  <c r="Q224" i="4"/>
  <c r="N224" i="4"/>
  <c r="S224" i="4"/>
  <c r="O224" i="4"/>
  <c r="P224" i="4"/>
  <c r="R224" i="4"/>
  <c r="Q190" i="4"/>
  <c r="N190" i="4"/>
  <c r="R190" i="4"/>
  <c r="S190" i="4"/>
  <c r="O190" i="4"/>
  <c r="P190" i="4"/>
  <c r="L157" i="4"/>
  <c r="M157" i="4" s="1"/>
  <c r="O156" i="4"/>
  <c r="S156" i="4"/>
  <c r="Q156" i="4"/>
  <c r="R156" i="4"/>
  <c r="N156" i="4"/>
  <c r="P156" i="4"/>
  <c r="Q139" i="4"/>
  <c r="P139" i="4"/>
  <c r="R139" i="4"/>
  <c r="N139" i="4"/>
  <c r="O139" i="4"/>
  <c r="S139" i="4"/>
  <c r="L106" i="4"/>
  <c r="M106" i="4" s="1"/>
  <c r="O105" i="4"/>
  <c r="S105" i="4"/>
  <c r="P105" i="4"/>
  <c r="Q105" i="4"/>
  <c r="N105" i="4"/>
  <c r="R105" i="4"/>
  <c r="P71" i="4"/>
  <c r="Q71" i="4"/>
  <c r="N71" i="4"/>
  <c r="R71" i="4"/>
  <c r="O71" i="4"/>
  <c r="S71" i="4"/>
  <c r="O1346" i="4"/>
  <c r="Q1261" i="4"/>
  <c r="O1210" i="4"/>
  <c r="Q1125" i="4"/>
  <c r="O1074" i="4"/>
  <c r="S1040" i="4"/>
  <c r="Q989" i="4"/>
  <c r="N921" i="4"/>
  <c r="P836" i="4"/>
  <c r="C5" i="11"/>
  <c r="C3" i="11"/>
  <c r="Q769" i="4" l="1"/>
  <c r="L770" i="4"/>
  <c r="M770" i="4" s="1"/>
  <c r="O276" i="4"/>
  <c r="P599" i="4"/>
  <c r="P769" i="4"/>
  <c r="P1262" i="4"/>
  <c r="N599" i="4"/>
  <c r="N718" i="4"/>
  <c r="S769" i="4"/>
  <c r="S786" i="4"/>
  <c r="O769" i="4"/>
  <c r="S1262" i="4"/>
  <c r="L787" i="4"/>
  <c r="M787" i="4" s="1"/>
  <c r="L719" i="4"/>
  <c r="M719" i="4" s="1"/>
  <c r="N769" i="4"/>
  <c r="N1262" i="4"/>
  <c r="O1126" i="4"/>
  <c r="L872" i="4"/>
  <c r="M872" i="4" s="1"/>
  <c r="O463" i="4"/>
  <c r="P446" i="4"/>
  <c r="O1262" i="4"/>
  <c r="P1330" i="4"/>
  <c r="Q786" i="4"/>
  <c r="N446" i="4"/>
  <c r="Q599" i="4"/>
  <c r="L260" i="4"/>
  <c r="M260" i="4" s="1"/>
  <c r="O905" i="4"/>
  <c r="P344" i="4"/>
  <c r="Q1262" i="4"/>
  <c r="O786" i="4"/>
  <c r="O599" i="4"/>
  <c r="Q718" i="4"/>
  <c r="P871" i="4"/>
  <c r="Q344" i="4"/>
  <c r="R463" i="4"/>
  <c r="L447" i="4"/>
  <c r="M447" i="4" s="1"/>
  <c r="N259" i="4"/>
  <c r="N1330" i="4"/>
  <c r="O259" i="4"/>
  <c r="S1126" i="4"/>
  <c r="S344" i="4"/>
  <c r="S1330" i="4"/>
  <c r="L1331" i="4"/>
  <c r="M1331" i="4" s="1"/>
  <c r="N463" i="4"/>
  <c r="S446" i="4"/>
  <c r="R259" i="4"/>
  <c r="Q1126" i="4"/>
  <c r="O344" i="4"/>
  <c r="R1330" i="4"/>
  <c r="L464" i="4"/>
  <c r="M464" i="4" s="1"/>
  <c r="P463" i="4"/>
  <c r="O446" i="4"/>
  <c r="Q259" i="4"/>
  <c r="P1126" i="4"/>
  <c r="Q871" i="4"/>
  <c r="R1126" i="4"/>
  <c r="L1127" i="4"/>
  <c r="M1127" i="4" s="1"/>
  <c r="N871" i="4"/>
  <c r="S871" i="4"/>
  <c r="R769" i="4"/>
  <c r="Q1041" i="4"/>
  <c r="P1041" i="4"/>
  <c r="R276" i="4"/>
  <c r="R1262" i="4"/>
  <c r="L1263" i="4"/>
  <c r="M1263" i="4" s="1"/>
  <c r="S463" i="4"/>
  <c r="Q463" i="4"/>
  <c r="R786" i="4"/>
  <c r="Q446" i="4"/>
  <c r="R446" i="4"/>
  <c r="S599" i="4"/>
  <c r="S259" i="4"/>
  <c r="P259" i="4"/>
  <c r="O718" i="4"/>
  <c r="N1126" i="4"/>
  <c r="R871" i="4"/>
  <c r="O871" i="4"/>
  <c r="Q905" i="4"/>
  <c r="L277" i="4"/>
  <c r="M277" i="4" s="1"/>
  <c r="P276" i="4"/>
  <c r="Q735" i="4"/>
  <c r="S276" i="4"/>
  <c r="N276" i="4"/>
  <c r="S735" i="4"/>
  <c r="Q276" i="4"/>
  <c r="O735" i="4"/>
  <c r="O140" i="4"/>
  <c r="R55" i="4"/>
  <c r="P55" i="4"/>
  <c r="N905" i="4"/>
  <c r="L56" i="4"/>
  <c r="M56" i="4" s="1"/>
  <c r="S55" i="4"/>
  <c r="L736" i="4"/>
  <c r="M736" i="4" s="1"/>
  <c r="R735" i="4"/>
  <c r="P718" i="4"/>
  <c r="R905" i="4"/>
  <c r="P905" i="4"/>
  <c r="P786" i="4"/>
  <c r="N786" i="4"/>
  <c r="N55" i="4"/>
  <c r="L600" i="4"/>
  <c r="M600" i="4" s="1"/>
  <c r="R599" i="4"/>
  <c r="P735" i="4"/>
  <c r="N735" i="4"/>
  <c r="R718" i="4"/>
  <c r="S718" i="4"/>
  <c r="L906" i="4"/>
  <c r="M906" i="4" s="1"/>
  <c r="S905" i="4"/>
  <c r="O55" i="4"/>
  <c r="Q55" i="4"/>
  <c r="P531" i="4"/>
  <c r="M531" i="4"/>
  <c r="N514" i="4"/>
  <c r="M514" i="4"/>
  <c r="L668" i="4"/>
  <c r="Q668" i="4" s="1"/>
  <c r="M667" i="4"/>
  <c r="L821" i="4"/>
  <c r="L822" i="4" s="1"/>
  <c r="M820" i="4"/>
  <c r="L141" i="4"/>
  <c r="P141" i="4" s="1"/>
  <c r="M140" i="4"/>
  <c r="N888" i="4"/>
  <c r="M888" i="4"/>
  <c r="O1194" i="4"/>
  <c r="M1194" i="4"/>
  <c r="L73" i="4"/>
  <c r="M73" i="4" s="1"/>
  <c r="M72" i="4"/>
  <c r="N1075" i="4"/>
  <c r="M1075" i="4"/>
  <c r="L1042" i="4"/>
  <c r="R1042" i="4" s="1"/>
  <c r="M1041" i="4"/>
  <c r="L345" i="4"/>
  <c r="M344" i="4"/>
  <c r="L838" i="4"/>
  <c r="M837" i="4"/>
  <c r="O1330" i="4"/>
  <c r="M1330" i="4"/>
  <c r="N531" i="4"/>
  <c r="P140" i="4"/>
  <c r="O667" i="4"/>
  <c r="Q531" i="4"/>
  <c r="S140" i="4"/>
  <c r="R667" i="4"/>
  <c r="R531" i="4"/>
  <c r="R140" i="4"/>
  <c r="P1194" i="4"/>
  <c r="S667" i="4"/>
  <c r="S1194" i="4"/>
  <c r="O514" i="4"/>
  <c r="S72" i="4"/>
  <c r="R514" i="4"/>
  <c r="P650" i="4"/>
  <c r="O531" i="4"/>
  <c r="Q140" i="4"/>
  <c r="N667" i="4"/>
  <c r="Q1194" i="4"/>
  <c r="R650" i="4"/>
  <c r="S650" i="4"/>
  <c r="P667" i="4"/>
  <c r="R1194" i="4"/>
  <c r="L1195" i="4"/>
  <c r="N1194" i="4"/>
  <c r="O72" i="4"/>
  <c r="N650" i="4"/>
  <c r="O650" i="4"/>
  <c r="Q514" i="4"/>
  <c r="L515" i="4"/>
  <c r="Q650" i="4"/>
  <c r="L651" i="4"/>
  <c r="S514" i="4"/>
  <c r="Q72" i="4"/>
  <c r="R72" i="4"/>
  <c r="P72" i="4"/>
  <c r="N72" i="4"/>
  <c r="P514" i="4"/>
  <c r="O1075" i="4"/>
  <c r="Q888" i="4"/>
  <c r="L1076" i="4"/>
  <c r="S1075" i="4"/>
  <c r="R820" i="4"/>
  <c r="N191" i="4"/>
  <c r="R1075" i="4"/>
  <c r="L192" i="4"/>
  <c r="P888" i="4"/>
  <c r="P1075" i="4"/>
  <c r="P191" i="4"/>
  <c r="S820" i="4"/>
  <c r="N820" i="4"/>
  <c r="R191" i="4"/>
  <c r="S191" i="4"/>
  <c r="P820" i="4"/>
  <c r="Q820" i="4"/>
  <c r="Q191" i="4"/>
  <c r="O191" i="4"/>
  <c r="O820" i="4"/>
  <c r="Q1075" i="4"/>
  <c r="O888" i="4"/>
  <c r="L889" i="4"/>
  <c r="R888" i="4"/>
  <c r="L532" i="4"/>
  <c r="M532" i="4" s="1"/>
  <c r="S888" i="4"/>
  <c r="L430" i="4"/>
  <c r="M430" i="4" s="1"/>
  <c r="P429" i="4"/>
  <c r="Q429" i="4"/>
  <c r="N429" i="4"/>
  <c r="R429" i="4"/>
  <c r="O429" i="4"/>
  <c r="S429" i="4"/>
  <c r="L311" i="4"/>
  <c r="M311" i="4" s="1"/>
  <c r="N310" i="4"/>
  <c r="Q310" i="4"/>
  <c r="R310" i="4"/>
  <c r="O310" i="4"/>
  <c r="S310" i="4"/>
  <c r="P310" i="4"/>
  <c r="L481" i="4"/>
  <c r="M481" i="4" s="1"/>
  <c r="N480" i="4"/>
  <c r="R480" i="4"/>
  <c r="O480" i="4"/>
  <c r="S480" i="4"/>
  <c r="P480" i="4"/>
  <c r="Q480" i="4"/>
  <c r="L1008" i="4"/>
  <c r="M1008" i="4" s="1"/>
  <c r="N1007" i="4"/>
  <c r="R1007" i="4"/>
  <c r="O1007" i="4"/>
  <c r="S1007" i="4"/>
  <c r="P1007" i="4"/>
  <c r="Q1007" i="4"/>
  <c r="L1161" i="4"/>
  <c r="M1161" i="4" s="1"/>
  <c r="P1160" i="4"/>
  <c r="Q1160" i="4"/>
  <c r="N1160" i="4"/>
  <c r="R1160" i="4"/>
  <c r="O1160" i="4"/>
  <c r="S1160" i="4"/>
  <c r="L90" i="4"/>
  <c r="M90" i="4" s="1"/>
  <c r="O89" i="4"/>
  <c r="S89" i="4"/>
  <c r="P89" i="4"/>
  <c r="Q89" i="4"/>
  <c r="N89" i="4"/>
  <c r="R89" i="4"/>
  <c r="L583" i="4"/>
  <c r="M583" i="4" s="1"/>
  <c r="O582" i="4"/>
  <c r="S582" i="4"/>
  <c r="P582" i="4"/>
  <c r="N582" i="4"/>
  <c r="Q582" i="4"/>
  <c r="R582" i="4"/>
  <c r="L549" i="4"/>
  <c r="M549" i="4" s="1"/>
  <c r="N548" i="4"/>
  <c r="R548" i="4"/>
  <c r="O548" i="4"/>
  <c r="S548" i="4"/>
  <c r="P548" i="4"/>
  <c r="Q548" i="4"/>
  <c r="N973" i="4"/>
  <c r="R973" i="4"/>
  <c r="O973" i="4"/>
  <c r="S973" i="4"/>
  <c r="P973" i="4"/>
  <c r="Q973" i="4"/>
  <c r="L974" i="4"/>
  <c r="M974" i="4" s="1"/>
  <c r="L1144" i="4"/>
  <c r="M1144" i="4" s="1"/>
  <c r="N1143" i="4"/>
  <c r="R1143" i="4"/>
  <c r="O1143" i="4"/>
  <c r="S1143" i="4"/>
  <c r="P1143" i="4"/>
  <c r="Q1143" i="4"/>
  <c r="L685" i="4"/>
  <c r="M685" i="4" s="1"/>
  <c r="O684" i="4"/>
  <c r="S684" i="4"/>
  <c r="P684" i="4"/>
  <c r="Q684" i="4"/>
  <c r="N684" i="4"/>
  <c r="R684" i="4"/>
  <c r="L940" i="4"/>
  <c r="M940" i="4" s="1"/>
  <c r="P939" i="4"/>
  <c r="R939" i="4"/>
  <c r="N939" i="4"/>
  <c r="S939" i="4"/>
  <c r="O939" i="4"/>
  <c r="Q939" i="4"/>
  <c r="O787" i="4"/>
  <c r="L107" i="4"/>
  <c r="M107" i="4" s="1"/>
  <c r="Q106" i="4"/>
  <c r="N106" i="4"/>
  <c r="R106" i="4"/>
  <c r="O106" i="4"/>
  <c r="S106" i="4"/>
  <c r="P106" i="4"/>
  <c r="L634" i="4"/>
  <c r="M634" i="4" s="1"/>
  <c r="Q633" i="4"/>
  <c r="N633" i="4"/>
  <c r="R633" i="4"/>
  <c r="O633" i="4"/>
  <c r="S633" i="4"/>
  <c r="P633" i="4"/>
  <c r="L1212" i="4"/>
  <c r="M1212" i="4" s="1"/>
  <c r="N1211" i="4"/>
  <c r="R1211" i="4"/>
  <c r="O1211" i="4"/>
  <c r="S1211" i="4"/>
  <c r="P1211" i="4"/>
  <c r="Q1211" i="4"/>
  <c r="L158" i="4"/>
  <c r="M158" i="4" s="1"/>
  <c r="Q157" i="4"/>
  <c r="P157" i="4"/>
  <c r="R157" i="4"/>
  <c r="N157" i="4"/>
  <c r="O157" i="4"/>
  <c r="S157" i="4"/>
  <c r="L498" i="4"/>
  <c r="M498" i="4" s="1"/>
  <c r="P497" i="4"/>
  <c r="Q497" i="4"/>
  <c r="N497" i="4"/>
  <c r="R497" i="4"/>
  <c r="S497" i="4"/>
  <c r="O497" i="4"/>
  <c r="L617" i="4"/>
  <c r="M617" i="4" s="1"/>
  <c r="O616" i="4"/>
  <c r="S616" i="4"/>
  <c r="P616" i="4"/>
  <c r="Q616" i="4"/>
  <c r="R616" i="4"/>
  <c r="N616" i="4"/>
  <c r="L855" i="4"/>
  <c r="M855" i="4" s="1"/>
  <c r="Q854" i="4"/>
  <c r="N854" i="4"/>
  <c r="R854" i="4"/>
  <c r="S854" i="4"/>
  <c r="O854" i="4"/>
  <c r="P854" i="4"/>
  <c r="L362" i="4"/>
  <c r="M362" i="4" s="1"/>
  <c r="O361" i="4"/>
  <c r="S361" i="4"/>
  <c r="P361" i="4"/>
  <c r="N361" i="4"/>
  <c r="Q361" i="4"/>
  <c r="R361" i="4"/>
  <c r="L243" i="4"/>
  <c r="M243" i="4" s="1"/>
  <c r="Q242" i="4"/>
  <c r="O242" i="4"/>
  <c r="P242" i="4"/>
  <c r="R242" i="4"/>
  <c r="S242" i="4"/>
  <c r="N242" i="4"/>
  <c r="L209" i="4"/>
  <c r="M209" i="4" s="1"/>
  <c r="Q208" i="4"/>
  <c r="N208" i="4"/>
  <c r="R208" i="4"/>
  <c r="S208" i="4"/>
  <c r="O208" i="4"/>
  <c r="P208" i="4"/>
  <c r="L396" i="4"/>
  <c r="M396" i="4" s="1"/>
  <c r="P395" i="4"/>
  <c r="Q395" i="4"/>
  <c r="N395" i="4"/>
  <c r="R395" i="4"/>
  <c r="O395" i="4"/>
  <c r="S395" i="4"/>
  <c r="L753" i="4"/>
  <c r="M753" i="4" s="1"/>
  <c r="O752" i="4"/>
  <c r="S752" i="4"/>
  <c r="P752" i="4"/>
  <c r="Q752" i="4"/>
  <c r="R752" i="4"/>
  <c r="N752" i="4"/>
  <c r="L1280" i="4"/>
  <c r="M1280" i="4" s="1"/>
  <c r="N1279" i="4"/>
  <c r="R1279" i="4"/>
  <c r="O1279" i="4"/>
  <c r="S1279" i="4"/>
  <c r="P1279" i="4"/>
  <c r="Q1279" i="4"/>
  <c r="L1314" i="4"/>
  <c r="M1314" i="4" s="1"/>
  <c r="N1313" i="4"/>
  <c r="R1313" i="4"/>
  <c r="O1313" i="4"/>
  <c r="S1313" i="4"/>
  <c r="P1313" i="4"/>
  <c r="Q1313" i="4"/>
  <c r="L1297" i="4"/>
  <c r="M1297" i="4" s="1"/>
  <c r="P1296" i="4"/>
  <c r="Q1296" i="4"/>
  <c r="N1296" i="4"/>
  <c r="R1296" i="4"/>
  <c r="O1296" i="4"/>
  <c r="S1296" i="4"/>
  <c r="N412" i="4"/>
  <c r="R412" i="4"/>
  <c r="O412" i="4"/>
  <c r="S412" i="4"/>
  <c r="P412" i="4"/>
  <c r="Q412" i="4"/>
  <c r="L413" i="4"/>
  <c r="M413" i="4" s="1"/>
  <c r="L1110" i="4"/>
  <c r="M1110" i="4" s="1"/>
  <c r="N1109" i="4"/>
  <c r="R1109" i="4"/>
  <c r="O1109" i="4"/>
  <c r="S1109" i="4"/>
  <c r="P1109" i="4"/>
  <c r="Q1109" i="4"/>
  <c r="L328" i="4"/>
  <c r="M328" i="4" s="1"/>
  <c r="O327" i="4"/>
  <c r="S327" i="4"/>
  <c r="P327" i="4"/>
  <c r="Q327" i="4"/>
  <c r="N327" i="4"/>
  <c r="R327" i="4"/>
  <c r="L702" i="4"/>
  <c r="M702" i="4" s="1"/>
  <c r="Q701" i="4"/>
  <c r="N701" i="4"/>
  <c r="R701" i="4"/>
  <c r="O701" i="4"/>
  <c r="S701" i="4"/>
  <c r="P701" i="4"/>
  <c r="L771" i="4"/>
  <c r="M771" i="4" s="1"/>
  <c r="O770" i="4"/>
  <c r="S770" i="4"/>
  <c r="P770" i="4"/>
  <c r="Q770" i="4"/>
  <c r="R770" i="4"/>
  <c r="N770" i="4"/>
  <c r="L923" i="4"/>
  <c r="M923" i="4" s="1"/>
  <c r="Q922" i="4"/>
  <c r="N922" i="4"/>
  <c r="R922" i="4"/>
  <c r="S922" i="4"/>
  <c r="O922" i="4"/>
  <c r="P922" i="4"/>
  <c r="L124" i="4"/>
  <c r="M124" i="4" s="1"/>
  <c r="Q123" i="4"/>
  <c r="N123" i="4"/>
  <c r="S123" i="4"/>
  <c r="R123" i="4"/>
  <c r="O123" i="4"/>
  <c r="P123" i="4"/>
  <c r="L804" i="4"/>
  <c r="M804" i="4" s="1"/>
  <c r="O803" i="4"/>
  <c r="S803" i="4"/>
  <c r="P803" i="4"/>
  <c r="Q803" i="4"/>
  <c r="R803" i="4"/>
  <c r="N803" i="4"/>
  <c r="L1025" i="4"/>
  <c r="M1025" i="4" s="1"/>
  <c r="P1024" i="4"/>
  <c r="Q1024" i="4"/>
  <c r="N1024" i="4"/>
  <c r="R1024" i="4"/>
  <c r="O1024" i="4"/>
  <c r="S1024" i="4"/>
  <c r="L957" i="4"/>
  <c r="M957" i="4" s="1"/>
  <c r="N956" i="4"/>
  <c r="R956" i="4"/>
  <c r="S956" i="4"/>
  <c r="O956" i="4"/>
  <c r="P956" i="4"/>
  <c r="Q956" i="4"/>
  <c r="L226" i="4"/>
  <c r="M226" i="4" s="1"/>
  <c r="O225" i="4"/>
  <c r="S225" i="4"/>
  <c r="R225" i="4"/>
  <c r="N225" i="4"/>
  <c r="P225" i="4"/>
  <c r="Q225" i="4"/>
  <c r="L566" i="4"/>
  <c r="M566" i="4" s="1"/>
  <c r="P565" i="4"/>
  <c r="Q565" i="4"/>
  <c r="N565" i="4"/>
  <c r="R565" i="4"/>
  <c r="O565" i="4"/>
  <c r="S565" i="4"/>
  <c r="L991" i="4"/>
  <c r="M991" i="4" s="1"/>
  <c r="P990" i="4"/>
  <c r="Q990" i="4"/>
  <c r="N990" i="4"/>
  <c r="R990" i="4"/>
  <c r="O990" i="4"/>
  <c r="S990" i="4"/>
  <c r="L1348" i="4"/>
  <c r="M1348" i="4" s="1"/>
  <c r="N1347" i="4"/>
  <c r="R1347" i="4"/>
  <c r="O1347" i="4"/>
  <c r="S1347" i="4"/>
  <c r="P1347" i="4"/>
  <c r="Q1347" i="4"/>
  <c r="L294" i="4"/>
  <c r="M294" i="4" s="1"/>
  <c r="P293" i="4"/>
  <c r="Q293" i="4"/>
  <c r="R293" i="4"/>
  <c r="N293" i="4"/>
  <c r="S293" i="4"/>
  <c r="O293" i="4"/>
  <c r="L22" i="4"/>
  <c r="M22" i="4" s="1"/>
  <c r="P21" i="4"/>
  <c r="Q21" i="4"/>
  <c r="N21" i="4"/>
  <c r="R21" i="4"/>
  <c r="O21" i="4"/>
  <c r="S21" i="4"/>
  <c r="L175" i="4"/>
  <c r="M175" i="4" s="1"/>
  <c r="Q174" i="4"/>
  <c r="N174" i="4"/>
  <c r="R174" i="4"/>
  <c r="O174" i="4"/>
  <c r="P174" i="4"/>
  <c r="S174" i="4"/>
  <c r="L1093" i="4"/>
  <c r="M1093" i="4" s="1"/>
  <c r="P1092" i="4"/>
  <c r="Q1092" i="4"/>
  <c r="N1092" i="4"/>
  <c r="R1092" i="4"/>
  <c r="O1092" i="4"/>
  <c r="S1092" i="4"/>
  <c r="L39" i="4"/>
  <c r="M39" i="4" s="1"/>
  <c r="N38" i="4"/>
  <c r="R38" i="4"/>
  <c r="O38" i="4"/>
  <c r="S38" i="4"/>
  <c r="P38" i="4"/>
  <c r="Q38" i="4"/>
  <c r="L6" i="4"/>
  <c r="M6" i="4" s="1"/>
  <c r="L1059" i="4"/>
  <c r="M1059" i="4" s="1"/>
  <c r="P1058" i="4"/>
  <c r="Q1058" i="4"/>
  <c r="N1058" i="4"/>
  <c r="R1058" i="4"/>
  <c r="S1058" i="4"/>
  <c r="O1058" i="4"/>
  <c r="L1178" i="4"/>
  <c r="M1178" i="4" s="1"/>
  <c r="N1177" i="4"/>
  <c r="R1177" i="4"/>
  <c r="O1177" i="4"/>
  <c r="S1177" i="4"/>
  <c r="P1177" i="4"/>
  <c r="Q1177" i="4"/>
  <c r="L379" i="4"/>
  <c r="M379" i="4" s="1"/>
  <c r="N378" i="4"/>
  <c r="R378" i="4"/>
  <c r="O378" i="4"/>
  <c r="S378" i="4"/>
  <c r="P378" i="4"/>
  <c r="Q378" i="4"/>
  <c r="L1246" i="4"/>
  <c r="M1246" i="4" s="1"/>
  <c r="N1245" i="4"/>
  <c r="R1245" i="4"/>
  <c r="O1245" i="4"/>
  <c r="S1245" i="4"/>
  <c r="P1245" i="4"/>
  <c r="Q1245" i="4"/>
  <c r="L1229" i="4"/>
  <c r="M1229" i="4" s="1"/>
  <c r="P1228" i="4"/>
  <c r="Q1228" i="4"/>
  <c r="N1228" i="4"/>
  <c r="R1228" i="4"/>
  <c r="O1228" i="4"/>
  <c r="S1228" i="4"/>
  <c r="C2" i="11"/>
  <c r="C4" i="11"/>
  <c r="Q1127" i="4" l="1"/>
  <c r="R1127" i="4"/>
  <c r="L1264" i="4"/>
  <c r="M1264" i="4" s="1"/>
  <c r="L1128" i="4"/>
  <c r="M1128" i="4" s="1"/>
  <c r="P1263" i="4"/>
  <c r="Q787" i="4"/>
  <c r="L261" i="4"/>
  <c r="M261" i="4" s="1"/>
  <c r="Q872" i="4"/>
  <c r="Q1263" i="4"/>
  <c r="S787" i="4"/>
  <c r="L1332" i="4"/>
  <c r="M1332" i="4" s="1"/>
  <c r="N1263" i="4"/>
  <c r="R787" i="4"/>
  <c r="Q1331" i="4"/>
  <c r="S1331" i="4"/>
  <c r="S1127" i="4"/>
  <c r="P464" i="4"/>
  <c r="S1263" i="4"/>
  <c r="N787" i="4"/>
  <c r="L788" i="4"/>
  <c r="M788" i="4" s="1"/>
  <c r="Q719" i="4"/>
  <c r="S719" i="4"/>
  <c r="O1127" i="4"/>
  <c r="O872" i="4"/>
  <c r="N464" i="4"/>
  <c r="R1263" i="4"/>
  <c r="P787" i="4"/>
  <c r="P260" i="4"/>
  <c r="S872" i="4"/>
  <c r="L873" i="4"/>
  <c r="M873" i="4" s="1"/>
  <c r="S464" i="4"/>
  <c r="L465" i="4"/>
  <c r="M465" i="4" s="1"/>
  <c r="O719" i="4"/>
  <c r="L720" i="4"/>
  <c r="M720" i="4" s="1"/>
  <c r="O260" i="4"/>
  <c r="R872" i="4"/>
  <c r="O464" i="4"/>
  <c r="R719" i="4"/>
  <c r="S260" i="4"/>
  <c r="R260" i="4"/>
  <c r="P872" i="4"/>
  <c r="N872" i="4"/>
  <c r="Q464" i="4"/>
  <c r="R464" i="4"/>
  <c r="P719" i="4"/>
  <c r="N719" i="4"/>
  <c r="Q260" i="4"/>
  <c r="N260" i="4"/>
  <c r="O447" i="4"/>
  <c r="O1331" i="4"/>
  <c r="R1331" i="4"/>
  <c r="P447" i="4"/>
  <c r="R447" i="4"/>
  <c r="L448" i="4"/>
  <c r="M448" i="4" s="1"/>
  <c r="N447" i="4"/>
  <c r="S447" i="4"/>
  <c r="Q447" i="4"/>
  <c r="P1331" i="4"/>
  <c r="N1331" i="4"/>
  <c r="L74" i="4"/>
  <c r="L75" i="4" s="1"/>
  <c r="M75" i="4" s="1"/>
  <c r="N277" i="4"/>
  <c r="P277" i="4"/>
  <c r="R277" i="4"/>
  <c r="L278" i="4"/>
  <c r="M278" i="4" s="1"/>
  <c r="Q277" i="4"/>
  <c r="L907" i="4"/>
  <c r="M907" i="4" s="1"/>
  <c r="P1127" i="4"/>
  <c r="N1127" i="4"/>
  <c r="S277" i="4"/>
  <c r="O277" i="4"/>
  <c r="O1263" i="4"/>
  <c r="N736" i="4"/>
  <c r="N600" i="4"/>
  <c r="O736" i="4"/>
  <c r="O600" i="4"/>
  <c r="Q736" i="4"/>
  <c r="L737" i="4"/>
  <c r="M737" i="4" s="1"/>
  <c r="Q600" i="4"/>
  <c r="L601" i="4"/>
  <c r="M601" i="4" s="1"/>
  <c r="P736" i="4"/>
  <c r="P600" i="4"/>
  <c r="R736" i="4"/>
  <c r="S736" i="4"/>
  <c r="R600" i="4"/>
  <c r="S600" i="4"/>
  <c r="S906" i="4"/>
  <c r="Q56" i="4"/>
  <c r="P56" i="4"/>
  <c r="O906" i="4"/>
  <c r="R56" i="4"/>
  <c r="R906" i="4"/>
  <c r="N56" i="4"/>
  <c r="N906" i="4"/>
  <c r="S56" i="4"/>
  <c r="L57" i="4"/>
  <c r="M57" i="4" s="1"/>
  <c r="P906" i="4"/>
  <c r="Q906" i="4"/>
  <c r="O56" i="4"/>
  <c r="N668" i="4"/>
  <c r="R73" i="4"/>
  <c r="O1042" i="4"/>
  <c r="P73" i="4"/>
  <c r="R821" i="4"/>
  <c r="O73" i="4"/>
  <c r="Q821" i="4"/>
  <c r="Q73" i="4"/>
  <c r="O141" i="4"/>
  <c r="N141" i="4"/>
  <c r="Q141" i="4"/>
  <c r="S141" i="4"/>
  <c r="Q822" i="4"/>
  <c r="M822" i="4"/>
  <c r="N821" i="4"/>
  <c r="P668" i="4"/>
  <c r="L1077" i="4"/>
  <c r="M1077" i="4" s="1"/>
  <c r="M1076" i="4"/>
  <c r="S73" i="4"/>
  <c r="O668" i="4"/>
  <c r="R1195" i="4"/>
  <c r="M1195" i="4"/>
  <c r="P889" i="4"/>
  <c r="M889" i="4"/>
  <c r="L193" i="4"/>
  <c r="M193" i="4" s="1"/>
  <c r="M192" i="4"/>
  <c r="Q651" i="4"/>
  <c r="M651" i="4"/>
  <c r="L839" i="4"/>
  <c r="M838" i="4"/>
  <c r="N838" i="4"/>
  <c r="S838" i="4"/>
  <c r="R838" i="4"/>
  <c r="O838" i="4"/>
  <c r="Q838" i="4"/>
  <c r="P838" i="4"/>
  <c r="L1043" i="4"/>
  <c r="M1042" i="4"/>
  <c r="Q1042" i="4"/>
  <c r="N1042" i="4"/>
  <c r="S1042" i="4"/>
  <c r="P821" i="4"/>
  <c r="M821" i="4"/>
  <c r="O821" i="4"/>
  <c r="S821" i="4"/>
  <c r="R668" i="4"/>
  <c r="R141" i="4"/>
  <c r="N73" i="4"/>
  <c r="P1042" i="4"/>
  <c r="P515" i="4"/>
  <c r="M515" i="4"/>
  <c r="M345" i="4"/>
  <c r="O345" i="4"/>
  <c r="N345" i="4"/>
  <c r="S345" i="4"/>
  <c r="R345" i="4"/>
  <c r="P345" i="4"/>
  <c r="L346" i="4"/>
  <c r="Q345" i="4"/>
  <c r="L142" i="4"/>
  <c r="M141" i="4"/>
  <c r="S668" i="4"/>
  <c r="M668" i="4"/>
  <c r="L669" i="4"/>
  <c r="L1196" i="4"/>
  <c r="L1197" i="4" s="1"/>
  <c r="M1197" i="4" s="1"/>
  <c r="S1195" i="4"/>
  <c r="P1195" i="4"/>
  <c r="N1195" i="4"/>
  <c r="L652" i="4"/>
  <c r="O1195" i="4"/>
  <c r="Q1195" i="4"/>
  <c r="O651" i="4"/>
  <c r="R651" i="4"/>
  <c r="P651" i="4"/>
  <c r="N651" i="4"/>
  <c r="S651" i="4"/>
  <c r="O1076" i="4"/>
  <c r="N1076" i="4"/>
  <c r="L516" i="4"/>
  <c r="R515" i="4"/>
  <c r="N515" i="4"/>
  <c r="O515" i="4"/>
  <c r="Q515" i="4"/>
  <c r="S515" i="4"/>
  <c r="S822" i="4"/>
  <c r="L823" i="4"/>
  <c r="R889" i="4"/>
  <c r="Q1076" i="4"/>
  <c r="S1076" i="4"/>
  <c r="P1076" i="4"/>
  <c r="R1076" i="4"/>
  <c r="P822" i="4"/>
  <c r="S889" i="4"/>
  <c r="N822" i="4"/>
  <c r="O889" i="4"/>
  <c r="R822" i="4"/>
  <c r="O822" i="4"/>
  <c r="N192" i="4"/>
  <c r="S192" i="4"/>
  <c r="Q192" i="4"/>
  <c r="P192" i="4"/>
  <c r="R192" i="4"/>
  <c r="O192" i="4"/>
  <c r="Q889" i="4"/>
  <c r="L890" i="4"/>
  <c r="N889" i="4"/>
  <c r="R532" i="4"/>
  <c r="Q532" i="4"/>
  <c r="O532" i="4"/>
  <c r="L533" i="4"/>
  <c r="M533" i="4" s="1"/>
  <c r="S532" i="4"/>
  <c r="N532" i="4"/>
  <c r="P532" i="4"/>
  <c r="L1230" i="4"/>
  <c r="M1230" i="4" s="1"/>
  <c r="N1229" i="4"/>
  <c r="R1229" i="4"/>
  <c r="O1229" i="4"/>
  <c r="S1229" i="4"/>
  <c r="P1229" i="4"/>
  <c r="Q1229" i="4"/>
  <c r="L1247" i="4"/>
  <c r="M1247" i="4" s="1"/>
  <c r="P1246" i="4"/>
  <c r="Q1246" i="4"/>
  <c r="N1246" i="4"/>
  <c r="R1246" i="4"/>
  <c r="O1246" i="4"/>
  <c r="S1246" i="4"/>
  <c r="L380" i="4"/>
  <c r="M380" i="4" s="1"/>
  <c r="P379" i="4"/>
  <c r="Q379" i="4"/>
  <c r="N379" i="4"/>
  <c r="R379" i="4"/>
  <c r="S379" i="4"/>
  <c r="O379" i="4"/>
  <c r="L1179" i="4"/>
  <c r="M1179" i="4" s="1"/>
  <c r="P1178" i="4"/>
  <c r="Q1178" i="4"/>
  <c r="N1178" i="4"/>
  <c r="R1178" i="4"/>
  <c r="O1178" i="4"/>
  <c r="S1178" i="4"/>
  <c r="L1060" i="4"/>
  <c r="M1060" i="4" s="1"/>
  <c r="N1059" i="4"/>
  <c r="R1059" i="4"/>
  <c r="O1059" i="4"/>
  <c r="S1059" i="4"/>
  <c r="P1059" i="4"/>
  <c r="Q1059" i="4"/>
  <c r="L414" i="4"/>
  <c r="M414" i="4" s="1"/>
  <c r="P413" i="4"/>
  <c r="Q413" i="4"/>
  <c r="N413" i="4"/>
  <c r="R413" i="4"/>
  <c r="O413" i="4"/>
  <c r="S413" i="4"/>
  <c r="L975" i="4"/>
  <c r="M975" i="4" s="1"/>
  <c r="P974" i="4"/>
  <c r="Q974" i="4"/>
  <c r="N974" i="4"/>
  <c r="R974" i="4"/>
  <c r="O974" i="4"/>
  <c r="S974" i="4"/>
  <c r="L7" i="4"/>
  <c r="M7" i="4" s="1"/>
  <c r="L40" i="4"/>
  <c r="M40" i="4" s="1"/>
  <c r="P39" i="4"/>
  <c r="Q39" i="4"/>
  <c r="N39" i="4"/>
  <c r="R39" i="4"/>
  <c r="O39" i="4"/>
  <c r="S39" i="4"/>
  <c r="L1094" i="4"/>
  <c r="M1094" i="4" s="1"/>
  <c r="N1093" i="4"/>
  <c r="R1093" i="4"/>
  <c r="O1093" i="4"/>
  <c r="S1093" i="4"/>
  <c r="P1093" i="4"/>
  <c r="Q1093" i="4"/>
  <c r="L176" i="4"/>
  <c r="M176" i="4" s="1"/>
  <c r="O175" i="4"/>
  <c r="S175" i="4"/>
  <c r="P175" i="4"/>
  <c r="Q175" i="4"/>
  <c r="R175" i="4"/>
  <c r="N175" i="4"/>
  <c r="L23" i="4"/>
  <c r="M23" i="4" s="1"/>
  <c r="N22" i="4"/>
  <c r="R22" i="4"/>
  <c r="O22" i="4"/>
  <c r="S22" i="4"/>
  <c r="P22" i="4"/>
  <c r="Q22" i="4"/>
  <c r="L295" i="4"/>
  <c r="M295" i="4" s="1"/>
  <c r="N294" i="4"/>
  <c r="R294" i="4"/>
  <c r="P294" i="4"/>
  <c r="Q294" i="4"/>
  <c r="S294" i="4"/>
  <c r="O294" i="4"/>
  <c r="L1349" i="4"/>
  <c r="M1349" i="4" s="1"/>
  <c r="P1348" i="4"/>
  <c r="Q1348" i="4"/>
  <c r="N1348" i="4"/>
  <c r="R1348" i="4"/>
  <c r="S1348" i="4"/>
  <c r="O1348" i="4"/>
  <c r="L992" i="4"/>
  <c r="M992" i="4" s="1"/>
  <c r="N991" i="4"/>
  <c r="R991" i="4"/>
  <c r="O991" i="4"/>
  <c r="S991" i="4"/>
  <c r="P991" i="4"/>
  <c r="Q991" i="4"/>
  <c r="L567" i="4"/>
  <c r="M567" i="4" s="1"/>
  <c r="N566" i="4"/>
  <c r="R566" i="4"/>
  <c r="O566" i="4"/>
  <c r="S566" i="4"/>
  <c r="P566" i="4"/>
  <c r="Q566" i="4"/>
  <c r="L227" i="4"/>
  <c r="M227" i="4" s="1"/>
  <c r="Q226" i="4"/>
  <c r="R226" i="4"/>
  <c r="N226" i="4"/>
  <c r="S226" i="4"/>
  <c r="O226" i="4"/>
  <c r="P226" i="4"/>
  <c r="L958" i="4"/>
  <c r="M958" i="4" s="1"/>
  <c r="P957" i="4"/>
  <c r="R957" i="4"/>
  <c r="N957" i="4"/>
  <c r="S957" i="4"/>
  <c r="O957" i="4"/>
  <c r="Q957" i="4"/>
  <c r="L1026" i="4"/>
  <c r="M1026" i="4" s="1"/>
  <c r="N1025" i="4"/>
  <c r="R1025" i="4"/>
  <c r="O1025" i="4"/>
  <c r="S1025" i="4"/>
  <c r="P1025" i="4"/>
  <c r="Q1025" i="4"/>
  <c r="L805" i="4"/>
  <c r="M805" i="4" s="1"/>
  <c r="Q804" i="4"/>
  <c r="N804" i="4"/>
  <c r="R804" i="4"/>
  <c r="S804" i="4"/>
  <c r="O804" i="4"/>
  <c r="P804" i="4"/>
  <c r="L125" i="4"/>
  <c r="M125" i="4" s="1"/>
  <c r="O124" i="4"/>
  <c r="S124" i="4"/>
  <c r="R124" i="4"/>
  <c r="N124" i="4"/>
  <c r="P124" i="4"/>
  <c r="Q124" i="4"/>
  <c r="O923" i="4"/>
  <c r="S923" i="4"/>
  <c r="P923" i="4"/>
  <c r="N923" i="4"/>
  <c r="Q923" i="4"/>
  <c r="R923" i="4"/>
  <c r="L924" i="4"/>
  <c r="M924" i="4" s="1"/>
  <c r="L772" i="4"/>
  <c r="M772" i="4" s="1"/>
  <c r="Q771" i="4"/>
  <c r="N771" i="4"/>
  <c r="R771" i="4"/>
  <c r="O771" i="4"/>
  <c r="S771" i="4"/>
  <c r="P771" i="4"/>
  <c r="L703" i="4"/>
  <c r="M703" i="4" s="1"/>
  <c r="O702" i="4"/>
  <c r="S702" i="4"/>
  <c r="P702" i="4"/>
  <c r="Q702" i="4"/>
  <c r="N702" i="4"/>
  <c r="R702" i="4"/>
  <c r="L329" i="4"/>
  <c r="M329" i="4" s="1"/>
  <c r="Q328" i="4"/>
  <c r="N328" i="4"/>
  <c r="R328" i="4"/>
  <c r="O328" i="4"/>
  <c r="S328" i="4"/>
  <c r="P328" i="4"/>
  <c r="L1111" i="4"/>
  <c r="M1111" i="4" s="1"/>
  <c r="P1110" i="4"/>
  <c r="Q1110" i="4"/>
  <c r="N1110" i="4"/>
  <c r="R1110" i="4"/>
  <c r="O1110" i="4"/>
  <c r="S1110" i="4"/>
  <c r="L1298" i="4"/>
  <c r="M1298" i="4" s="1"/>
  <c r="N1297" i="4"/>
  <c r="R1297" i="4"/>
  <c r="O1297" i="4"/>
  <c r="S1297" i="4"/>
  <c r="P1297" i="4"/>
  <c r="Q1297" i="4"/>
  <c r="L1265" i="4"/>
  <c r="M1265" i="4" s="1"/>
  <c r="P1264" i="4"/>
  <c r="Q1264" i="4"/>
  <c r="N1264" i="4"/>
  <c r="R1264" i="4"/>
  <c r="O1264" i="4"/>
  <c r="S1264" i="4"/>
  <c r="L1315" i="4"/>
  <c r="M1315" i="4" s="1"/>
  <c r="P1314" i="4"/>
  <c r="Q1314" i="4"/>
  <c r="N1314" i="4"/>
  <c r="R1314" i="4"/>
  <c r="O1314" i="4"/>
  <c r="S1314" i="4"/>
  <c r="L1281" i="4"/>
  <c r="M1281" i="4" s="1"/>
  <c r="P1280" i="4"/>
  <c r="Q1280" i="4"/>
  <c r="N1280" i="4"/>
  <c r="R1280" i="4"/>
  <c r="O1280" i="4"/>
  <c r="S1280" i="4"/>
  <c r="L754" i="4"/>
  <c r="M754" i="4" s="1"/>
  <c r="Q753" i="4"/>
  <c r="N753" i="4"/>
  <c r="R753" i="4"/>
  <c r="O753" i="4"/>
  <c r="S753" i="4"/>
  <c r="P753" i="4"/>
  <c r="L397" i="4"/>
  <c r="M397" i="4" s="1"/>
  <c r="N396" i="4"/>
  <c r="R396" i="4"/>
  <c r="O396" i="4"/>
  <c r="S396" i="4"/>
  <c r="P396" i="4"/>
  <c r="Q396" i="4"/>
  <c r="L210" i="4"/>
  <c r="M210" i="4" s="1"/>
  <c r="O209" i="4"/>
  <c r="S209" i="4"/>
  <c r="P209" i="4"/>
  <c r="N209" i="4"/>
  <c r="Q209" i="4"/>
  <c r="R209" i="4"/>
  <c r="L244" i="4"/>
  <c r="M244" i="4" s="1"/>
  <c r="O243" i="4"/>
  <c r="S243" i="4"/>
  <c r="N243" i="4"/>
  <c r="Q243" i="4"/>
  <c r="R243" i="4"/>
  <c r="P243" i="4"/>
  <c r="Q362" i="4"/>
  <c r="N362" i="4"/>
  <c r="R362" i="4"/>
  <c r="O362" i="4"/>
  <c r="P362" i="4"/>
  <c r="S362" i="4"/>
  <c r="L363" i="4"/>
  <c r="M363" i="4" s="1"/>
  <c r="L856" i="4"/>
  <c r="M856" i="4" s="1"/>
  <c r="O855" i="4"/>
  <c r="S855" i="4"/>
  <c r="P855" i="4"/>
  <c r="N855" i="4"/>
  <c r="Q855" i="4"/>
  <c r="R855" i="4"/>
  <c r="Q617" i="4"/>
  <c r="N617" i="4"/>
  <c r="R617" i="4"/>
  <c r="O617" i="4"/>
  <c r="S617" i="4"/>
  <c r="P617" i="4"/>
  <c r="L618" i="4"/>
  <c r="M618" i="4" s="1"/>
  <c r="L499" i="4"/>
  <c r="M499" i="4" s="1"/>
  <c r="N498" i="4"/>
  <c r="R498" i="4"/>
  <c r="O498" i="4"/>
  <c r="S498" i="4"/>
  <c r="P498" i="4"/>
  <c r="Q498" i="4"/>
  <c r="O158" i="4"/>
  <c r="S158" i="4"/>
  <c r="P158" i="4"/>
  <c r="Q158" i="4"/>
  <c r="R158" i="4"/>
  <c r="N158" i="4"/>
  <c r="L159" i="4"/>
  <c r="M159" i="4" s="1"/>
  <c r="L1213" i="4"/>
  <c r="M1213" i="4" s="1"/>
  <c r="P1212" i="4"/>
  <c r="Q1212" i="4"/>
  <c r="N1212" i="4"/>
  <c r="R1212" i="4"/>
  <c r="S1212" i="4"/>
  <c r="O1212" i="4"/>
  <c r="L635" i="4"/>
  <c r="M635" i="4" s="1"/>
  <c r="O634" i="4"/>
  <c r="S634" i="4"/>
  <c r="P634" i="4"/>
  <c r="Q634" i="4"/>
  <c r="R634" i="4"/>
  <c r="N634" i="4"/>
  <c r="L108" i="4"/>
  <c r="M108" i="4" s="1"/>
  <c r="O107" i="4"/>
  <c r="S107" i="4"/>
  <c r="P107" i="4"/>
  <c r="Q107" i="4"/>
  <c r="N107" i="4"/>
  <c r="R107" i="4"/>
  <c r="L941" i="4"/>
  <c r="M941" i="4" s="1"/>
  <c r="N940" i="4"/>
  <c r="R940" i="4"/>
  <c r="Q940" i="4"/>
  <c r="S940" i="4"/>
  <c r="O940" i="4"/>
  <c r="P940" i="4"/>
  <c r="L686" i="4"/>
  <c r="M686" i="4" s="1"/>
  <c r="Q685" i="4"/>
  <c r="N685" i="4"/>
  <c r="R685" i="4"/>
  <c r="O685" i="4"/>
  <c r="S685" i="4"/>
  <c r="P685" i="4"/>
  <c r="L1145" i="4"/>
  <c r="M1145" i="4" s="1"/>
  <c r="P1144" i="4"/>
  <c r="Q1144" i="4"/>
  <c r="N1144" i="4"/>
  <c r="R1144" i="4"/>
  <c r="O1144" i="4"/>
  <c r="S1144" i="4"/>
  <c r="P549" i="4"/>
  <c r="Q549" i="4"/>
  <c r="N549" i="4"/>
  <c r="R549" i="4"/>
  <c r="O549" i="4"/>
  <c r="S549" i="4"/>
  <c r="L550" i="4"/>
  <c r="M550" i="4" s="1"/>
  <c r="L584" i="4"/>
  <c r="M584" i="4" s="1"/>
  <c r="Q583" i="4"/>
  <c r="N583" i="4"/>
  <c r="R583" i="4"/>
  <c r="O583" i="4"/>
  <c r="P583" i="4"/>
  <c r="S583" i="4"/>
  <c r="L262" i="4"/>
  <c r="M262" i="4" s="1"/>
  <c r="P261" i="4"/>
  <c r="O261" i="4"/>
  <c r="Q261" i="4"/>
  <c r="L91" i="4"/>
  <c r="M91" i="4" s="1"/>
  <c r="Q90" i="4"/>
  <c r="N90" i="4"/>
  <c r="R90" i="4"/>
  <c r="O90" i="4"/>
  <c r="S90" i="4"/>
  <c r="P90" i="4"/>
  <c r="L1162" i="4"/>
  <c r="M1162" i="4" s="1"/>
  <c r="N1161" i="4"/>
  <c r="R1161" i="4"/>
  <c r="O1161" i="4"/>
  <c r="S1161" i="4"/>
  <c r="P1161" i="4"/>
  <c r="Q1161" i="4"/>
  <c r="L1009" i="4"/>
  <c r="M1009" i="4" s="1"/>
  <c r="P1008" i="4"/>
  <c r="Q1008" i="4"/>
  <c r="N1008" i="4"/>
  <c r="R1008" i="4"/>
  <c r="O1008" i="4"/>
  <c r="S1008" i="4"/>
  <c r="P481" i="4"/>
  <c r="Q481" i="4"/>
  <c r="N481" i="4"/>
  <c r="R481" i="4"/>
  <c r="O481" i="4"/>
  <c r="S481" i="4"/>
  <c r="L482" i="4"/>
  <c r="M482" i="4" s="1"/>
  <c r="L312" i="4"/>
  <c r="M312" i="4" s="1"/>
  <c r="O311" i="4"/>
  <c r="S311" i="4"/>
  <c r="P311" i="4"/>
  <c r="Q311" i="4"/>
  <c r="R311" i="4"/>
  <c r="N311" i="4"/>
  <c r="L431" i="4"/>
  <c r="M431" i="4" s="1"/>
  <c r="N430" i="4"/>
  <c r="R430" i="4"/>
  <c r="O430" i="4"/>
  <c r="S430" i="4"/>
  <c r="P430" i="4"/>
  <c r="Q430" i="4"/>
  <c r="A6" i="1"/>
  <c r="A7" i="1" s="1"/>
  <c r="A8" i="1" s="1"/>
  <c r="A9" i="1" s="1"/>
  <c r="A6" i="6"/>
  <c r="A7" i="6" s="1"/>
  <c r="A8" i="6" s="1"/>
  <c r="A9" i="6" s="1"/>
  <c r="N11" i="1"/>
  <c r="N10" i="1"/>
  <c r="N9" i="1"/>
  <c r="N11" i="6"/>
  <c r="N10" i="6"/>
  <c r="N9" i="6"/>
  <c r="N11" i="7"/>
  <c r="N10" i="7"/>
  <c r="N9" i="7"/>
  <c r="J12" i="1"/>
  <c r="J13" i="1"/>
  <c r="S5" i="1"/>
  <c r="E11" i="5"/>
  <c r="S1128" i="4" l="1"/>
  <c r="Q1128" i="4"/>
  <c r="N1128" i="4"/>
  <c r="O1128" i="4"/>
  <c r="P1128" i="4"/>
  <c r="R1128" i="4"/>
  <c r="L1129" i="4"/>
  <c r="M1129" i="4" s="1"/>
  <c r="S261" i="4"/>
  <c r="S788" i="4"/>
  <c r="N1332" i="4"/>
  <c r="R261" i="4"/>
  <c r="N261" i="4"/>
  <c r="S448" i="4"/>
  <c r="L449" i="4"/>
  <c r="M449" i="4" s="1"/>
  <c r="R873" i="4"/>
  <c r="P720" i="4"/>
  <c r="L908" i="4"/>
  <c r="M908" i="4" s="1"/>
  <c r="S873" i="4"/>
  <c r="Q873" i="4"/>
  <c r="O873" i="4"/>
  <c r="N720" i="4"/>
  <c r="O720" i="4"/>
  <c r="Q448" i="4"/>
  <c r="R448" i="4"/>
  <c r="N873" i="4"/>
  <c r="L874" i="4"/>
  <c r="M874" i="4" s="1"/>
  <c r="R720" i="4"/>
  <c r="S720" i="4"/>
  <c r="O448" i="4"/>
  <c r="Q720" i="4"/>
  <c r="L721" i="4"/>
  <c r="M721" i="4" s="1"/>
  <c r="Q907" i="4"/>
  <c r="P448" i="4"/>
  <c r="N448" i="4"/>
  <c r="P873" i="4"/>
  <c r="Q1332" i="4"/>
  <c r="O1332" i="4"/>
  <c r="P1332" i="4"/>
  <c r="S1332" i="4"/>
  <c r="R1332" i="4"/>
  <c r="L1333" i="4"/>
  <c r="M1333" i="4" s="1"/>
  <c r="R788" i="4"/>
  <c r="N788" i="4"/>
  <c r="N465" i="4"/>
  <c r="P788" i="4"/>
  <c r="Q788" i="4"/>
  <c r="O788" i="4"/>
  <c r="L789" i="4"/>
  <c r="M789" i="4" s="1"/>
  <c r="O465" i="4"/>
  <c r="P465" i="4"/>
  <c r="S465" i="4"/>
  <c r="Q465" i="4"/>
  <c r="R465" i="4"/>
  <c r="L466" i="4"/>
  <c r="M466" i="4" s="1"/>
  <c r="S75" i="4"/>
  <c r="Q75" i="4"/>
  <c r="S601" i="4"/>
  <c r="O75" i="4"/>
  <c r="P75" i="4"/>
  <c r="R75" i="4"/>
  <c r="L76" i="4"/>
  <c r="M76" i="4" s="1"/>
  <c r="N75" i="4"/>
  <c r="P74" i="4"/>
  <c r="N74" i="4"/>
  <c r="Q74" i="4"/>
  <c r="M74" i="4"/>
  <c r="O74" i="4"/>
  <c r="S74" i="4"/>
  <c r="R74" i="4"/>
  <c r="P737" i="4"/>
  <c r="Q278" i="4"/>
  <c r="N278" i="4"/>
  <c r="P278" i="4"/>
  <c r="L279" i="4"/>
  <c r="M279" i="4" s="1"/>
  <c r="O278" i="4"/>
  <c r="S278" i="4"/>
  <c r="R278" i="4"/>
  <c r="P907" i="4"/>
  <c r="N907" i="4"/>
  <c r="S907" i="4"/>
  <c r="N737" i="4"/>
  <c r="R907" i="4"/>
  <c r="O907" i="4"/>
  <c r="L738" i="4"/>
  <c r="M738" i="4" s="1"/>
  <c r="Q601" i="4"/>
  <c r="O601" i="4"/>
  <c r="L602" i="4"/>
  <c r="M602" i="4" s="1"/>
  <c r="R57" i="4"/>
  <c r="R601" i="4"/>
  <c r="P193" i="4"/>
  <c r="L58" i="4"/>
  <c r="M58" i="4" s="1"/>
  <c r="P601" i="4"/>
  <c r="N601" i="4"/>
  <c r="P1077" i="4"/>
  <c r="O737" i="4"/>
  <c r="R737" i="4"/>
  <c r="S57" i="4"/>
  <c r="Q57" i="4"/>
  <c r="N57" i="4"/>
  <c r="O57" i="4"/>
  <c r="P57" i="4"/>
  <c r="S737" i="4"/>
  <c r="Q737" i="4"/>
  <c r="O1077" i="4"/>
  <c r="N1077" i="4"/>
  <c r="N193" i="4"/>
  <c r="S193" i="4"/>
  <c r="R193" i="4"/>
  <c r="O193" i="4"/>
  <c r="Q193" i="4"/>
  <c r="L194" i="4"/>
  <c r="M194" i="4" s="1"/>
  <c r="Q1077" i="4"/>
  <c r="R1077" i="4"/>
  <c r="S1077" i="4"/>
  <c r="L1078" i="4"/>
  <c r="M1078" i="4" s="1"/>
  <c r="L824" i="4"/>
  <c r="M824" i="4" s="1"/>
  <c r="M823" i="4"/>
  <c r="M346" i="4"/>
  <c r="R346" i="4"/>
  <c r="L347" i="4"/>
  <c r="O346" i="4"/>
  <c r="Q346" i="4"/>
  <c r="S346" i="4"/>
  <c r="N346" i="4"/>
  <c r="P346" i="4"/>
  <c r="Q890" i="4"/>
  <c r="M890" i="4"/>
  <c r="Q1196" i="4"/>
  <c r="M1196" i="4"/>
  <c r="M1043" i="4"/>
  <c r="R1043" i="4"/>
  <c r="O1043" i="4"/>
  <c r="L1044" i="4"/>
  <c r="S1043" i="4"/>
  <c r="N1043" i="4"/>
  <c r="P1043" i="4"/>
  <c r="Q1043" i="4"/>
  <c r="M839" i="4"/>
  <c r="S839" i="4"/>
  <c r="N839" i="4"/>
  <c r="P839" i="4"/>
  <c r="L840" i="4"/>
  <c r="Q839" i="4"/>
  <c r="O839" i="4"/>
  <c r="R839" i="4"/>
  <c r="O652" i="4"/>
  <c r="M652" i="4"/>
  <c r="M669" i="4"/>
  <c r="N669" i="4"/>
  <c r="P669" i="4"/>
  <c r="R669" i="4"/>
  <c r="L670" i="4"/>
  <c r="O669" i="4"/>
  <c r="Q669" i="4"/>
  <c r="S669" i="4"/>
  <c r="M142" i="4"/>
  <c r="S142" i="4"/>
  <c r="R142" i="4"/>
  <c r="N142" i="4"/>
  <c r="L143" i="4"/>
  <c r="P142" i="4"/>
  <c r="O142" i="4"/>
  <c r="Q142" i="4"/>
  <c r="O516" i="4"/>
  <c r="M516" i="4"/>
  <c r="S1196" i="4"/>
  <c r="N1196" i="4"/>
  <c r="R1196" i="4"/>
  <c r="O1196" i="4"/>
  <c r="P1196" i="4"/>
  <c r="Q652" i="4"/>
  <c r="P652" i="4"/>
  <c r="L653" i="4"/>
  <c r="N652" i="4"/>
  <c r="S652" i="4"/>
  <c r="R652" i="4"/>
  <c r="Q516" i="4"/>
  <c r="R516" i="4"/>
  <c r="P516" i="4"/>
  <c r="N516" i="4"/>
  <c r="S516" i="4"/>
  <c r="L517" i="4"/>
  <c r="L891" i="4"/>
  <c r="R823" i="4"/>
  <c r="P823" i="4"/>
  <c r="S823" i="4"/>
  <c r="Q823" i="4"/>
  <c r="O823" i="4"/>
  <c r="N823" i="4"/>
  <c r="S890" i="4"/>
  <c r="P890" i="4"/>
  <c r="N890" i="4"/>
  <c r="R890" i="4"/>
  <c r="O890" i="4"/>
  <c r="N533" i="4"/>
  <c r="R533" i="4"/>
  <c r="P533" i="4"/>
  <c r="S533" i="4"/>
  <c r="L534" i="4"/>
  <c r="M534" i="4" s="1"/>
  <c r="Q533" i="4"/>
  <c r="O533" i="4"/>
  <c r="L432" i="4"/>
  <c r="M432" i="4" s="1"/>
  <c r="P431" i="4"/>
  <c r="Q431" i="4"/>
  <c r="N431" i="4"/>
  <c r="R431" i="4"/>
  <c r="O431" i="4"/>
  <c r="S431" i="4"/>
  <c r="L313" i="4"/>
  <c r="M313" i="4" s="1"/>
  <c r="Q312" i="4"/>
  <c r="N312" i="4"/>
  <c r="R312" i="4"/>
  <c r="O312" i="4"/>
  <c r="S312" i="4"/>
  <c r="P312" i="4"/>
  <c r="L1010" i="4"/>
  <c r="M1010" i="4" s="1"/>
  <c r="N1009" i="4"/>
  <c r="R1009" i="4"/>
  <c r="O1009" i="4"/>
  <c r="S1009" i="4"/>
  <c r="P1009" i="4"/>
  <c r="Q1009" i="4"/>
  <c r="L1163" i="4"/>
  <c r="M1163" i="4" s="1"/>
  <c r="P1162" i="4"/>
  <c r="Q1162" i="4"/>
  <c r="N1162" i="4"/>
  <c r="R1162" i="4"/>
  <c r="O1162" i="4"/>
  <c r="S1162" i="4"/>
  <c r="L92" i="4"/>
  <c r="M92" i="4" s="1"/>
  <c r="O91" i="4"/>
  <c r="S91" i="4"/>
  <c r="P91" i="4"/>
  <c r="Q91" i="4"/>
  <c r="R91" i="4"/>
  <c r="N91" i="4"/>
  <c r="N262" i="4"/>
  <c r="R262" i="4"/>
  <c r="S262" i="4"/>
  <c r="O262" i="4"/>
  <c r="P262" i="4"/>
  <c r="Q262" i="4"/>
  <c r="L263" i="4"/>
  <c r="M263" i="4" s="1"/>
  <c r="L585" i="4"/>
  <c r="M585" i="4" s="1"/>
  <c r="O584" i="4"/>
  <c r="S584" i="4"/>
  <c r="P584" i="4"/>
  <c r="Q584" i="4"/>
  <c r="R584" i="4"/>
  <c r="N584" i="4"/>
  <c r="S908" i="4"/>
  <c r="L1146" i="4"/>
  <c r="M1146" i="4" s="1"/>
  <c r="N1145" i="4"/>
  <c r="R1145" i="4"/>
  <c r="O1145" i="4"/>
  <c r="S1145" i="4"/>
  <c r="P1145" i="4"/>
  <c r="Q1145" i="4"/>
  <c r="L687" i="4"/>
  <c r="M687" i="4" s="1"/>
  <c r="O686" i="4"/>
  <c r="S686" i="4"/>
  <c r="P686" i="4"/>
  <c r="Q686" i="4"/>
  <c r="N686" i="4"/>
  <c r="R686" i="4"/>
  <c r="L942" i="4"/>
  <c r="M942" i="4" s="1"/>
  <c r="P941" i="4"/>
  <c r="Q941" i="4"/>
  <c r="R941" i="4"/>
  <c r="N941" i="4"/>
  <c r="S941" i="4"/>
  <c r="O941" i="4"/>
  <c r="P449" i="4"/>
  <c r="L109" i="4"/>
  <c r="M109" i="4" s="1"/>
  <c r="Q108" i="4"/>
  <c r="N108" i="4"/>
  <c r="R108" i="4"/>
  <c r="O108" i="4"/>
  <c r="S108" i="4"/>
  <c r="P108" i="4"/>
  <c r="Q635" i="4"/>
  <c r="N635" i="4"/>
  <c r="R635" i="4"/>
  <c r="O635" i="4"/>
  <c r="S635" i="4"/>
  <c r="P635" i="4"/>
  <c r="L636" i="4"/>
  <c r="M636" i="4" s="1"/>
  <c r="L1214" i="4"/>
  <c r="M1214" i="4" s="1"/>
  <c r="N1213" i="4"/>
  <c r="R1213" i="4"/>
  <c r="O1213" i="4"/>
  <c r="S1213" i="4"/>
  <c r="P1213" i="4"/>
  <c r="Q1213" i="4"/>
  <c r="P499" i="4"/>
  <c r="Q499" i="4"/>
  <c r="N499" i="4"/>
  <c r="R499" i="4"/>
  <c r="O499" i="4"/>
  <c r="S499" i="4"/>
  <c r="L500" i="4"/>
  <c r="M500" i="4" s="1"/>
  <c r="Q856" i="4"/>
  <c r="N856" i="4"/>
  <c r="R856" i="4"/>
  <c r="O856" i="4"/>
  <c r="P856" i="4"/>
  <c r="S856" i="4"/>
  <c r="L857" i="4"/>
  <c r="M857" i="4" s="1"/>
  <c r="L245" i="4"/>
  <c r="M245" i="4" s="1"/>
  <c r="Q244" i="4"/>
  <c r="N244" i="4"/>
  <c r="S244" i="4"/>
  <c r="R244" i="4"/>
  <c r="O244" i="4"/>
  <c r="P244" i="4"/>
  <c r="L211" i="4"/>
  <c r="M211" i="4" s="1"/>
  <c r="Q210" i="4"/>
  <c r="N210" i="4"/>
  <c r="R210" i="4"/>
  <c r="O210" i="4"/>
  <c r="P210" i="4"/>
  <c r="S210" i="4"/>
  <c r="L398" i="4"/>
  <c r="M398" i="4" s="1"/>
  <c r="P397" i="4"/>
  <c r="Q397" i="4"/>
  <c r="N397" i="4"/>
  <c r="R397" i="4"/>
  <c r="S397" i="4"/>
  <c r="O397" i="4"/>
  <c r="L755" i="4"/>
  <c r="M755" i="4" s="1"/>
  <c r="O754" i="4"/>
  <c r="S754" i="4"/>
  <c r="P754" i="4"/>
  <c r="Q754" i="4"/>
  <c r="N754" i="4"/>
  <c r="R754" i="4"/>
  <c r="L1282" i="4"/>
  <c r="M1282" i="4" s="1"/>
  <c r="N1281" i="4"/>
  <c r="R1281" i="4"/>
  <c r="O1281" i="4"/>
  <c r="S1281" i="4"/>
  <c r="P1281" i="4"/>
  <c r="Q1281" i="4"/>
  <c r="L1316" i="4"/>
  <c r="M1316" i="4" s="1"/>
  <c r="N1315" i="4"/>
  <c r="R1315" i="4"/>
  <c r="O1315" i="4"/>
  <c r="S1315" i="4"/>
  <c r="P1315" i="4"/>
  <c r="Q1315" i="4"/>
  <c r="L1266" i="4"/>
  <c r="M1266" i="4" s="1"/>
  <c r="N1265" i="4"/>
  <c r="R1265" i="4"/>
  <c r="O1265" i="4"/>
  <c r="S1265" i="4"/>
  <c r="P1265" i="4"/>
  <c r="Q1265" i="4"/>
  <c r="L1299" i="4"/>
  <c r="M1299" i="4" s="1"/>
  <c r="P1298" i="4"/>
  <c r="Q1298" i="4"/>
  <c r="N1298" i="4"/>
  <c r="R1298" i="4"/>
  <c r="O1298" i="4"/>
  <c r="S1298" i="4"/>
  <c r="L1112" i="4"/>
  <c r="M1112" i="4" s="1"/>
  <c r="N1111" i="4"/>
  <c r="R1111" i="4"/>
  <c r="O1111" i="4"/>
  <c r="S1111" i="4"/>
  <c r="P1111" i="4"/>
  <c r="Q1111" i="4"/>
  <c r="L330" i="4"/>
  <c r="M330" i="4" s="1"/>
  <c r="O329" i="4"/>
  <c r="S329" i="4"/>
  <c r="P329" i="4"/>
  <c r="Q329" i="4"/>
  <c r="R329" i="4"/>
  <c r="N329" i="4"/>
  <c r="L704" i="4"/>
  <c r="M704" i="4" s="1"/>
  <c r="Q703" i="4"/>
  <c r="N703" i="4"/>
  <c r="R703" i="4"/>
  <c r="O703" i="4"/>
  <c r="S703" i="4"/>
  <c r="P703" i="4"/>
  <c r="L773" i="4"/>
  <c r="M773" i="4" s="1"/>
  <c r="O772" i="4"/>
  <c r="S772" i="4"/>
  <c r="P772" i="4"/>
  <c r="Q772" i="4"/>
  <c r="N772" i="4"/>
  <c r="R772" i="4"/>
  <c r="L126" i="4"/>
  <c r="M126" i="4" s="1"/>
  <c r="Q125" i="4"/>
  <c r="N125" i="4"/>
  <c r="S125" i="4"/>
  <c r="O125" i="4"/>
  <c r="P125" i="4"/>
  <c r="R125" i="4"/>
  <c r="L806" i="4"/>
  <c r="M806" i="4" s="1"/>
  <c r="O805" i="4"/>
  <c r="S805" i="4"/>
  <c r="P805" i="4"/>
  <c r="N805" i="4"/>
  <c r="Q805" i="4"/>
  <c r="R805" i="4"/>
  <c r="L1027" i="4"/>
  <c r="M1027" i="4" s="1"/>
  <c r="P1026" i="4"/>
  <c r="Q1026" i="4"/>
  <c r="N1026" i="4"/>
  <c r="R1026" i="4"/>
  <c r="O1026" i="4"/>
  <c r="S1026" i="4"/>
  <c r="L959" i="4"/>
  <c r="M959" i="4" s="1"/>
  <c r="N958" i="4"/>
  <c r="R958" i="4"/>
  <c r="Q958" i="4"/>
  <c r="S958" i="4"/>
  <c r="O958" i="4"/>
  <c r="P958" i="4"/>
  <c r="L228" i="4"/>
  <c r="M228" i="4" s="1"/>
  <c r="O227" i="4"/>
  <c r="S227" i="4"/>
  <c r="Q227" i="4"/>
  <c r="R227" i="4"/>
  <c r="N227" i="4"/>
  <c r="P227" i="4"/>
  <c r="P567" i="4"/>
  <c r="Q567" i="4"/>
  <c r="N567" i="4"/>
  <c r="R567" i="4"/>
  <c r="O567" i="4"/>
  <c r="S567" i="4"/>
  <c r="L568" i="4"/>
  <c r="M568" i="4" s="1"/>
  <c r="L993" i="4"/>
  <c r="M993" i="4" s="1"/>
  <c r="P992" i="4"/>
  <c r="Q992" i="4"/>
  <c r="N992" i="4"/>
  <c r="R992" i="4"/>
  <c r="O992" i="4"/>
  <c r="S992" i="4"/>
  <c r="N1349" i="4"/>
  <c r="R1349" i="4"/>
  <c r="O1349" i="4"/>
  <c r="S1349" i="4"/>
  <c r="P1349" i="4"/>
  <c r="Q1349" i="4"/>
  <c r="L296" i="4"/>
  <c r="M296" i="4" s="1"/>
  <c r="P295" i="4"/>
  <c r="O295" i="4"/>
  <c r="Q295" i="4"/>
  <c r="R295" i="4"/>
  <c r="S295" i="4"/>
  <c r="N295" i="4"/>
  <c r="L24" i="4"/>
  <c r="M24" i="4" s="1"/>
  <c r="P23" i="4"/>
  <c r="Q23" i="4"/>
  <c r="N23" i="4"/>
  <c r="R23" i="4"/>
  <c r="O23" i="4"/>
  <c r="S23" i="4"/>
  <c r="Q176" i="4"/>
  <c r="N176" i="4"/>
  <c r="R176" i="4"/>
  <c r="S176" i="4"/>
  <c r="O176" i="4"/>
  <c r="P176" i="4"/>
  <c r="L177" i="4"/>
  <c r="M177" i="4" s="1"/>
  <c r="L1095" i="4"/>
  <c r="M1095" i="4" s="1"/>
  <c r="P1094" i="4"/>
  <c r="Q1094" i="4"/>
  <c r="N1094" i="4"/>
  <c r="R1094" i="4"/>
  <c r="S1094" i="4"/>
  <c r="O1094" i="4"/>
  <c r="L41" i="4"/>
  <c r="M41" i="4" s="1"/>
  <c r="N40" i="4"/>
  <c r="R40" i="4"/>
  <c r="O40" i="4"/>
  <c r="S40" i="4"/>
  <c r="P40" i="4"/>
  <c r="Q40" i="4"/>
  <c r="L1198" i="4"/>
  <c r="M1198" i="4" s="1"/>
  <c r="N1197" i="4"/>
  <c r="R1197" i="4"/>
  <c r="O1197" i="4"/>
  <c r="S1197" i="4"/>
  <c r="P1197" i="4"/>
  <c r="Q1197" i="4"/>
  <c r="L483" i="4"/>
  <c r="M483" i="4" s="1"/>
  <c r="N482" i="4"/>
  <c r="R482" i="4"/>
  <c r="O482" i="4"/>
  <c r="S482" i="4"/>
  <c r="P482" i="4"/>
  <c r="Q482" i="4"/>
  <c r="L551" i="4"/>
  <c r="M551" i="4" s="1"/>
  <c r="N550" i="4"/>
  <c r="R550" i="4"/>
  <c r="O550" i="4"/>
  <c r="S550" i="4"/>
  <c r="P550" i="4"/>
  <c r="Q550" i="4"/>
  <c r="L619" i="4"/>
  <c r="M619" i="4" s="1"/>
  <c r="O618" i="4"/>
  <c r="S618" i="4"/>
  <c r="P618" i="4"/>
  <c r="Q618" i="4"/>
  <c r="N618" i="4"/>
  <c r="R618" i="4"/>
  <c r="L364" i="4"/>
  <c r="M364" i="4" s="1"/>
  <c r="O363" i="4"/>
  <c r="S363" i="4"/>
  <c r="P363" i="4"/>
  <c r="Q363" i="4"/>
  <c r="R363" i="4"/>
  <c r="N363" i="4"/>
  <c r="L160" i="4"/>
  <c r="M160" i="4" s="1"/>
  <c r="Q159" i="4"/>
  <c r="O159" i="4"/>
  <c r="P159" i="4"/>
  <c r="N159" i="4"/>
  <c r="R159" i="4"/>
  <c r="S159" i="4"/>
  <c r="L925" i="4"/>
  <c r="M925" i="4" s="1"/>
  <c r="Q924" i="4"/>
  <c r="N924" i="4"/>
  <c r="R924" i="4"/>
  <c r="O924" i="4"/>
  <c r="P924" i="4"/>
  <c r="S924" i="4"/>
  <c r="L8" i="4"/>
  <c r="M8" i="4" s="1"/>
  <c r="L976" i="4"/>
  <c r="M976" i="4" s="1"/>
  <c r="N975" i="4"/>
  <c r="R975" i="4"/>
  <c r="O975" i="4"/>
  <c r="S975" i="4"/>
  <c r="P975" i="4"/>
  <c r="Q975" i="4"/>
  <c r="L415" i="4"/>
  <c r="M415" i="4" s="1"/>
  <c r="N414" i="4"/>
  <c r="R414" i="4"/>
  <c r="O414" i="4"/>
  <c r="S414" i="4"/>
  <c r="P414" i="4"/>
  <c r="Q414" i="4"/>
  <c r="L1061" i="4"/>
  <c r="M1061" i="4" s="1"/>
  <c r="P1060" i="4"/>
  <c r="Q1060" i="4"/>
  <c r="N1060" i="4"/>
  <c r="R1060" i="4"/>
  <c r="O1060" i="4"/>
  <c r="S1060" i="4"/>
  <c r="L1180" i="4"/>
  <c r="M1180" i="4" s="1"/>
  <c r="N1179" i="4"/>
  <c r="R1179" i="4"/>
  <c r="O1179" i="4"/>
  <c r="S1179" i="4"/>
  <c r="P1179" i="4"/>
  <c r="Q1179" i="4"/>
  <c r="N380" i="4"/>
  <c r="R380" i="4"/>
  <c r="O380" i="4"/>
  <c r="S380" i="4"/>
  <c r="P380" i="4"/>
  <c r="Q380" i="4"/>
  <c r="L381" i="4"/>
  <c r="M381" i="4" s="1"/>
  <c r="R1129" i="4"/>
  <c r="L1248" i="4"/>
  <c r="M1248" i="4" s="1"/>
  <c r="N1247" i="4"/>
  <c r="R1247" i="4"/>
  <c r="O1247" i="4"/>
  <c r="S1247" i="4"/>
  <c r="P1247" i="4"/>
  <c r="Q1247" i="4"/>
  <c r="L1231" i="4"/>
  <c r="M1231" i="4" s="1"/>
  <c r="P1230" i="4"/>
  <c r="Q1230" i="4"/>
  <c r="N1230" i="4"/>
  <c r="R1230" i="4"/>
  <c r="S1230" i="4"/>
  <c r="O1230" i="4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6" i="7"/>
  <c r="J7" i="7" s="1"/>
  <c r="J8" i="7" s="1"/>
  <c r="J9" i="7" s="1"/>
  <c r="J10" i="7" s="1"/>
  <c r="J11" i="7" s="1"/>
  <c r="J12" i="7" s="1"/>
  <c r="J13" i="7" s="1"/>
  <c r="A6" i="7"/>
  <c r="A7" i="7" s="1"/>
  <c r="A8" i="7" s="1"/>
  <c r="A9" i="7" s="1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6" i="6"/>
  <c r="J7" i="6" s="1"/>
  <c r="J8" i="6" s="1"/>
  <c r="J9" i="6" s="1"/>
  <c r="J10" i="6" s="1"/>
  <c r="J11" i="6" s="1"/>
  <c r="J12" i="6" s="1"/>
  <c r="J13" i="6" s="1"/>
  <c r="O1333" i="4" l="1"/>
  <c r="S449" i="4"/>
  <c r="L909" i="4"/>
  <c r="M909" i="4" s="1"/>
  <c r="Q1129" i="4"/>
  <c r="S1129" i="4"/>
  <c r="L1130" i="4"/>
  <c r="M1130" i="4" s="1"/>
  <c r="O449" i="4"/>
  <c r="P1129" i="4"/>
  <c r="N1129" i="4"/>
  <c r="O1129" i="4"/>
  <c r="Q449" i="4"/>
  <c r="L722" i="4"/>
  <c r="M722" i="4" s="1"/>
  <c r="R721" i="4"/>
  <c r="N721" i="4"/>
  <c r="S874" i="4"/>
  <c r="O466" i="4"/>
  <c r="R449" i="4"/>
  <c r="S721" i="4"/>
  <c r="Q721" i="4"/>
  <c r="P721" i="4"/>
  <c r="N874" i="4"/>
  <c r="L450" i="4"/>
  <c r="M450" i="4" s="1"/>
  <c r="N449" i="4"/>
  <c r="O721" i="4"/>
  <c r="R738" i="4"/>
  <c r="N789" i="4"/>
  <c r="S789" i="4"/>
  <c r="R789" i="4"/>
  <c r="O789" i="4"/>
  <c r="Q789" i="4"/>
  <c r="L790" i="4"/>
  <c r="M790" i="4" s="1"/>
  <c r="P789" i="4"/>
  <c r="R908" i="4"/>
  <c r="Q1333" i="4"/>
  <c r="R1333" i="4"/>
  <c r="P908" i="4"/>
  <c r="N908" i="4"/>
  <c r="P1333" i="4"/>
  <c r="N1333" i="4"/>
  <c r="O908" i="4"/>
  <c r="Q908" i="4"/>
  <c r="S1333" i="4"/>
  <c r="L1334" i="4"/>
  <c r="M1334" i="4" s="1"/>
  <c r="P874" i="4"/>
  <c r="Q874" i="4"/>
  <c r="Q466" i="4"/>
  <c r="R466" i="4"/>
  <c r="O874" i="4"/>
  <c r="L875" i="4"/>
  <c r="M875" i="4" s="1"/>
  <c r="P466" i="4"/>
  <c r="N466" i="4"/>
  <c r="R874" i="4"/>
  <c r="S466" i="4"/>
  <c r="L467" i="4"/>
  <c r="M467" i="4" s="1"/>
  <c r="S602" i="4"/>
  <c r="P76" i="4"/>
  <c r="S279" i="4"/>
  <c r="N279" i="4"/>
  <c r="R279" i="4"/>
  <c r="S76" i="4"/>
  <c r="O76" i="4"/>
  <c r="R76" i="4"/>
  <c r="N76" i="4"/>
  <c r="Q76" i="4"/>
  <c r="L77" i="4"/>
  <c r="M77" i="4" s="1"/>
  <c r="O602" i="4"/>
  <c r="S58" i="4"/>
  <c r="Q279" i="4"/>
  <c r="P279" i="4"/>
  <c r="R602" i="4"/>
  <c r="O58" i="4"/>
  <c r="O279" i="4"/>
  <c r="L280" i="4"/>
  <c r="M280" i="4" s="1"/>
  <c r="N602" i="4"/>
  <c r="L59" i="4"/>
  <c r="M59" i="4" s="1"/>
  <c r="P738" i="4"/>
  <c r="S738" i="4"/>
  <c r="Q602" i="4"/>
  <c r="L603" i="4"/>
  <c r="M603" i="4" s="1"/>
  <c r="Q58" i="4"/>
  <c r="R58" i="4"/>
  <c r="P602" i="4"/>
  <c r="P58" i="4"/>
  <c r="N58" i="4"/>
  <c r="N738" i="4"/>
  <c r="O738" i="4"/>
  <c r="Q738" i="4"/>
  <c r="L739" i="4"/>
  <c r="M739" i="4" s="1"/>
  <c r="O824" i="4"/>
  <c r="L825" i="4"/>
  <c r="M825" i="4" s="1"/>
  <c r="R824" i="4"/>
  <c r="S824" i="4"/>
  <c r="N824" i="4"/>
  <c r="P824" i="4"/>
  <c r="Q824" i="4"/>
  <c r="N194" i="4"/>
  <c r="S194" i="4"/>
  <c r="L195" i="4"/>
  <c r="M195" i="4" s="1"/>
  <c r="P194" i="4"/>
  <c r="R194" i="4"/>
  <c r="O194" i="4"/>
  <c r="Q194" i="4"/>
  <c r="N1078" i="4"/>
  <c r="S1078" i="4"/>
  <c r="Q1078" i="4"/>
  <c r="O1078" i="4"/>
  <c r="P1078" i="4"/>
  <c r="R1078" i="4"/>
  <c r="L1079" i="4"/>
  <c r="M1079" i="4" s="1"/>
  <c r="N517" i="4"/>
  <c r="M517" i="4"/>
  <c r="O891" i="4"/>
  <c r="M891" i="4"/>
  <c r="M840" i="4"/>
  <c r="Q840" i="4"/>
  <c r="O840" i="4"/>
  <c r="N840" i="4"/>
  <c r="P840" i="4"/>
  <c r="R840" i="4"/>
  <c r="L841" i="4"/>
  <c r="S840" i="4"/>
  <c r="R653" i="4"/>
  <c r="M653" i="4"/>
  <c r="M1044" i="4"/>
  <c r="Q1044" i="4"/>
  <c r="S1044" i="4"/>
  <c r="N1044" i="4"/>
  <c r="L1045" i="4"/>
  <c r="R1044" i="4"/>
  <c r="P1044" i="4"/>
  <c r="O1044" i="4"/>
  <c r="M143" i="4"/>
  <c r="N143" i="4"/>
  <c r="R143" i="4"/>
  <c r="S143" i="4"/>
  <c r="L144" i="4"/>
  <c r="O143" i="4"/>
  <c r="Q143" i="4"/>
  <c r="P143" i="4"/>
  <c r="M670" i="4"/>
  <c r="P670" i="4"/>
  <c r="L671" i="4"/>
  <c r="Q670" i="4"/>
  <c r="O670" i="4"/>
  <c r="R670" i="4"/>
  <c r="S670" i="4"/>
  <c r="N670" i="4"/>
  <c r="M347" i="4"/>
  <c r="S347" i="4"/>
  <c r="N347" i="4"/>
  <c r="P347" i="4"/>
  <c r="L348" i="4"/>
  <c r="Q347" i="4"/>
  <c r="O347" i="4"/>
  <c r="R347" i="4"/>
  <c r="P653" i="4"/>
  <c r="N653" i="4"/>
  <c r="S653" i="4"/>
  <c r="Q653" i="4"/>
  <c r="L654" i="4"/>
  <c r="O653" i="4"/>
  <c r="L892" i="4"/>
  <c r="S517" i="4"/>
  <c r="Q517" i="4"/>
  <c r="O517" i="4"/>
  <c r="P517" i="4"/>
  <c r="R517" i="4"/>
  <c r="L518" i="4"/>
  <c r="N891" i="4"/>
  <c r="R891" i="4"/>
  <c r="S891" i="4"/>
  <c r="P891" i="4"/>
  <c r="Q891" i="4"/>
  <c r="L535" i="4"/>
  <c r="M535" i="4" s="1"/>
  <c r="S534" i="4"/>
  <c r="N534" i="4"/>
  <c r="P534" i="4"/>
  <c r="R534" i="4"/>
  <c r="Q534" i="4"/>
  <c r="O534" i="4"/>
  <c r="L926" i="4"/>
  <c r="M926" i="4" s="1"/>
  <c r="P925" i="4"/>
  <c r="O925" i="4"/>
  <c r="Q925" i="4"/>
  <c r="R925" i="4"/>
  <c r="S925" i="4"/>
  <c r="N925" i="4"/>
  <c r="L161" i="4"/>
  <c r="M161" i="4" s="1"/>
  <c r="O160" i="4"/>
  <c r="S160" i="4"/>
  <c r="N160" i="4"/>
  <c r="P160" i="4"/>
  <c r="Q160" i="4"/>
  <c r="R160" i="4"/>
  <c r="L620" i="4"/>
  <c r="M620" i="4" s="1"/>
  <c r="Q619" i="4"/>
  <c r="N619" i="4"/>
  <c r="R619" i="4"/>
  <c r="O619" i="4"/>
  <c r="S619" i="4"/>
  <c r="P619" i="4"/>
  <c r="L484" i="4"/>
  <c r="M484" i="4" s="1"/>
  <c r="P483" i="4"/>
  <c r="Q483" i="4"/>
  <c r="N483" i="4"/>
  <c r="R483" i="4"/>
  <c r="O483" i="4"/>
  <c r="S483" i="4"/>
  <c r="L42" i="4"/>
  <c r="M42" i="4" s="1"/>
  <c r="P41" i="4"/>
  <c r="Q41" i="4"/>
  <c r="N41" i="4"/>
  <c r="R41" i="4"/>
  <c r="O41" i="4"/>
  <c r="S41" i="4"/>
  <c r="L25" i="4"/>
  <c r="M25" i="4" s="1"/>
  <c r="N24" i="4"/>
  <c r="R24" i="4"/>
  <c r="O24" i="4"/>
  <c r="S24" i="4"/>
  <c r="P24" i="4"/>
  <c r="Q24" i="4"/>
  <c r="L297" i="4"/>
  <c r="M297" i="4" s="1"/>
  <c r="N296" i="4"/>
  <c r="R296" i="4"/>
  <c r="O296" i="4"/>
  <c r="P296" i="4"/>
  <c r="Q296" i="4"/>
  <c r="S296" i="4"/>
  <c r="L178" i="4"/>
  <c r="M178" i="4" s="1"/>
  <c r="O177" i="4"/>
  <c r="S177" i="4"/>
  <c r="P177" i="4"/>
  <c r="N177" i="4"/>
  <c r="Q177" i="4"/>
  <c r="R177" i="4"/>
  <c r="L569" i="4"/>
  <c r="M569" i="4" s="1"/>
  <c r="N568" i="4"/>
  <c r="R568" i="4"/>
  <c r="O568" i="4"/>
  <c r="S568" i="4"/>
  <c r="P568" i="4"/>
  <c r="Q568" i="4"/>
  <c r="L501" i="4"/>
  <c r="M501" i="4" s="1"/>
  <c r="N500" i="4"/>
  <c r="R500" i="4"/>
  <c r="O500" i="4"/>
  <c r="S500" i="4"/>
  <c r="P500" i="4"/>
  <c r="Q500" i="4"/>
  <c r="L637" i="4"/>
  <c r="M637" i="4" s="1"/>
  <c r="O636" i="4"/>
  <c r="S636" i="4"/>
  <c r="P636" i="4"/>
  <c r="Q636" i="4"/>
  <c r="N636" i="4"/>
  <c r="R636" i="4"/>
  <c r="L264" i="4"/>
  <c r="M264" i="4" s="1"/>
  <c r="P263" i="4"/>
  <c r="R263" i="4"/>
  <c r="N263" i="4"/>
  <c r="S263" i="4"/>
  <c r="O263" i="4"/>
  <c r="Q263" i="4"/>
  <c r="L9" i="4"/>
  <c r="M9" i="4" s="1"/>
  <c r="L365" i="4"/>
  <c r="M365" i="4" s="1"/>
  <c r="Q364" i="4"/>
  <c r="N364" i="4"/>
  <c r="R364" i="4"/>
  <c r="S364" i="4"/>
  <c r="O364" i="4"/>
  <c r="P364" i="4"/>
  <c r="L552" i="4"/>
  <c r="M552" i="4" s="1"/>
  <c r="P551" i="4"/>
  <c r="Q551" i="4"/>
  <c r="N551" i="4"/>
  <c r="R551" i="4"/>
  <c r="S551" i="4"/>
  <c r="O551" i="4"/>
  <c r="L1199" i="4"/>
  <c r="M1199" i="4" s="1"/>
  <c r="P1198" i="4"/>
  <c r="Q1198" i="4"/>
  <c r="N1198" i="4"/>
  <c r="R1198" i="4"/>
  <c r="O1198" i="4"/>
  <c r="S1198" i="4"/>
  <c r="L1096" i="4"/>
  <c r="M1096" i="4" s="1"/>
  <c r="N1095" i="4"/>
  <c r="R1095" i="4"/>
  <c r="O1095" i="4"/>
  <c r="S1095" i="4"/>
  <c r="P1095" i="4"/>
  <c r="Q1095" i="4"/>
  <c r="L858" i="4"/>
  <c r="M858" i="4" s="1"/>
  <c r="O857" i="4"/>
  <c r="S857" i="4"/>
  <c r="P857" i="4"/>
  <c r="Q857" i="4"/>
  <c r="R857" i="4"/>
  <c r="N857" i="4"/>
  <c r="L1232" i="4"/>
  <c r="M1232" i="4" s="1"/>
  <c r="N1231" i="4"/>
  <c r="R1231" i="4"/>
  <c r="O1231" i="4"/>
  <c r="S1231" i="4"/>
  <c r="P1231" i="4"/>
  <c r="Q1231" i="4"/>
  <c r="L1249" i="4"/>
  <c r="M1249" i="4" s="1"/>
  <c r="P1248" i="4"/>
  <c r="Q1248" i="4"/>
  <c r="N1248" i="4"/>
  <c r="R1248" i="4"/>
  <c r="S1248" i="4"/>
  <c r="O1248" i="4"/>
  <c r="L1181" i="4"/>
  <c r="M1181" i="4" s="1"/>
  <c r="P1180" i="4"/>
  <c r="Q1180" i="4"/>
  <c r="N1180" i="4"/>
  <c r="R1180" i="4"/>
  <c r="O1180" i="4"/>
  <c r="S1180" i="4"/>
  <c r="L1062" i="4"/>
  <c r="M1062" i="4" s="1"/>
  <c r="N1061" i="4"/>
  <c r="R1061" i="4"/>
  <c r="O1061" i="4"/>
  <c r="S1061" i="4"/>
  <c r="P1061" i="4"/>
  <c r="Q1061" i="4"/>
  <c r="P415" i="4"/>
  <c r="Q415" i="4"/>
  <c r="N415" i="4"/>
  <c r="R415" i="4"/>
  <c r="S415" i="4"/>
  <c r="O415" i="4"/>
  <c r="L416" i="4"/>
  <c r="M416" i="4" s="1"/>
  <c r="L977" i="4"/>
  <c r="M977" i="4" s="1"/>
  <c r="P976" i="4"/>
  <c r="Q976" i="4"/>
  <c r="N976" i="4"/>
  <c r="R976" i="4"/>
  <c r="S976" i="4"/>
  <c r="O976" i="4"/>
  <c r="Q825" i="4"/>
  <c r="L382" i="4"/>
  <c r="M382" i="4" s="1"/>
  <c r="P381" i="4"/>
  <c r="Q381" i="4"/>
  <c r="N381" i="4"/>
  <c r="R381" i="4"/>
  <c r="O381" i="4"/>
  <c r="S381" i="4"/>
  <c r="L994" i="4"/>
  <c r="M994" i="4" s="1"/>
  <c r="N993" i="4"/>
  <c r="R993" i="4"/>
  <c r="O993" i="4"/>
  <c r="S993" i="4"/>
  <c r="P993" i="4"/>
  <c r="Q993" i="4"/>
  <c r="L229" i="4"/>
  <c r="M229" i="4" s="1"/>
  <c r="Q228" i="4"/>
  <c r="P228" i="4"/>
  <c r="R228" i="4"/>
  <c r="S228" i="4"/>
  <c r="N228" i="4"/>
  <c r="O228" i="4"/>
  <c r="L960" i="4"/>
  <c r="M960" i="4" s="1"/>
  <c r="P959" i="4"/>
  <c r="Q959" i="4"/>
  <c r="R959" i="4"/>
  <c r="N959" i="4"/>
  <c r="S959" i="4"/>
  <c r="O959" i="4"/>
  <c r="L1028" i="4"/>
  <c r="M1028" i="4" s="1"/>
  <c r="N1027" i="4"/>
  <c r="R1027" i="4"/>
  <c r="O1027" i="4"/>
  <c r="S1027" i="4"/>
  <c r="P1027" i="4"/>
  <c r="Q1027" i="4"/>
  <c r="Q806" i="4"/>
  <c r="N806" i="4"/>
  <c r="R806" i="4"/>
  <c r="O806" i="4"/>
  <c r="P806" i="4"/>
  <c r="S806" i="4"/>
  <c r="L807" i="4"/>
  <c r="M807" i="4" s="1"/>
  <c r="L127" i="4"/>
  <c r="M127" i="4" s="1"/>
  <c r="O126" i="4"/>
  <c r="S126" i="4"/>
  <c r="R126" i="4"/>
  <c r="N126" i="4"/>
  <c r="P126" i="4"/>
  <c r="Q126" i="4"/>
  <c r="L774" i="4"/>
  <c r="M774" i="4" s="1"/>
  <c r="Q773" i="4"/>
  <c r="N773" i="4"/>
  <c r="R773" i="4"/>
  <c r="O773" i="4"/>
  <c r="S773" i="4"/>
  <c r="P773" i="4"/>
  <c r="L705" i="4"/>
  <c r="M705" i="4" s="1"/>
  <c r="O704" i="4"/>
  <c r="S704" i="4"/>
  <c r="P704" i="4"/>
  <c r="Q704" i="4"/>
  <c r="N704" i="4"/>
  <c r="R704" i="4"/>
  <c r="L331" i="4"/>
  <c r="M331" i="4" s="1"/>
  <c r="Q330" i="4"/>
  <c r="N330" i="4"/>
  <c r="R330" i="4"/>
  <c r="O330" i="4"/>
  <c r="S330" i="4"/>
  <c r="P330" i="4"/>
  <c r="L1113" i="4"/>
  <c r="M1113" i="4" s="1"/>
  <c r="P1112" i="4"/>
  <c r="Q1112" i="4"/>
  <c r="N1112" i="4"/>
  <c r="R1112" i="4"/>
  <c r="S1112" i="4"/>
  <c r="O1112" i="4"/>
  <c r="L1300" i="4"/>
  <c r="M1300" i="4" s="1"/>
  <c r="N1299" i="4"/>
  <c r="R1299" i="4"/>
  <c r="O1299" i="4"/>
  <c r="S1299" i="4"/>
  <c r="P1299" i="4"/>
  <c r="Q1299" i="4"/>
  <c r="Q467" i="4"/>
  <c r="L1267" i="4"/>
  <c r="M1267" i="4" s="1"/>
  <c r="P1266" i="4"/>
  <c r="Q1266" i="4"/>
  <c r="N1266" i="4"/>
  <c r="R1266" i="4"/>
  <c r="S1266" i="4"/>
  <c r="O1266" i="4"/>
  <c r="L1317" i="4"/>
  <c r="M1317" i="4" s="1"/>
  <c r="P1316" i="4"/>
  <c r="Q1316" i="4"/>
  <c r="N1316" i="4"/>
  <c r="R1316" i="4"/>
  <c r="O1316" i="4"/>
  <c r="S1316" i="4"/>
  <c r="L1283" i="4"/>
  <c r="M1283" i="4" s="1"/>
  <c r="P1282" i="4"/>
  <c r="Q1282" i="4"/>
  <c r="N1282" i="4"/>
  <c r="R1282" i="4"/>
  <c r="O1282" i="4"/>
  <c r="S1282" i="4"/>
  <c r="L756" i="4"/>
  <c r="M756" i="4" s="1"/>
  <c r="Q755" i="4"/>
  <c r="N755" i="4"/>
  <c r="R755" i="4"/>
  <c r="O755" i="4"/>
  <c r="S755" i="4"/>
  <c r="P755" i="4"/>
  <c r="L399" i="4"/>
  <c r="M399" i="4" s="1"/>
  <c r="N398" i="4"/>
  <c r="R398" i="4"/>
  <c r="O398" i="4"/>
  <c r="S398" i="4"/>
  <c r="P398" i="4"/>
  <c r="Q398" i="4"/>
  <c r="L212" i="4"/>
  <c r="M212" i="4" s="1"/>
  <c r="O211" i="4"/>
  <c r="S211" i="4"/>
  <c r="P211" i="4"/>
  <c r="Q211" i="4"/>
  <c r="R211" i="4"/>
  <c r="N211" i="4"/>
  <c r="L246" i="4"/>
  <c r="M246" i="4" s="1"/>
  <c r="O245" i="4"/>
  <c r="S245" i="4"/>
  <c r="R245" i="4"/>
  <c r="N245" i="4"/>
  <c r="P245" i="4"/>
  <c r="Q245" i="4"/>
  <c r="L1215" i="4"/>
  <c r="M1215" i="4" s="1"/>
  <c r="P1214" i="4"/>
  <c r="Q1214" i="4"/>
  <c r="N1214" i="4"/>
  <c r="R1214" i="4"/>
  <c r="O1214" i="4"/>
  <c r="S1214" i="4"/>
  <c r="L110" i="4"/>
  <c r="M110" i="4" s="1"/>
  <c r="O109" i="4"/>
  <c r="S109" i="4"/>
  <c r="P109" i="4"/>
  <c r="Q109" i="4"/>
  <c r="R109" i="4"/>
  <c r="N109" i="4"/>
  <c r="L943" i="4"/>
  <c r="M943" i="4" s="1"/>
  <c r="N942" i="4"/>
  <c r="R942" i="4"/>
  <c r="P942" i="4"/>
  <c r="Q942" i="4"/>
  <c r="S942" i="4"/>
  <c r="O942" i="4"/>
  <c r="L688" i="4"/>
  <c r="M688" i="4" s="1"/>
  <c r="Q687" i="4"/>
  <c r="N687" i="4"/>
  <c r="R687" i="4"/>
  <c r="O687" i="4"/>
  <c r="S687" i="4"/>
  <c r="P687" i="4"/>
  <c r="L1147" i="4"/>
  <c r="M1147" i="4" s="1"/>
  <c r="P1146" i="4"/>
  <c r="Q1146" i="4"/>
  <c r="N1146" i="4"/>
  <c r="R1146" i="4"/>
  <c r="O1146" i="4"/>
  <c r="S1146" i="4"/>
  <c r="L910" i="4"/>
  <c r="M910" i="4" s="1"/>
  <c r="O909" i="4"/>
  <c r="S909" i="4"/>
  <c r="P909" i="4"/>
  <c r="N909" i="4"/>
  <c r="Q909" i="4"/>
  <c r="R909" i="4"/>
  <c r="Q585" i="4"/>
  <c r="N585" i="4"/>
  <c r="R585" i="4"/>
  <c r="S585" i="4"/>
  <c r="O585" i="4"/>
  <c r="P585" i="4"/>
  <c r="L586" i="4"/>
  <c r="M586" i="4" s="1"/>
  <c r="L93" i="4"/>
  <c r="M93" i="4" s="1"/>
  <c r="Q92" i="4"/>
  <c r="N92" i="4"/>
  <c r="R92" i="4"/>
  <c r="O92" i="4"/>
  <c r="S92" i="4"/>
  <c r="P92" i="4"/>
  <c r="L1164" i="4"/>
  <c r="M1164" i="4" s="1"/>
  <c r="N1163" i="4"/>
  <c r="R1163" i="4"/>
  <c r="O1163" i="4"/>
  <c r="S1163" i="4"/>
  <c r="P1163" i="4"/>
  <c r="Q1163" i="4"/>
  <c r="L1011" i="4"/>
  <c r="M1011" i="4" s="1"/>
  <c r="P1010" i="4"/>
  <c r="Q1010" i="4"/>
  <c r="N1010" i="4"/>
  <c r="R1010" i="4"/>
  <c r="O1010" i="4"/>
  <c r="S1010" i="4"/>
  <c r="L314" i="4"/>
  <c r="M314" i="4" s="1"/>
  <c r="O313" i="4"/>
  <c r="S313" i="4"/>
  <c r="P313" i="4"/>
  <c r="Q313" i="4"/>
  <c r="N313" i="4"/>
  <c r="R313" i="4"/>
  <c r="L433" i="4"/>
  <c r="M433" i="4" s="1"/>
  <c r="N432" i="4"/>
  <c r="R432" i="4"/>
  <c r="O432" i="4"/>
  <c r="S432" i="4"/>
  <c r="P432" i="4"/>
  <c r="Q432" i="4"/>
  <c r="E14" i="5"/>
  <c r="E13" i="5"/>
  <c r="E12" i="5"/>
  <c r="R722" i="4" l="1"/>
  <c r="L78" i="4"/>
  <c r="M78" i="4" s="1"/>
  <c r="N875" i="4"/>
  <c r="Q77" i="4"/>
  <c r="S875" i="4"/>
  <c r="P467" i="4"/>
  <c r="O1130" i="4"/>
  <c r="Q450" i="4"/>
  <c r="S722" i="4"/>
  <c r="S467" i="4"/>
  <c r="N1130" i="4"/>
  <c r="O450" i="4"/>
  <c r="O467" i="4"/>
  <c r="Q1130" i="4"/>
  <c r="R450" i="4"/>
  <c r="R467" i="4"/>
  <c r="S1130" i="4"/>
  <c r="P1130" i="4"/>
  <c r="P450" i="4"/>
  <c r="N450" i="4"/>
  <c r="L468" i="4"/>
  <c r="M468" i="4" s="1"/>
  <c r="N467" i="4"/>
  <c r="R1130" i="4"/>
  <c r="L1131" i="4"/>
  <c r="M1131" i="4" s="1"/>
  <c r="S450" i="4"/>
  <c r="L451" i="4"/>
  <c r="M451" i="4" s="1"/>
  <c r="Q195" i="4"/>
  <c r="O195" i="4"/>
  <c r="N722" i="4"/>
  <c r="O722" i="4"/>
  <c r="Q722" i="4"/>
  <c r="L723" i="4"/>
  <c r="M723" i="4" s="1"/>
  <c r="P722" i="4"/>
  <c r="R77" i="4"/>
  <c r="S77" i="4"/>
  <c r="Q875" i="4"/>
  <c r="L876" i="4"/>
  <c r="M876" i="4" s="1"/>
  <c r="P77" i="4"/>
  <c r="R875" i="4"/>
  <c r="O875" i="4"/>
  <c r="N77" i="4"/>
  <c r="O77" i="4"/>
  <c r="P875" i="4"/>
  <c r="O1334" i="4"/>
  <c r="P790" i="4"/>
  <c r="P1334" i="4"/>
  <c r="R790" i="4"/>
  <c r="R1334" i="4"/>
  <c r="L1335" i="4"/>
  <c r="M1335" i="4" s="1"/>
  <c r="L791" i="4"/>
  <c r="M791" i="4" s="1"/>
  <c r="N790" i="4"/>
  <c r="N1334" i="4"/>
  <c r="O790" i="4"/>
  <c r="Q790" i="4"/>
  <c r="S1334" i="4"/>
  <c r="Q1334" i="4"/>
  <c r="S790" i="4"/>
  <c r="P59" i="4"/>
  <c r="L196" i="4"/>
  <c r="M196" i="4" s="1"/>
  <c r="S825" i="4"/>
  <c r="N195" i="4"/>
  <c r="P195" i="4"/>
  <c r="L826" i="4"/>
  <c r="M826" i="4" s="1"/>
  <c r="R195" i="4"/>
  <c r="S195" i="4"/>
  <c r="N825" i="4"/>
  <c r="O59" i="4"/>
  <c r="L740" i="4"/>
  <c r="M740" i="4" s="1"/>
  <c r="Q739" i="4"/>
  <c r="R59" i="4"/>
  <c r="L60" i="4"/>
  <c r="M60" i="4" s="1"/>
  <c r="S603" i="4"/>
  <c r="N59" i="4"/>
  <c r="O603" i="4"/>
  <c r="S59" i="4"/>
  <c r="Q59" i="4"/>
  <c r="Q603" i="4"/>
  <c r="Q280" i="4"/>
  <c r="R280" i="4"/>
  <c r="P280" i="4"/>
  <c r="N280" i="4"/>
  <c r="O280" i="4"/>
  <c r="L281" i="4"/>
  <c r="M281" i="4" s="1"/>
  <c r="N1079" i="4"/>
  <c r="S739" i="4"/>
  <c r="R739" i="4"/>
  <c r="S280" i="4"/>
  <c r="L604" i="4"/>
  <c r="M604" i="4" s="1"/>
  <c r="R603" i="4"/>
  <c r="P603" i="4"/>
  <c r="N603" i="4"/>
  <c r="O739" i="4"/>
  <c r="R825" i="4"/>
  <c r="O825" i="4"/>
  <c r="P739" i="4"/>
  <c r="N739" i="4"/>
  <c r="P825" i="4"/>
  <c r="P1079" i="4"/>
  <c r="L1080" i="4"/>
  <c r="M1080" i="4" s="1"/>
  <c r="S1079" i="4"/>
  <c r="O1079" i="4"/>
  <c r="Q1079" i="4"/>
  <c r="R1079" i="4"/>
  <c r="S654" i="4"/>
  <c r="M654" i="4"/>
  <c r="M348" i="4"/>
  <c r="Q348" i="4"/>
  <c r="S348" i="4"/>
  <c r="N348" i="4"/>
  <c r="P348" i="4"/>
  <c r="R348" i="4"/>
  <c r="L349" i="4"/>
  <c r="O348" i="4"/>
  <c r="M144" i="4"/>
  <c r="N144" i="4"/>
  <c r="O144" i="4"/>
  <c r="P144" i="4"/>
  <c r="S144" i="4"/>
  <c r="Q144" i="4"/>
  <c r="R144" i="4"/>
  <c r="L145" i="4"/>
  <c r="M1045" i="4"/>
  <c r="R1045" i="4"/>
  <c r="Q1045" i="4"/>
  <c r="O1045" i="4"/>
  <c r="L1046" i="4"/>
  <c r="S1045" i="4"/>
  <c r="N1045" i="4"/>
  <c r="P1045" i="4"/>
  <c r="M841" i="4"/>
  <c r="O841" i="4"/>
  <c r="Q841" i="4"/>
  <c r="S841" i="4"/>
  <c r="R841" i="4"/>
  <c r="P841" i="4"/>
  <c r="L842" i="4"/>
  <c r="N841" i="4"/>
  <c r="N892" i="4"/>
  <c r="M892" i="4"/>
  <c r="O518" i="4"/>
  <c r="M518" i="4"/>
  <c r="M671" i="4"/>
  <c r="L672" i="4"/>
  <c r="O671" i="4"/>
  <c r="Q671" i="4"/>
  <c r="S671" i="4"/>
  <c r="N671" i="4"/>
  <c r="P671" i="4"/>
  <c r="R671" i="4"/>
  <c r="N654" i="4"/>
  <c r="O892" i="4"/>
  <c r="O654" i="4"/>
  <c r="P11" i="6"/>
  <c r="P10" i="7"/>
  <c r="P9" i="1"/>
  <c r="P11" i="7"/>
  <c r="P10" i="1"/>
  <c r="P11" i="1"/>
  <c r="P9" i="6"/>
  <c r="P10" i="6"/>
  <c r="P9" i="7"/>
  <c r="R892" i="4"/>
  <c r="Q654" i="4"/>
  <c r="L655" i="4"/>
  <c r="Q892" i="4"/>
  <c r="P654" i="4"/>
  <c r="P892" i="4"/>
  <c r="L893" i="4"/>
  <c r="R654" i="4"/>
  <c r="S892" i="4"/>
  <c r="Q518" i="4"/>
  <c r="R518" i="4"/>
  <c r="P518" i="4"/>
  <c r="N518" i="4"/>
  <c r="S518" i="4"/>
  <c r="L519" i="4"/>
  <c r="R535" i="4"/>
  <c r="L536" i="4"/>
  <c r="M536" i="4" s="1"/>
  <c r="P535" i="4"/>
  <c r="O535" i="4"/>
  <c r="Q535" i="4"/>
  <c r="S535" i="4"/>
  <c r="N535" i="4"/>
  <c r="L434" i="4"/>
  <c r="M434" i="4" s="1"/>
  <c r="P433" i="4"/>
  <c r="Q433" i="4"/>
  <c r="N433" i="4"/>
  <c r="R433" i="4"/>
  <c r="S433" i="4"/>
  <c r="O433" i="4"/>
  <c r="L315" i="4"/>
  <c r="M315" i="4" s="1"/>
  <c r="Q314" i="4"/>
  <c r="N314" i="4"/>
  <c r="R314" i="4"/>
  <c r="O314" i="4"/>
  <c r="S314" i="4"/>
  <c r="P314" i="4"/>
  <c r="L1012" i="4"/>
  <c r="M1012" i="4" s="1"/>
  <c r="N1011" i="4"/>
  <c r="R1011" i="4"/>
  <c r="O1011" i="4"/>
  <c r="S1011" i="4"/>
  <c r="P1011" i="4"/>
  <c r="Q1011" i="4"/>
  <c r="L1165" i="4"/>
  <c r="M1165" i="4" s="1"/>
  <c r="P1164" i="4"/>
  <c r="Q1164" i="4"/>
  <c r="N1164" i="4"/>
  <c r="R1164" i="4"/>
  <c r="O1164" i="4"/>
  <c r="S1164" i="4"/>
  <c r="L94" i="4"/>
  <c r="M94" i="4" s="1"/>
  <c r="O93" i="4"/>
  <c r="S93" i="4"/>
  <c r="P93" i="4"/>
  <c r="Q93" i="4"/>
  <c r="N93" i="4"/>
  <c r="R93" i="4"/>
  <c r="L911" i="4"/>
  <c r="M911" i="4" s="1"/>
  <c r="Q910" i="4"/>
  <c r="N910" i="4"/>
  <c r="R910" i="4"/>
  <c r="O910" i="4"/>
  <c r="P910" i="4"/>
  <c r="S910" i="4"/>
  <c r="L1148" i="4"/>
  <c r="M1148" i="4" s="1"/>
  <c r="N1147" i="4"/>
  <c r="R1147" i="4"/>
  <c r="O1147" i="4"/>
  <c r="S1147" i="4"/>
  <c r="P1147" i="4"/>
  <c r="Q1147" i="4"/>
  <c r="L689" i="4"/>
  <c r="M689" i="4" s="1"/>
  <c r="O688" i="4"/>
  <c r="S688" i="4"/>
  <c r="P688" i="4"/>
  <c r="Q688" i="4"/>
  <c r="R688" i="4"/>
  <c r="N688" i="4"/>
  <c r="L944" i="4"/>
  <c r="M944" i="4" s="1"/>
  <c r="P943" i="4"/>
  <c r="O943" i="4"/>
  <c r="Q943" i="4"/>
  <c r="R943" i="4"/>
  <c r="N943" i="4"/>
  <c r="S943" i="4"/>
  <c r="L111" i="4"/>
  <c r="M111" i="4" s="1"/>
  <c r="Q110" i="4"/>
  <c r="N110" i="4"/>
  <c r="R110" i="4"/>
  <c r="O110" i="4"/>
  <c r="S110" i="4"/>
  <c r="P110" i="4"/>
  <c r="L1216" i="4"/>
  <c r="M1216" i="4" s="1"/>
  <c r="N1215" i="4"/>
  <c r="R1215" i="4"/>
  <c r="O1215" i="4"/>
  <c r="S1215" i="4"/>
  <c r="P1215" i="4"/>
  <c r="Q1215" i="4"/>
  <c r="L247" i="4"/>
  <c r="M247" i="4" s="1"/>
  <c r="Q246" i="4"/>
  <c r="R246" i="4"/>
  <c r="N246" i="4"/>
  <c r="O246" i="4"/>
  <c r="P246" i="4"/>
  <c r="S246" i="4"/>
  <c r="L213" i="4"/>
  <c r="M213" i="4" s="1"/>
  <c r="Q212" i="4"/>
  <c r="N212" i="4"/>
  <c r="R212" i="4"/>
  <c r="S212" i="4"/>
  <c r="O212" i="4"/>
  <c r="P212" i="4"/>
  <c r="L400" i="4"/>
  <c r="M400" i="4" s="1"/>
  <c r="P399" i="4"/>
  <c r="Q399" i="4"/>
  <c r="N399" i="4"/>
  <c r="R399" i="4"/>
  <c r="O399" i="4"/>
  <c r="S399" i="4"/>
  <c r="L757" i="4"/>
  <c r="M757" i="4" s="1"/>
  <c r="O756" i="4"/>
  <c r="S756" i="4"/>
  <c r="P756" i="4"/>
  <c r="Q756" i="4"/>
  <c r="N756" i="4"/>
  <c r="R756" i="4"/>
  <c r="L1284" i="4"/>
  <c r="M1284" i="4" s="1"/>
  <c r="N1283" i="4"/>
  <c r="R1283" i="4"/>
  <c r="O1283" i="4"/>
  <c r="S1283" i="4"/>
  <c r="P1283" i="4"/>
  <c r="Q1283" i="4"/>
  <c r="Q78" i="4"/>
  <c r="N78" i="4"/>
  <c r="O78" i="4"/>
  <c r="S78" i="4"/>
  <c r="P78" i="4"/>
  <c r="L1318" i="4"/>
  <c r="M1318" i="4" s="1"/>
  <c r="N1317" i="4"/>
  <c r="R1317" i="4"/>
  <c r="O1317" i="4"/>
  <c r="S1317" i="4"/>
  <c r="P1317" i="4"/>
  <c r="Q1317" i="4"/>
  <c r="L1268" i="4"/>
  <c r="M1268" i="4" s="1"/>
  <c r="N1267" i="4"/>
  <c r="R1267" i="4"/>
  <c r="O1267" i="4"/>
  <c r="S1267" i="4"/>
  <c r="P1267" i="4"/>
  <c r="Q1267" i="4"/>
  <c r="L1301" i="4"/>
  <c r="M1301" i="4" s="1"/>
  <c r="P1300" i="4"/>
  <c r="Q1300" i="4"/>
  <c r="N1300" i="4"/>
  <c r="R1300" i="4"/>
  <c r="O1300" i="4"/>
  <c r="S1300" i="4"/>
  <c r="L1114" i="4"/>
  <c r="M1114" i="4" s="1"/>
  <c r="N1113" i="4"/>
  <c r="R1113" i="4"/>
  <c r="O1113" i="4"/>
  <c r="S1113" i="4"/>
  <c r="P1113" i="4"/>
  <c r="Q1113" i="4"/>
  <c r="L332" i="4"/>
  <c r="M332" i="4" s="1"/>
  <c r="O331" i="4"/>
  <c r="S331" i="4"/>
  <c r="P331" i="4"/>
  <c r="Q331" i="4"/>
  <c r="N331" i="4"/>
  <c r="R331" i="4"/>
  <c r="L706" i="4"/>
  <c r="M706" i="4" s="1"/>
  <c r="Q705" i="4"/>
  <c r="N705" i="4"/>
  <c r="R705" i="4"/>
  <c r="O705" i="4"/>
  <c r="S705" i="4"/>
  <c r="P705" i="4"/>
  <c r="L775" i="4"/>
  <c r="M775" i="4" s="1"/>
  <c r="O774" i="4"/>
  <c r="S774" i="4"/>
  <c r="P774" i="4"/>
  <c r="Q774" i="4"/>
  <c r="N774" i="4"/>
  <c r="R774" i="4"/>
  <c r="L128" i="4"/>
  <c r="M128" i="4" s="1"/>
  <c r="Q127" i="4"/>
  <c r="R127" i="4"/>
  <c r="N127" i="4"/>
  <c r="S127" i="4"/>
  <c r="O127" i="4"/>
  <c r="P127" i="4"/>
  <c r="L1029" i="4"/>
  <c r="M1029" i="4" s="1"/>
  <c r="P1028" i="4"/>
  <c r="Q1028" i="4"/>
  <c r="N1028" i="4"/>
  <c r="R1028" i="4"/>
  <c r="O1028" i="4"/>
  <c r="S1028" i="4"/>
  <c r="L961" i="4"/>
  <c r="M961" i="4" s="1"/>
  <c r="N960" i="4"/>
  <c r="R960" i="4"/>
  <c r="P960" i="4"/>
  <c r="Q960" i="4"/>
  <c r="S960" i="4"/>
  <c r="O960" i="4"/>
  <c r="L230" i="4"/>
  <c r="M230" i="4" s="1"/>
  <c r="O229" i="4"/>
  <c r="S229" i="4"/>
  <c r="P229" i="4"/>
  <c r="Q229" i="4"/>
  <c r="N229" i="4"/>
  <c r="R229" i="4"/>
  <c r="L995" i="4"/>
  <c r="M995" i="4" s="1"/>
  <c r="P994" i="4"/>
  <c r="Q994" i="4"/>
  <c r="N994" i="4"/>
  <c r="R994" i="4"/>
  <c r="S994" i="4"/>
  <c r="O994" i="4"/>
  <c r="L383" i="4"/>
  <c r="M383" i="4" s="1"/>
  <c r="N382" i="4"/>
  <c r="R382" i="4"/>
  <c r="O382" i="4"/>
  <c r="S382" i="4"/>
  <c r="P382" i="4"/>
  <c r="Q382" i="4"/>
  <c r="L978" i="4"/>
  <c r="M978" i="4" s="1"/>
  <c r="N977" i="4"/>
  <c r="R977" i="4"/>
  <c r="O977" i="4"/>
  <c r="S977" i="4"/>
  <c r="P977" i="4"/>
  <c r="Q977" i="4"/>
  <c r="L1063" i="4"/>
  <c r="M1063" i="4" s="1"/>
  <c r="P1062" i="4"/>
  <c r="Q1062" i="4"/>
  <c r="N1062" i="4"/>
  <c r="R1062" i="4"/>
  <c r="O1062" i="4"/>
  <c r="S1062" i="4"/>
  <c r="L1182" i="4"/>
  <c r="M1182" i="4" s="1"/>
  <c r="N1181" i="4"/>
  <c r="R1181" i="4"/>
  <c r="O1181" i="4"/>
  <c r="S1181" i="4"/>
  <c r="P1181" i="4"/>
  <c r="Q1181" i="4"/>
  <c r="L1250" i="4"/>
  <c r="M1250" i="4" s="1"/>
  <c r="N1249" i="4"/>
  <c r="R1249" i="4"/>
  <c r="O1249" i="4"/>
  <c r="S1249" i="4"/>
  <c r="P1249" i="4"/>
  <c r="Q1249" i="4"/>
  <c r="L1233" i="4"/>
  <c r="M1233" i="4" s="1"/>
  <c r="P1232" i="4"/>
  <c r="Q1232" i="4"/>
  <c r="N1232" i="4"/>
  <c r="R1232" i="4"/>
  <c r="O1232" i="4"/>
  <c r="S1232" i="4"/>
  <c r="L859" i="4"/>
  <c r="M859" i="4" s="1"/>
  <c r="Q858" i="4"/>
  <c r="N858" i="4"/>
  <c r="R858" i="4"/>
  <c r="S858" i="4"/>
  <c r="O858" i="4"/>
  <c r="P858" i="4"/>
  <c r="L1097" i="4"/>
  <c r="M1097" i="4" s="1"/>
  <c r="P1096" i="4"/>
  <c r="Q1096" i="4"/>
  <c r="N1096" i="4"/>
  <c r="R1096" i="4"/>
  <c r="O1096" i="4"/>
  <c r="S1096" i="4"/>
  <c r="L1200" i="4"/>
  <c r="M1200" i="4" s="1"/>
  <c r="N1199" i="4"/>
  <c r="R1199" i="4"/>
  <c r="O1199" i="4"/>
  <c r="S1199" i="4"/>
  <c r="P1199" i="4"/>
  <c r="Q1199" i="4"/>
  <c r="L553" i="4"/>
  <c r="M553" i="4" s="1"/>
  <c r="N552" i="4"/>
  <c r="R552" i="4"/>
  <c r="O552" i="4"/>
  <c r="S552" i="4"/>
  <c r="P552" i="4"/>
  <c r="Q552" i="4"/>
  <c r="L366" i="4"/>
  <c r="M366" i="4" s="1"/>
  <c r="O365" i="4"/>
  <c r="S365" i="4"/>
  <c r="P365" i="4"/>
  <c r="N365" i="4"/>
  <c r="Q365" i="4"/>
  <c r="R365" i="4"/>
  <c r="L587" i="4"/>
  <c r="M587" i="4" s="1"/>
  <c r="O586" i="4"/>
  <c r="S586" i="4"/>
  <c r="P586" i="4"/>
  <c r="N586" i="4"/>
  <c r="Q586" i="4"/>
  <c r="R586" i="4"/>
  <c r="L792" i="4"/>
  <c r="M792" i="4" s="1"/>
  <c r="L808" i="4"/>
  <c r="M808" i="4" s="1"/>
  <c r="O807" i="4"/>
  <c r="S807" i="4"/>
  <c r="P807" i="4"/>
  <c r="Q807" i="4"/>
  <c r="R807" i="4"/>
  <c r="N807" i="4"/>
  <c r="N416" i="4"/>
  <c r="R416" i="4"/>
  <c r="O416" i="4"/>
  <c r="S416" i="4"/>
  <c r="P416" i="4"/>
  <c r="Q416" i="4"/>
  <c r="L417" i="4"/>
  <c r="M417" i="4" s="1"/>
  <c r="L10" i="4"/>
  <c r="M10" i="4" s="1"/>
  <c r="L265" i="4"/>
  <c r="M265" i="4" s="1"/>
  <c r="N264" i="4"/>
  <c r="R264" i="4"/>
  <c r="Q264" i="4"/>
  <c r="S264" i="4"/>
  <c r="O264" i="4"/>
  <c r="P264" i="4"/>
  <c r="P451" i="4"/>
  <c r="S451" i="4"/>
  <c r="L638" i="4"/>
  <c r="M638" i="4" s="1"/>
  <c r="Q637" i="4"/>
  <c r="N637" i="4"/>
  <c r="R637" i="4"/>
  <c r="O637" i="4"/>
  <c r="S637" i="4"/>
  <c r="P637" i="4"/>
  <c r="L502" i="4"/>
  <c r="M502" i="4" s="1"/>
  <c r="P501" i="4"/>
  <c r="Q501" i="4"/>
  <c r="N501" i="4"/>
  <c r="R501" i="4"/>
  <c r="O501" i="4"/>
  <c r="S501" i="4"/>
  <c r="L570" i="4"/>
  <c r="M570" i="4" s="1"/>
  <c r="P569" i="4"/>
  <c r="Q569" i="4"/>
  <c r="N569" i="4"/>
  <c r="R569" i="4"/>
  <c r="S569" i="4"/>
  <c r="O569" i="4"/>
  <c r="L179" i="4"/>
  <c r="M179" i="4" s="1"/>
  <c r="Q178" i="4"/>
  <c r="N178" i="4"/>
  <c r="R178" i="4"/>
  <c r="O178" i="4"/>
  <c r="P178" i="4"/>
  <c r="S178" i="4"/>
  <c r="L298" i="4"/>
  <c r="M298" i="4" s="1"/>
  <c r="P297" i="4"/>
  <c r="N297" i="4"/>
  <c r="S297" i="4"/>
  <c r="O297" i="4"/>
  <c r="Q297" i="4"/>
  <c r="R297" i="4"/>
  <c r="L26" i="4"/>
  <c r="M26" i="4" s="1"/>
  <c r="P25" i="4"/>
  <c r="Q25" i="4"/>
  <c r="N25" i="4"/>
  <c r="R25" i="4"/>
  <c r="O25" i="4"/>
  <c r="S25" i="4"/>
  <c r="L43" i="4"/>
  <c r="M43" i="4" s="1"/>
  <c r="N42" i="4"/>
  <c r="R42" i="4"/>
  <c r="O42" i="4"/>
  <c r="S42" i="4"/>
  <c r="P42" i="4"/>
  <c r="Q42" i="4"/>
  <c r="L485" i="4"/>
  <c r="M485" i="4" s="1"/>
  <c r="N484" i="4"/>
  <c r="R484" i="4"/>
  <c r="O484" i="4"/>
  <c r="S484" i="4"/>
  <c r="P484" i="4"/>
  <c r="Q484" i="4"/>
  <c r="L621" i="4"/>
  <c r="M621" i="4" s="1"/>
  <c r="O620" i="4"/>
  <c r="S620" i="4"/>
  <c r="P620" i="4"/>
  <c r="Q620" i="4"/>
  <c r="N620" i="4"/>
  <c r="R620" i="4"/>
  <c r="L162" i="4"/>
  <c r="M162" i="4" s="1"/>
  <c r="Q161" i="4"/>
  <c r="N161" i="4"/>
  <c r="S161" i="4"/>
  <c r="O161" i="4"/>
  <c r="P161" i="4"/>
  <c r="R161" i="4"/>
  <c r="L927" i="4"/>
  <c r="M927" i="4" s="1"/>
  <c r="N926" i="4"/>
  <c r="R926" i="4"/>
  <c r="O926" i="4"/>
  <c r="P926" i="4"/>
  <c r="Q926" i="4"/>
  <c r="S926" i="4"/>
  <c r="E10" i="5"/>
  <c r="E7" i="5"/>
  <c r="K3" i="5" s="1"/>
  <c r="E6" i="5"/>
  <c r="E5" i="5"/>
  <c r="J7" i="5" s="1"/>
  <c r="E3" i="5"/>
  <c r="Q1131" i="4" l="1"/>
  <c r="P1131" i="4"/>
  <c r="R1131" i="4"/>
  <c r="L79" i="4"/>
  <c r="M79" i="4" s="1"/>
  <c r="R78" i="4"/>
  <c r="R451" i="4"/>
  <c r="L452" i="4"/>
  <c r="M452" i="4" s="1"/>
  <c r="N451" i="4"/>
  <c r="O451" i="4"/>
  <c r="Q451" i="4"/>
  <c r="O468" i="4"/>
  <c r="N1131" i="4"/>
  <c r="Q468" i="4"/>
  <c r="R468" i="4"/>
  <c r="P468" i="4"/>
  <c r="N468" i="4"/>
  <c r="S1131" i="4"/>
  <c r="L1132" i="4"/>
  <c r="M1132" i="4" s="1"/>
  <c r="S468" i="4"/>
  <c r="L469" i="4"/>
  <c r="M469" i="4" s="1"/>
  <c r="O1131" i="4"/>
  <c r="N791" i="4"/>
  <c r="P791" i="4"/>
  <c r="R791" i="4"/>
  <c r="S791" i="4"/>
  <c r="Q791" i="4"/>
  <c r="O791" i="4"/>
  <c r="S740" i="4"/>
  <c r="R723" i="4"/>
  <c r="P723" i="4"/>
  <c r="N723" i="4"/>
  <c r="O740" i="4"/>
  <c r="S723" i="4"/>
  <c r="Q723" i="4"/>
  <c r="R740" i="4"/>
  <c r="O723" i="4"/>
  <c r="L724" i="4"/>
  <c r="M724" i="4" s="1"/>
  <c r="N740" i="4"/>
  <c r="R876" i="4"/>
  <c r="P1335" i="4"/>
  <c r="N1335" i="4"/>
  <c r="P876" i="4"/>
  <c r="N876" i="4"/>
  <c r="S1335" i="4"/>
  <c r="L1336" i="4"/>
  <c r="M1336" i="4" s="1"/>
  <c r="Q740" i="4"/>
  <c r="L741" i="4"/>
  <c r="M741" i="4" s="1"/>
  <c r="N604" i="4"/>
  <c r="O876" i="4"/>
  <c r="Q876" i="4"/>
  <c r="O1335" i="4"/>
  <c r="P740" i="4"/>
  <c r="O604" i="4"/>
  <c r="S876" i="4"/>
  <c r="L877" i="4"/>
  <c r="M877" i="4" s="1"/>
  <c r="Q1335" i="4"/>
  <c r="R1335" i="4"/>
  <c r="S826" i="4"/>
  <c r="L827" i="4"/>
  <c r="M827" i="4" s="1"/>
  <c r="R196" i="4"/>
  <c r="R826" i="4"/>
  <c r="S196" i="4"/>
  <c r="N196" i="4"/>
  <c r="P826" i="4"/>
  <c r="N826" i="4"/>
  <c r="P196" i="4"/>
  <c r="Q196" i="4"/>
  <c r="O826" i="4"/>
  <c r="Q826" i="4"/>
  <c r="O196" i="4"/>
  <c r="L197" i="4"/>
  <c r="M197" i="4" s="1"/>
  <c r="P60" i="4"/>
  <c r="Q281" i="4"/>
  <c r="N60" i="4"/>
  <c r="R281" i="4"/>
  <c r="S60" i="4"/>
  <c r="L61" i="4"/>
  <c r="M61" i="4" s="1"/>
  <c r="O281" i="4"/>
  <c r="P281" i="4"/>
  <c r="S281" i="4"/>
  <c r="L282" i="4"/>
  <c r="M282" i="4" s="1"/>
  <c r="O60" i="4"/>
  <c r="N281" i="4"/>
  <c r="Q60" i="4"/>
  <c r="R60" i="4"/>
  <c r="L605" i="4"/>
  <c r="M605" i="4" s="1"/>
  <c r="Q604" i="4"/>
  <c r="P604" i="4"/>
  <c r="R604" i="4"/>
  <c r="S604" i="4"/>
  <c r="N1080" i="4"/>
  <c r="S1080" i="4"/>
  <c r="Q1080" i="4"/>
  <c r="O1080" i="4"/>
  <c r="P1080" i="4"/>
  <c r="R1080" i="4"/>
  <c r="L1081" i="4"/>
  <c r="M1081" i="4" s="1"/>
  <c r="M672" i="4"/>
  <c r="S672" i="4"/>
  <c r="R672" i="4"/>
  <c r="P672" i="4"/>
  <c r="L673" i="4"/>
  <c r="Q672" i="4"/>
  <c r="O672" i="4"/>
  <c r="N672" i="4"/>
  <c r="M1046" i="4"/>
  <c r="L1047" i="4"/>
  <c r="R1046" i="4"/>
  <c r="P1046" i="4"/>
  <c r="O1046" i="4"/>
  <c r="Q1046" i="4"/>
  <c r="S1046" i="4"/>
  <c r="N1046" i="4"/>
  <c r="M145" i="4"/>
  <c r="R145" i="4"/>
  <c r="P145" i="4"/>
  <c r="N145" i="4"/>
  <c r="L146" i="4"/>
  <c r="S145" i="4"/>
  <c r="Q145" i="4"/>
  <c r="O145" i="4"/>
  <c r="N519" i="4"/>
  <c r="M519" i="4"/>
  <c r="P893" i="4"/>
  <c r="M893" i="4"/>
  <c r="L656" i="4"/>
  <c r="M656" i="4" s="1"/>
  <c r="M655" i="4"/>
  <c r="M842" i="4"/>
  <c r="Q842" i="4"/>
  <c r="P842" i="4"/>
  <c r="N842" i="4"/>
  <c r="S842" i="4"/>
  <c r="R842" i="4"/>
  <c r="L843" i="4"/>
  <c r="O842" i="4"/>
  <c r="M349" i="4"/>
  <c r="L350" i="4"/>
  <c r="Q349" i="4"/>
  <c r="O349" i="4"/>
  <c r="N349" i="4"/>
  <c r="S349" i="4"/>
  <c r="R349" i="4"/>
  <c r="P349" i="4"/>
  <c r="J8" i="5"/>
  <c r="I7" i="5"/>
  <c r="K4" i="5"/>
  <c r="K6" i="5"/>
  <c r="K5" i="5"/>
  <c r="R893" i="4"/>
  <c r="S893" i="4"/>
  <c r="O893" i="4"/>
  <c r="Q893" i="4"/>
  <c r="L894" i="4"/>
  <c r="R894" i="4" s="1"/>
  <c r="N893" i="4"/>
  <c r="P655" i="4"/>
  <c r="R655" i="4"/>
  <c r="N655" i="4"/>
  <c r="Q655" i="4"/>
  <c r="S655" i="4"/>
  <c r="O655" i="4"/>
  <c r="C6" i="6"/>
  <c r="C6" i="7"/>
  <c r="C6" i="1"/>
  <c r="C9" i="7"/>
  <c r="C8" i="7"/>
  <c r="C9" i="6"/>
  <c r="C7" i="7"/>
  <c r="C8" i="6"/>
  <c r="C7" i="6"/>
  <c r="S519" i="4"/>
  <c r="Q519" i="4"/>
  <c r="O519" i="4"/>
  <c r="P519" i="4"/>
  <c r="R519" i="4"/>
  <c r="L520" i="4"/>
  <c r="R536" i="4"/>
  <c r="Q536" i="4"/>
  <c r="O536" i="4"/>
  <c r="L537" i="4"/>
  <c r="M537" i="4" s="1"/>
  <c r="S536" i="4"/>
  <c r="N536" i="4"/>
  <c r="P536" i="4"/>
  <c r="L928" i="4"/>
  <c r="M928" i="4" s="1"/>
  <c r="P927" i="4"/>
  <c r="N927" i="4"/>
  <c r="S927" i="4"/>
  <c r="O927" i="4"/>
  <c r="Q927" i="4"/>
  <c r="R927" i="4"/>
  <c r="L163" i="4"/>
  <c r="M163" i="4" s="1"/>
  <c r="O162" i="4"/>
  <c r="S162" i="4"/>
  <c r="R162" i="4"/>
  <c r="N162" i="4"/>
  <c r="P162" i="4"/>
  <c r="Q162" i="4"/>
  <c r="Q621" i="4"/>
  <c r="N621" i="4"/>
  <c r="R621" i="4"/>
  <c r="O621" i="4"/>
  <c r="S621" i="4"/>
  <c r="P621" i="4"/>
  <c r="L622" i="4"/>
  <c r="M622" i="4" s="1"/>
  <c r="L486" i="4"/>
  <c r="M486" i="4" s="1"/>
  <c r="P485" i="4"/>
  <c r="Q485" i="4"/>
  <c r="N485" i="4"/>
  <c r="R485" i="4"/>
  <c r="O485" i="4"/>
  <c r="S485" i="4"/>
  <c r="L44" i="4"/>
  <c r="M44" i="4" s="1"/>
  <c r="P43" i="4"/>
  <c r="Q43" i="4"/>
  <c r="N43" i="4"/>
  <c r="R43" i="4"/>
  <c r="O43" i="4"/>
  <c r="S43" i="4"/>
  <c r="L27" i="4"/>
  <c r="M27" i="4" s="1"/>
  <c r="N26" i="4"/>
  <c r="R26" i="4"/>
  <c r="O26" i="4"/>
  <c r="S26" i="4"/>
  <c r="P26" i="4"/>
  <c r="Q26" i="4"/>
  <c r="L299" i="4"/>
  <c r="M299" i="4" s="1"/>
  <c r="N298" i="4"/>
  <c r="R298" i="4"/>
  <c r="S298" i="4"/>
  <c r="O298" i="4"/>
  <c r="P298" i="4"/>
  <c r="Q298" i="4"/>
  <c r="L180" i="4"/>
  <c r="M180" i="4" s="1"/>
  <c r="O179" i="4"/>
  <c r="S179" i="4"/>
  <c r="P179" i="4"/>
  <c r="Q179" i="4"/>
  <c r="R179" i="4"/>
  <c r="N179" i="4"/>
  <c r="L571" i="4"/>
  <c r="M571" i="4" s="1"/>
  <c r="N570" i="4"/>
  <c r="R570" i="4"/>
  <c r="O570" i="4"/>
  <c r="S570" i="4"/>
  <c r="P570" i="4"/>
  <c r="Q570" i="4"/>
  <c r="L503" i="4"/>
  <c r="M503" i="4" s="1"/>
  <c r="N502" i="4"/>
  <c r="R502" i="4"/>
  <c r="O502" i="4"/>
  <c r="S502" i="4"/>
  <c r="P502" i="4"/>
  <c r="Q502" i="4"/>
  <c r="L639" i="4"/>
  <c r="M639" i="4" s="1"/>
  <c r="O638" i="4"/>
  <c r="S638" i="4"/>
  <c r="P638" i="4"/>
  <c r="Q638" i="4"/>
  <c r="N638" i="4"/>
  <c r="R638" i="4"/>
  <c r="L266" i="4"/>
  <c r="M266" i="4" s="1"/>
  <c r="P265" i="4"/>
  <c r="Q265" i="4"/>
  <c r="R265" i="4"/>
  <c r="N265" i="4"/>
  <c r="S265" i="4"/>
  <c r="O265" i="4"/>
  <c r="L418" i="4"/>
  <c r="M418" i="4" s="1"/>
  <c r="P417" i="4"/>
  <c r="Q417" i="4"/>
  <c r="N417" i="4"/>
  <c r="R417" i="4"/>
  <c r="O417" i="4"/>
  <c r="S417" i="4"/>
  <c r="L11" i="4"/>
  <c r="M11" i="4" s="1"/>
  <c r="L809" i="4"/>
  <c r="M809" i="4" s="1"/>
  <c r="Q808" i="4"/>
  <c r="N808" i="4"/>
  <c r="R808" i="4"/>
  <c r="S808" i="4"/>
  <c r="O808" i="4"/>
  <c r="P808" i="4"/>
  <c r="L793" i="4"/>
  <c r="M793" i="4" s="1"/>
  <c r="Q792" i="4"/>
  <c r="N792" i="4"/>
  <c r="R792" i="4"/>
  <c r="O792" i="4"/>
  <c r="P792" i="4"/>
  <c r="S792" i="4"/>
  <c r="L588" i="4"/>
  <c r="M588" i="4" s="1"/>
  <c r="Q587" i="4"/>
  <c r="N587" i="4"/>
  <c r="R587" i="4"/>
  <c r="O587" i="4"/>
  <c r="P587" i="4"/>
  <c r="S587" i="4"/>
  <c r="L367" i="4"/>
  <c r="M367" i="4" s="1"/>
  <c r="Q366" i="4"/>
  <c r="N366" i="4"/>
  <c r="R366" i="4"/>
  <c r="O366" i="4"/>
  <c r="P366" i="4"/>
  <c r="S366" i="4"/>
  <c r="P553" i="4"/>
  <c r="Q553" i="4"/>
  <c r="N553" i="4"/>
  <c r="R553" i="4"/>
  <c r="O553" i="4"/>
  <c r="S553" i="4"/>
  <c r="L554" i="4"/>
  <c r="M554" i="4" s="1"/>
  <c r="L1201" i="4"/>
  <c r="M1201" i="4" s="1"/>
  <c r="P1200" i="4"/>
  <c r="Q1200" i="4"/>
  <c r="N1200" i="4"/>
  <c r="R1200" i="4"/>
  <c r="O1200" i="4"/>
  <c r="S1200" i="4"/>
  <c r="L1098" i="4"/>
  <c r="M1098" i="4" s="1"/>
  <c r="N1097" i="4"/>
  <c r="R1097" i="4"/>
  <c r="O1097" i="4"/>
  <c r="S1097" i="4"/>
  <c r="P1097" i="4"/>
  <c r="Q1097" i="4"/>
  <c r="L860" i="4"/>
  <c r="M860" i="4" s="1"/>
  <c r="O859" i="4"/>
  <c r="S859" i="4"/>
  <c r="P859" i="4"/>
  <c r="N859" i="4"/>
  <c r="Q859" i="4"/>
  <c r="R859" i="4"/>
  <c r="L1234" i="4"/>
  <c r="M1234" i="4" s="1"/>
  <c r="N1233" i="4"/>
  <c r="R1233" i="4"/>
  <c r="O1233" i="4"/>
  <c r="S1233" i="4"/>
  <c r="P1233" i="4"/>
  <c r="Q1233" i="4"/>
  <c r="L1251" i="4"/>
  <c r="M1251" i="4" s="1"/>
  <c r="P1250" i="4"/>
  <c r="Q1250" i="4"/>
  <c r="N1250" i="4"/>
  <c r="R1250" i="4"/>
  <c r="O1250" i="4"/>
  <c r="S1250" i="4"/>
  <c r="L1133" i="4"/>
  <c r="M1133" i="4" s="1"/>
  <c r="L1183" i="4"/>
  <c r="M1183" i="4" s="1"/>
  <c r="P1182" i="4"/>
  <c r="Q1182" i="4"/>
  <c r="N1182" i="4"/>
  <c r="R1182" i="4"/>
  <c r="O1182" i="4"/>
  <c r="S1182" i="4"/>
  <c r="L1064" i="4"/>
  <c r="M1064" i="4" s="1"/>
  <c r="N1063" i="4"/>
  <c r="R1063" i="4"/>
  <c r="O1063" i="4"/>
  <c r="S1063" i="4"/>
  <c r="P1063" i="4"/>
  <c r="Q1063" i="4"/>
  <c r="L979" i="4"/>
  <c r="M979" i="4" s="1"/>
  <c r="P978" i="4"/>
  <c r="Q978" i="4"/>
  <c r="N978" i="4"/>
  <c r="R978" i="4"/>
  <c r="O978" i="4"/>
  <c r="S978" i="4"/>
  <c r="L384" i="4"/>
  <c r="M384" i="4" s="1"/>
  <c r="P383" i="4"/>
  <c r="Q383" i="4"/>
  <c r="N383" i="4"/>
  <c r="R383" i="4"/>
  <c r="O383" i="4"/>
  <c r="S383" i="4"/>
  <c r="L996" i="4"/>
  <c r="M996" i="4" s="1"/>
  <c r="N995" i="4"/>
  <c r="R995" i="4"/>
  <c r="O995" i="4"/>
  <c r="S995" i="4"/>
  <c r="P995" i="4"/>
  <c r="Q995" i="4"/>
  <c r="L231" i="4"/>
  <c r="M231" i="4" s="1"/>
  <c r="Q230" i="4"/>
  <c r="O230" i="4"/>
  <c r="P230" i="4"/>
  <c r="R230" i="4"/>
  <c r="S230" i="4"/>
  <c r="N230" i="4"/>
  <c r="L962" i="4"/>
  <c r="M962" i="4" s="1"/>
  <c r="P961" i="4"/>
  <c r="O961" i="4"/>
  <c r="Q961" i="4"/>
  <c r="R961" i="4"/>
  <c r="S961" i="4"/>
  <c r="N961" i="4"/>
  <c r="L1030" i="4"/>
  <c r="M1030" i="4" s="1"/>
  <c r="N1029" i="4"/>
  <c r="R1029" i="4"/>
  <c r="O1029" i="4"/>
  <c r="S1029" i="4"/>
  <c r="P1029" i="4"/>
  <c r="Q1029" i="4"/>
  <c r="L129" i="4"/>
  <c r="M129" i="4" s="1"/>
  <c r="O128" i="4"/>
  <c r="S128" i="4"/>
  <c r="Q128" i="4"/>
  <c r="R128" i="4"/>
  <c r="N128" i="4"/>
  <c r="P128" i="4"/>
  <c r="L776" i="4"/>
  <c r="M776" i="4" s="1"/>
  <c r="Q775" i="4"/>
  <c r="N775" i="4"/>
  <c r="R775" i="4"/>
  <c r="O775" i="4"/>
  <c r="S775" i="4"/>
  <c r="P775" i="4"/>
  <c r="L707" i="4"/>
  <c r="M707" i="4" s="1"/>
  <c r="O706" i="4"/>
  <c r="S706" i="4"/>
  <c r="P706" i="4"/>
  <c r="Q706" i="4"/>
  <c r="R706" i="4"/>
  <c r="N706" i="4"/>
  <c r="L333" i="4"/>
  <c r="M333" i="4" s="1"/>
  <c r="Q332" i="4"/>
  <c r="N332" i="4"/>
  <c r="R332" i="4"/>
  <c r="O332" i="4"/>
  <c r="S332" i="4"/>
  <c r="P332" i="4"/>
  <c r="L1115" i="4"/>
  <c r="M1115" i="4" s="1"/>
  <c r="P1114" i="4"/>
  <c r="Q1114" i="4"/>
  <c r="N1114" i="4"/>
  <c r="R1114" i="4"/>
  <c r="O1114" i="4"/>
  <c r="S1114" i="4"/>
  <c r="L1302" i="4"/>
  <c r="M1302" i="4" s="1"/>
  <c r="N1301" i="4"/>
  <c r="R1301" i="4"/>
  <c r="O1301" i="4"/>
  <c r="S1301" i="4"/>
  <c r="P1301" i="4"/>
  <c r="Q1301" i="4"/>
  <c r="L1269" i="4"/>
  <c r="M1269" i="4" s="1"/>
  <c r="P1268" i="4"/>
  <c r="Q1268" i="4"/>
  <c r="N1268" i="4"/>
  <c r="R1268" i="4"/>
  <c r="O1268" i="4"/>
  <c r="S1268" i="4"/>
  <c r="L1319" i="4"/>
  <c r="M1319" i="4" s="1"/>
  <c r="P1318" i="4"/>
  <c r="Q1318" i="4"/>
  <c r="N1318" i="4"/>
  <c r="R1318" i="4"/>
  <c r="O1318" i="4"/>
  <c r="S1318" i="4"/>
  <c r="L1285" i="4"/>
  <c r="M1285" i="4" s="1"/>
  <c r="P1284" i="4"/>
  <c r="Q1284" i="4"/>
  <c r="N1284" i="4"/>
  <c r="R1284" i="4"/>
  <c r="S1284" i="4"/>
  <c r="O1284" i="4"/>
  <c r="L758" i="4"/>
  <c r="M758" i="4" s="1"/>
  <c r="Q757" i="4"/>
  <c r="N757" i="4"/>
  <c r="R757" i="4"/>
  <c r="O757" i="4"/>
  <c r="S757" i="4"/>
  <c r="P757" i="4"/>
  <c r="L401" i="4"/>
  <c r="M401" i="4" s="1"/>
  <c r="N400" i="4"/>
  <c r="R400" i="4"/>
  <c r="O400" i="4"/>
  <c r="S400" i="4"/>
  <c r="P400" i="4"/>
  <c r="Q400" i="4"/>
  <c r="L214" i="4"/>
  <c r="M214" i="4" s="1"/>
  <c r="O213" i="4"/>
  <c r="S213" i="4"/>
  <c r="P213" i="4"/>
  <c r="N213" i="4"/>
  <c r="Q213" i="4"/>
  <c r="R213" i="4"/>
  <c r="L248" i="4"/>
  <c r="M248" i="4" s="1"/>
  <c r="O247" i="4"/>
  <c r="S247" i="4"/>
  <c r="Q247" i="4"/>
  <c r="N247" i="4"/>
  <c r="P247" i="4"/>
  <c r="R247" i="4"/>
  <c r="L1217" i="4"/>
  <c r="M1217" i="4" s="1"/>
  <c r="P1216" i="4"/>
  <c r="Q1216" i="4"/>
  <c r="N1216" i="4"/>
  <c r="R1216" i="4"/>
  <c r="O1216" i="4"/>
  <c r="S1216" i="4"/>
  <c r="L112" i="4"/>
  <c r="M112" i="4" s="1"/>
  <c r="O111" i="4"/>
  <c r="S111" i="4"/>
  <c r="P111" i="4"/>
  <c r="Q111" i="4"/>
  <c r="N111" i="4"/>
  <c r="R111" i="4"/>
  <c r="L945" i="4"/>
  <c r="M945" i="4" s="1"/>
  <c r="N944" i="4"/>
  <c r="R944" i="4"/>
  <c r="O944" i="4"/>
  <c r="P944" i="4"/>
  <c r="Q944" i="4"/>
  <c r="S944" i="4"/>
  <c r="L690" i="4"/>
  <c r="M690" i="4" s="1"/>
  <c r="Q689" i="4"/>
  <c r="N689" i="4"/>
  <c r="R689" i="4"/>
  <c r="O689" i="4"/>
  <c r="S689" i="4"/>
  <c r="P689" i="4"/>
  <c r="L1149" i="4"/>
  <c r="M1149" i="4" s="1"/>
  <c r="P1148" i="4"/>
  <c r="Q1148" i="4"/>
  <c r="N1148" i="4"/>
  <c r="R1148" i="4"/>
  <c r="S1148" i="4"/>
  <c r="O1148" i="4"/>
  <c r="L912" i="4"/>
  <c r="M912" i="4" s="1"/>
  <c r="O911" i="4"/>
  <c r="S911" i="4"/>
  <c r="P911" i="4"/>
  <c r="Q911" i="4"/>
  <c r="R911" i="4"/>
  <c r="N911" i="4"/>
  <c r="L95" i="4"/>
  <c r="M95" i="4" s="1"/>
  <c r="Q94" i="4"/>
  <c r="N94" i="4"/>
  <c r="R94" i="4"/>
  <c r="O94" i="4"/>
  <c r="S94" i="4"/>
  <c r="P94" i="4"/>
  <c r="L1166" i="4"/>
  <c r="M1166" i="4" s="1"/>
  <c r="N1165" i="4"/>
  <c r="R1165" i="4"/>
  <c r="O1165" i="4"/>
  <c r="S1165" i="4"/>
  <c r="P1165" i="4"/>
  <c r="Q1165" i="4"/>
  <c r="L1013" i="4"/>
  <c r="M1013" i="4" s="1"/>
  <c r="P1012" i="4"/>
  <c r="Q1012" i="4"/>
  <c r="N1012" i="4"/>
  <c r="R1012" i="4"/>
  <c r="S1012" i="4"/>
  <c r="O1012" i="4"/>
  <c r="L316" i="4"/>
  <c r="M316" i="4" s="1"/>
  <c r="O315" i="4"/>
  <c r="S315" i="4"/>
  <c r="P315" i="4"/>
  <c r="Q315" i="4"/>
  <c r="N315" i="4"/>
  <c r="R315" i="4"/>
  <c r="L435" i="4"/>
  <c r="M435" i="4" s="1"/>
  <c r="N434" i="4"/>
  <c r="R434" i="4"/>
  <c r="O434" i="4"/>
  <c r="S434" i="4"/>
  <c r="P434" i="4"/>
  <c r="Q434" i="4"/>
  <c r="C9" i="1"/>
  <c r="C8" i="1"/>
  <c r="C7" i="1"/>
  <c r="B11" i="1"/>
  <c r="B11" i="6"/>
  <c r="B11" i="7"/>
  <c r="U5" i="6"/>
  <c r="P79" i="4" l="1"/>
  <c r="Q469" i="4"/>
  <c r="O452" i="4"/>
  <c r="R79" i="4"/>
  <c r="S79" i="4"/>
  <c r="N79" i="4"/>
  <c r="O79" i="4"/>
  <c r="Q79" i="4"/>
  <c r="L80" i="4"/>
  <c r="M80" i="4" s="1"/>
  <c r="O469" i="4"/>
  <c r="Q452" i="4"/>
  <c r="R452" i="4"/>
  <c r="P452" i="4"/>
  <c r="N452" i="4"/>
  <c r="S452" i="4"/>
  <c r="L453" i="4"/>
  <c r="M453" i="4" s="1"/>
  <c r="Q1336" i="4"/>
  <c r="R1132" i="4"/>
  <c r="N1132" i="4"/>
  <c r="S1132" i="4"/>
  <c r="Q1132" i="4"/>
  <c r="O1132" i="4"/>
  <c r="P1132" i="4"/>
  <c r="S469" i="4"/>
  <c r="P469" i="4"/>
  <c r="R469" i="4"/>
  <c r="L470" i="4"/>
  <c r="M470" i="4" s="1"/>
  <c r="N469" i="4"/>
  <c r="R724" i="4"/>
  <c r="S1336" i="4"/>
  <c r="O724" i="4"/>
  <c r="O1336" i="4"/>
  <c r="P1336" i="4"/>
  <c r="R1336" i="4"/>
  <c r="L1337" i="4"/>
  <c r="M1337" i="4" s="1"/>
  <c r="N1336" i="4"/>
  <c r="R605" i="4"/>
  <c r="S827" i="4"/>
  <c r="N877" i="4"/>
  <c r="P197" i="4"/>
  <c r="L878" i="4"/>
  <c r="M878" i="4" s="1"/>
  <c r="R827" i="4"/>
  <c r="R741" i="4"/>
  <c r="P877" i="4"/>
  <c r="Q827" i="4"/>
  <c r="O827" i="4"/>
  <c r="P741" i="4"/>
  <c r="N741" i="4"/>
  <c r="S197" i="4"/>
  <c r="R197" i="4"/>
  <c r="O197" i="4"/>
  <c r="R877" i="4"/>
  <c r="S877" i="4"/>
  <c r="N827" i="4"/>
  <c r="L828" i="4"/>
  <c r="M828" i="4" s="1"/>
  <c r="S741" i="4"/>
  <c r="Q741" i="4"/>
  <c r="N197" i="4"/>
  <c r="Q197" i="4"/>
  <c r="L198" i="4"/>
  <c r="M198" i="4" s="1"/>
  <c r="Q877" i="4"/>
  <c r="O877" i="4"/>
  <c r="P827" i="4"/>
  <c r="O741" i="4"/>
  <c r="L742" i="4"/>
  <c r="M742" i="4" s="1"/>
  <c r="Q724" i="4"/>
  <c r="L725" i="4"/>
  <c r="M725" i="4" s="1"/>
  <c r="P724" i="4"/>
  <c r="N724" i="4"/>
  <c r="S724" i="4"/>
  <c r="P605" i="4"/>
  <c r="N605" i="4"/>
  <c r="S605" i="4"/>
  <c r="Q605" i="4"/>
  <c r="O605" i="4"/>
  <c r="L606" i="4"/>
  <c r="M606" i="4" s="1"/>
  <c r="P282" i="4"/>
  <c r="O61" i="4"/>
  <c r="R282" i="4"/>
  <c r="P61" i="4"/>
  <c r="R61" i="4"/>
  <c r="L62" i="4"/>
  <c r="M62" i="4" s="1"/>
  <c r="O1081" i="4"/>
  <c r="O282" i="4"/>
  <c r="N282" i="4"/>
  <c r="N61" i="4"/>
  <c r="S282" i="4"/>
  <c r="L283" i="4"/>
  <c r="M283" i="4" s="1"/>
  <c r="S61" i="4"/>
  <c r="Q61" i="4"/>
  <c r="Q282" i="4"/>
  <c r="N1081" i="4"/>
  <c r="P1081" i="4"/>
  <c r="Q1081" i="4"/>
  <c r="R1081" i="4"/>
  <c r="S1081" i="4"/>
  <c r="L1082" i="4"/>
  <c r="M1082" i="4" s="1"/>
  <c r="R656" i="4"/>
  <c r="S656" i="4"/>
  <c r="N656" i="4"/>
  <c r="O656" i="4"/>
  <c r="Q656" i="4"/>
  <c r="L657" i="4"/>
  <c r="M657" i="4" s="1"/>
  <c r="P656" i="4"/>
  <c r="P894" i="4"/>
  <c r="Q894" i="4"/>
  <c r="O894" i="4"/>
  <c r="L895" i="4"/>
  <c r="M895" i="4" s="1"/>
  <c r="S894" i="4"/>
  <c r="N894" i="4"/>
  <c r="M894" i="4"/>
  <c r="M350" i="4"/>
  <c r="L351" i="4"/>
  <c r="O350" i="4"/>
  <c r="Q350" i="4"/>
  <c r="S350" i="4"/>
  <c r="N350" i="4"/>
  <c r="P350" i="4"/>
  <c r="R350" i="4"/>
  <c r="N520" i="4"/>
  <c r="M520" i="4"/>
  <c r="M1047" i="4"/>
  <c r="R1047" i="4"/>
  <c r="Q1047" i="4"/>
  <c r="O1047" i="4"/>
  <c r="L1048" i="4"/>
  <c r="S1047" i="4"/>
  <c r="N1047" i="4"/>
  <c r="P1047" i="4"/>
  <c r="M843" i="4"/>
  <c r="O843" i="4"/>
  <c r="R843" i="4"/>
  <c r="S843" i="4"/>
  <c r="N843" i="4"/>
  <c r="P843" i="4"/>
  <c r="L844" i="4"/>
  <c r="Q843" i="4"/>
  <c r="M146" i="4"/>
  <c r="S146" i="4"/>
  <c r="P146" i="4"/>
  <c r="Q146" i="4"/>
  <c r="L147" i="4"/>
  <c r="R146" i="4"/>
  <c r="O146" i="4"/>
  <c r="N146" i="4"/>
  <c r="M673" i="4"/>
  <c r="Q673" i="4"/>
  <c r="S673" i="4"/>
  <c r="N673" i="4"/>
  <c r="P673" i="4"/>
  <c r="R673" i="4"/>
  <c r="L674" i="4"/>
  <c r="O673" i="4"/>
  <c r="I8" i="5"/>
  <c r="K8" i="5"/>
  <c r="K7" i="5"/>
  <c r="L521" i="4"/>
  <c r="S520" i="4"/>
  <c r="C11" i="7"/>
  <c r="C11" i="6"/>
  <c r="C11" i="1"/>
  <c r="O520" i="4"/>
  <c r="Q520" i="4"/>
  <c r="R520" i="4"/>
  <c r="P520" i="4"/>
  <c r="L538" i="4"/>
  <c r="M538" i="4" s="1"/>
  <c r="R537" i="4"/>
  <c r="P537" i="4"/>
  <c r="O537" i="4"/>
  <c r="Q537" i="4"/>
  <c r="S537" i="4"/>
  <c r="N537" i="4"/>
  <c r="L623" i="4"/>
  <c r="M623" i="4" s="1"/>
  <c r="O622" i="4"/>
  <c r="S622" i="4"/>
  <c r="P622" i="4"/>
  <c r="Q622" i="4"/>
  <c r="N622" i="4"/>
  <c r="R622" i="4"/>
  <c r="L199" i="4"/>
  <c r="M199" i="4" s="1"/>
  <c r="L436" i="4"/>
  <c r="M436" i="4" s="1"/>
  <c r="P435" i="4"/>
  <c r="Q435" i="4"/>
  <c r="N435" i="4"/>
  <c r="R435" i="4"/>
  <c r="O435" i="4"/>
  <c r="S435" i="4"/>
  <c r="L317" i="4"/>
  <c r="M317" i="4" s="1"/>
  <c r="Q316" i="4"/>
  <c r="N316" i="4"/>
  <c r="R316" i="4"/>
  <c r="O316" i="4"/>
  <c r="S316" i="4"/>
  <c r="P316" i="4"/>
  <c r="L1014" i="4"/>
  <c r="M1014" i="4" s="1"/>
  <c r="N1013" i="4"/>
  <c r="R1013" i="4"/>
  <c r="O1013" i="4"/>
  <c r="S1013" i="4"/>
  <c r="P1013" i="4"/>
  <c r="Q1013" i="4"/>
  <c r="L1167" i="4"/>
  <c r="M1167" i="4" s="1"/>
  <c r="P1166" i="4"/>
  <c r="Q1166" i="4"/>
  <c r="N1166" i="4"/>
  <c r="R1166" i="4"/>
  <c r="S1166" i="4"/>
  <c r="O1166" i="4"/>
  <c r="L96" i="4"/>
  <c r="M96" i="4" s="1"/>
  <c r="O95" i="4"/>
  <c r="S95" i="4"/>
  <c r="P95" i="4"/>
  <c r="Q95" i="4"/>
  <c r="N95" i="4"/>
  <c r="R95" i="4"/>
  <c r="L913" i="4"/>
  <c r="M913" i="4" s="1"/>
  <c r="Q912" i="4"/>
  <c r="N912" i="4"/>
  <c r="R912" i="4"/>
  <c r="S912" i="4"/>
  <c r="O912" i="4"/>
  <c r="P912" i="4"/>
  <c r="L1150" i="4"/>
  <c r="M1150" i="4" s="1"/>
  <c r="N1149" i="4"/>
  <c r="R1149" i="4"/>
  <c r="O1149" i="4"/>
  <c r="S1149" i="4"/>
  <c r="P1149" i="4"/>
  <c r="Q1149" i="4"/>
  <c r="L691" i="4"/>
  <c r="M691" i="4" s="1"/>
  <c r="O690" i="4"/>
  <c r="S690" i="4"/>
  <c r="P690" i="4"/>
  <c r="Q690" i="4"/>
  <c r="N690" i="4"/>
  <c r="R690" i="4"/>
  <c r="L946" i="4"/>
  <c r="M946" i="4" s="1"/>
  <c r="P945" i="4"/>
  <c r="N945" i="4"/>
  <c r="S945" i="4"/>
  <c r="O945" i="4"/>
  <c r="Q945" i="4"/>
  <c r="R945" i="4"/>
  <c r="L113" i="4"/>
  <c r="M113" i="4" s="1"/>
  <c r="Q112" i="4"/>
  <c r="N112" i="4"/>
  <c r="R112" i="4"/>
  <c r="O112" i="4"/>
  <c r="S112" i="4"/>
  <c r="P112" i="4"/>
  <c r="L1218" i="4"/>
  <c r="M1218" i="4" s="1"/>
  <c r="N1217" i="4"/>
  <c r="R1217" i="4"/>
  <c r="O1217" i="4"/>
  <c r="S1217" i="4"/>
  <c r="P1217" i="4"/>
  <c r="Q1217" i="4"/>
  <c r="L249" i="4"/>
  <c r="M249" i="4" s="1"/>
  <c r="Q248" i="4"/>
  <c r="P248" i="4"/>
  <c r="O248" i="4"/>
  <c r="R248" i="4"/>
  <c r="S248" i="4"/>
  <c r="N248" i="4"/>
  <c r="L215" i="4"/>
  <c r="M215" i="4" s="1"/>
  <c r="Q214" i="4"/>
  <c r="N214" i="4"/>
  <c r="R214" i="4"/>
  <c r="O214" i="4"/>
  <c r="P214" i="4"/>
  <c r="S214" i="4"/>
  <c r="L402" i="4"/>
  <c r="M402" i="4" s="1"/>
  <c r="P401" i="4"/>
  <c r="Q401" i="4"/>
  <c r="N401" i="4"/>
  <c r="R401" i="4"/>
  <c r="O401" i="4"/>
  <c r="S401" i="4"/>
  <c r="O758" i="4"/>
  <c r="S758" i="4"/>
  <c r="P758" i="4"/>
  <c r="Q758" i="4"/>
  <c r="N758" i="4"/>
  <c r="R758" i="4"/>
  <c r="L759" i="4"/>
  <c r="M759" i="4" s="1"/>
  <c r="L1286" i="4"/>
  <c r="M1286" i="4" s="1"/>
  <c r="N1285" i="4"/>
  <c r="R1285" i="4"/>
  <c r="O1285" i="4"/>
  <c r="S1285" i="4"/>
  <c r="P1285" i="4"/>
  <c r="Q1285" i="4"/>
  <c r="L81" i="4"/>
  <c r="M81" i="4" s="1"/>
  <c r="Q80" i="4"/>
  <c r="N80" i="4"/>
  <c r="R80" i="4"/>
  <c r="O80" i="4"/>
  <c r="S80" i="4"/>
  <c r="P80" i="4"/>
  <c r="L1320" i="4"/>
  <c r="M1320" i="4" s="1"/>
  <c r="N1319" i="4"/>
  <c r="R1319" i="4"/>
  <c r="O1319" i="4"/>
  <c r="S1319" i="4"/>
  <c r="P1319" i="4"/>
  <c r="Q1319" i="4"/>
  <c r="L1270" i="4"/>
  <c r="M1270" i="4" s="1"/>
  <c r="N1269" i="4"/>
  <c r="R1269" i="4"/>
  <c r="O1269" i="4"/>
  <c r="S1269" i="4"/>
  <c r="P1269" i="4"/>
  <c r="Q1269" i="4"/>
  <c r="L1303" i="4"/>
  <c r="M1303" i="4" s="1"/>
  <c r="P1302" i="4"/>
  <c r="Q1302" i="4"/>
  <c r="N1302" i="4"/>
  <c r="R1302" i="4"/>
  <c r="S1302" i="4"/>
  <c r="O1302" i="4"/>
  <c r="L1116" i="4"/>
  <c r="M1116" i="4" s="1"/>
  <c r="N1115" i="4"/>
  <c r="R1115" i="4"/>
  <c r="O1115" i="4"/>
  <c r="S1115" i="4"/>
  <c r="P1115" i="4"/>
  <c r="Q1115" i="4"/>
  <c r="L334" i="4"/>
  <c r="M334" i="4" s="1"/>
  <c r="O333" i="4"/>
  <c r="S333" i="4"/>
  <c r="P333" i="4"/>
  <c r="Q333" i="4"/>
  <c r="N333" i="4"/>
  <c r="R333" i="4"/>
  <c r="L708" i="4"/>
  <c r="M708" i="4" s="1"/>
  <c r="Q707" i="4"/>
  <c r="N707" i="4"/>
  <c r="R707" i="4"/>
  <c r="O707" i="4"/>
  <c r="S707" i="4"/>
  <c r="P707" i="4"/>
  <c r="L777" i="4"/>
  <c r="M777" i="4" s="1"/>
  <c r="O776" i="4"/>
  <c r="S776" i="4"/>
  <c r="P776" i="4"/>
  <c r="Q776" i="4"/>
  <c r="N776" i="4"/>
  <c r="R776" i="4"/>
  <c r="L130" i="4"/>
  <c r="M130" i="4" s="1"/>
  <c r="Q129" i="4"/>
  <c r="P129" i="4"/>
  <c r="R129" i="4"/>
  <c r="S129" i="4"/>
  <c r="N129" i="4"/>
  <c r="O129" i="4"/>
  <c r="L1031" i="4"/>
  <c r="M1031" i="4" s="1"/>
  <c r="P1030" i="4"/>
  <c r="Q1030" i="4"/>
  <c r="N1030" i="4"/>
  <c r="R1030" i="4"/>
  <c r="S1030" i="4"/>
  <c r="O1030" i="4"/>
  <c r="L963" i="4"/>
  <c r="M963" i="4" s="1"/>
  <c r="N962" i="4"/>
  <c r="R962" i="4"/>
  <c r="O962" i="4"/>
  <c r="P962" i="4"/>
  <c r="Q962" i="4"/>
  <c r="S962" i="4"/>
  <c r="L232" i="4"/>
  <c r="M232" i="4" s="1"/>
  <c r="O231" i="4"/>
  <c r="S231" i="4"/>
  <c r="N231" i="4"/>
  <c r="P231" i="4"/>
  <c r="Q231" i="4"/>
  <c r="R231" i="4"/>
  <c r="L997" i="4"/>
  <c r="M997" i="4" s="1"/>
  <c r="P996" i="4"/>
  <c r="Q996" i="4"/>
  <c r="N996" i="4"/>
  <c r="R996" i="4"/>
  <c r="O996" i="4"/>
  <c r="S996" i="4"/>
  <c r="L385" i="4"/>
  <c r="M385" i="4" s="1"/>
  <c r="N384" i="4"/>
  <c r="R384" i="4"/>
  <c r="O384" i="4"/>
  <c r="S384" i="4"/>
  <c r="P384" i="4"/>
  <c r="Q384" i="4"/>
  <c r="L980" i="4"/>
  <c r="M980" i="4" s="1"/>
  <c r="N979" i="4"/>
  <c r="R979" i="4"/>
  <c r="O979" i="4"/>
  <c r="S979" i="4"/>
  <c r="P979" i="4"/>
  <c r="Q979" i="4"/>
  <c r="L1065" i="4"/>
  <c r="M1065" i="4" s="1"/>
  <c r="P1064" i="4"/>
  <c r="Q1064" i="4"/>
  <c r="N1064" i="4"/>
  <c r="R1064" i="4"/>
  <c r="O1064" i="4"/>
  <c r="S1064" i="4"/>
  <c r="L1184" i="4"/>
  <c r="M1184" i="4" s="1"/>
  <c r="N1183" i="4"/>
  <c r="R1183" i="4"/>
  <c r="O1183" i="4"/>
  <c r="S1183" i="4"/>
  <c r="P1183" i="4"/>
  <c r="Q1183" i="4"/>
  <c r="L1134" i="4"/>
  <c r="M1134" i="4" s="1"/>
  <c r="N1133" i="4"/>
  <c r="R1133" i="4"/>
  <c r="O1133" i="4"/>
  <c r="S1133" i="4"/>
  <c r="P1133" i="4"/>
  <c r="Q1133" i="4"/>
  <c r="L1252" i="4"/>
  <c r="M1252" i="4" s="1"/>
  <c r="N1251" i="4"/>
  <c r="R1251" i="4"/>
  <c r="O1251" i="4"/>
  <c r="S1251" i="4"/>
  <c r="P1251" i="4"/>
  <c r="Q1251" i="4"/>
  <c r="L1235" i="4"/>
  <c r="M1235" i="4" s="1"/>
  <c r="P1234" i="4"/>
  <c r="Q1234" i="4"/>
  <c r="N1234" i="4"/>
  <c r="R1234" i="4"/>
  <c r="O1234" i="4"/>
  <c r="S1234" i="4"/>
  <c r="L861" i="4"/>
  <c r="M861" i="4" s="1"/>
  <c r="Q860" i="4"/>
  <c r="N860" i="4"/>
  <c r="R860" i="4"/>
  <c r="O860" i="4"/>
  <c r="P860" i="4"/>
  <c r="S860" i="4"/>
  <c r="L1099" i="4"/>
  <c r="M1099" i="4" s="1"/>
  <c r="P1098" i="4"/>
  <c r="Q1098" i="4"/>
  <c r="N1098" i="4"/>
  <c r="R1098" i="4"/>
  <c r="O1098" i="4"/>
  <c r="S1098" i="4"/>
  <c r="L1202" i="4"/>
  <c r="M1202" i="4" s="1"/>
  <c r="N1201" i="4"/>
  <c r="R1201" i="4"/>
  <c r="O1201" i="4"/>
  <c r="S1201" i="4"/>
  <c r="P1201" i="4"/>
  <c r="Q1201" i="4"/>
  <c r="L368" i="4"/>
  <c r="M368" i="4" s="1"/>
  <c r="O367" i="4"/>
  <c r="P367" i="4"/>
  <c r="Q367" i="4"/>
  <c r="R367" i="4"/>
  <c r="N367" i="4"/>
  <c r="S367" i="4"/>
  <c r="L589" i="4"/>
  <c r="M589" i="4" s="1"/>
  <c r="O588" i="4"/>
  <c r="S588" i="4"/>
  <c r="P588" i="4"/>
  <c r="Q588" i="4"/>
  <c r="R588" i="4"/>
  <c r="N588" i="4"/>
  <c r="L794" i="4"/>
  <c r="M794" i="4" s="1"/>
  <c r="O793" i="4"/>
  <c r="S793" i="4"/>
  <c r="P793" i="4"/>
  <c r="Q793" i="4"/>
  <c r="R793" i="4"/>
  <c r="N793" i="4"/>
  <c r="L810" i="4"/>
  <c r="M810" i="4" s="1"/>
  <c r="O809" i="4"/>
  <c r="S809" i="4"/>
  <c r="P809" i="4"/>
  <c r="N809" i="4"/>
  <c r="Q809" i="4"/>
  <c r="R809" i="4"/>
  <c r="L555" i="4"/>
  <c r="M555" i="4" s="1"/>
  <c r="N554" i="4"/>
  <c r="R554" i="4"/>
  <c r="O554" i="4"/>
  <c r="S554" i="4"/>
  <c r="P554" i="4"/>
  <c r="Q554" i="4"/>
  <c r="L12" i="4"/>
  <c r="M12" i="4" s="1"/>
  <c r="O11" i="4"/>
  <c r="S11" i="4"/>
  <c r="P11" i="4"/>
  <c r="N11" i="4"/>
  <c r="Q11" i="4"/>
  <c r="R11" i="4"/>
  <c r="L419" i="4"/>
  <c r="M419" i="4" s="1"/>
  <c r="N418" i="4"/>
  <c r="R418" i="4"/>
  <c r="O418" i="4"/>
  <c r="S418" i="4"/>
  <c r="P418" i="4"/>
  <c r="Q418" i="4"/>
  <c r="N266" i="4"/>
  <c r="R266" i="4"/>
  <c r="P266" i="4"/>
  <c r="Q266" i="4"/>
  <c r="S266" i="4"/>
  <c r="O266" i="4"/>
  <c r="L267" i="4"/>
  <c r="M267" i="4" s="1"/>
  <c r="Q639" i="4"/>
  <c r="N639" i="4"/>
  <c r="R639" i="4"/>
  <c r="O639" i="4"/>
  <c r="S639" i="4"/>
  <c r="P639" i="4"/>
  <c r="L640" i="4"/>
  <c r="M640" i="4" s="1"/>
  <c r="L504" i="4"/>
  <c r="M504" i="4" s="1"/>
  <c r="P503" i="4"/>
  <c r="Q503" i="4"/>
  <c r="N503" i="4"/>
  <c r="R503" i="4"/>
  <c r="O503" i="4"/>
  <c r="S503" i="4"/>
  <c r="P571" i="4"/>
  <c r="Q571" i="4"/>
  <c r="N571" i="4"/>
  <c r="R571" i="4"/>
  <c r="O571" i="4"/>
  <c r="S571" i="4"/>
  <c r="L572" i="4"/>
  <c r="M572" i="4" s="1"/>
  <c r="L181" i="4"/>
  <c r="M181" i="4" s="1"/>
  <c r="Q180" i="4"/>
  <c r="N180" i="4"/>
  <c r="R180" i="4"/>
  <c r="S180" i="4"/>
  <c r="O180" i="4"/>
  <c r="P180" i="4"/>
  <c r="L300" i="4"/>
  <c r="M300" i="4" s="1"/>
  <c r="P299" i="4"/>
  <c r="R299" i="4"/>
  <c r="N299" i="4"/>
  <c r="S299" i="4"/>
  <c r="O299" i="4"/>
  <c r="Q299" i="4"/>
  <c r="L28" i="4"/>
  <c r="M28" i="4" s="1"/>
  <c r="P27" i="4"/>
  <c r="Q27" i="4"/>
  <c r="N27" i="4"/>
  <c r="R27" i="4"/>
  <c r="S27" i="4"/>
  <c r="O27" i="4"/>
  <c r="L45" i="4"/>
  <c r="M45" i="4" s="1"/>
  <c r="N44" i="4"/>
  <c r="R44" i="4"/>
  <c r="O44" i="4"/>
  <c r="S44" i="4"/>
  <c r="P44" i="4"/>
  <c r="Q44" i="4"/>
  <c r="L487" i="4"/>
  <c r="M487" i="4" s="1"/>
  <c r="N486" i="4"/>
  <c r="R486" i="4"/>
  <c r="O486" i="4"/>
  <c r="S486" i="4"/>
  <c r="P486" i="4"/>
  <c r="Q486" i="4"/>
  <c r="L164" i="4"/>
  <c r="M164" i="4" s="1"/>
  <c r="Q163" i="4"/>
  <c r="R163" i="4"/>
  <c r="N163" i="4"/>
  <c r="S163" i="4"/>
  <c r="O163" i="4"/>
  <c r="P163" i="4"/>
  <c r="L929" i="4"/>
  <c r="M929" i="4" s="1"/>
  <c r="N928" i="4"/>
  <c r="R928" i="4"/>
  <c r="S928" i="4"/>
  <c r="O928" i="4"/>
  <c r="P928" i="4"/>
  <c r="Q928" i="4"/>
  <c r="B10" i="6"/>
  <c r="A10" i="6" s="1"/>
  <c r="A11" i="6" s="1"/>
  <c r="B10" i="1"/>
  <c r="A10" i="1" s="1"/>
  <c r="A11" i="1" s="1"/>
  <c r="B10" i="7"/>
  <c r="A10" i="7" s="1"/>
  <c r="A11" i="7" s="1"/>
  <c r="J6" i="1"/>
  <c r="J7" i="1" s="1"/>
  <c r="J8" i="1" s="1"/>
  <c r="J9" i="1" s="1"/>
  <c r="J10" i="1" s="1"/>
  <c r="J11" i="1" s="1"/>
  <c r="Q453" i="4" l="1"/>
  <c r="S453" i="4"/>
  <c r="O453" i="4"/>
  <c r="P453" i="4"/>
  <c r="R453" i="4"/>
  <c r="L454" i="4"/>
  <c r="M454" i="4" s="1"/>
  <c r="N453" i="4"/>
  <c r="Q470" i="4"/>
  <c r="R470" i="4"/>
  <c r="Q1337" i="4"/>
  <c r="Q828" i="4"/>
  <c r="R1337" i="4"/>
  <c r="L607" i="4"/>
  <c r="M607" i="4" s="1"/>
  <c r="S742" i="4"/>
  <c r="N742" i="4"/>
  <c r="R878" i="4"/>
  <c r="P1337" i="4"/>
  <c r="N1337" i="4"/>
  <c r="P470" i="4"/>
  <c r="O725" i="4"/>
  <c r="S470" i="4"/>
  <c r="L471" i="4"/>
  <c r="M471" i="4" s="1"/>
  <c r="S1337" i="4"/>
  <c r="L1338" i="4"/>
  <c r="M1338" i="4" s="1"/>
  <c r="N470" i="4"/>
  <c r="O470" i="4"/>
  <c r="P828" i="4"/>
  <c r="O1337" i="4"/>
  <c r="Q606" i="4"/>
  <c r="N62" i="4"/>
  <c r="P606" i="4"/>
  <c r="O198" i="4"/>
  <c r="N606" i="4"/>
  <c r="S606" i="4"/>
  <c r="S198" i="4"/>
  <c r="R606" i="4"/>
  <c r="O606" i="4"/>
  <c r="Q198" i="4"/>
  <c r="R198" i="4"/>
  <c r="P198" i="4"/>
  <c r="N198" i="4"/>
  <c r="R742" i="4"/>
  <c r="O742" i="4"/>
  <c r="S878" i="4"/>
  <c r="N878" i="4"/>
  <c r="Q742" i="4"/>
  <c r="L743" i="4"/>
  <c r="M743" i="4" s="1"/>
  <c r="P878" i="4"/>
  <c r="Q878" i="4"/>
  <c r="P742" i="4"/>
  <c r="O878" i="4"/>
  <c r="L879" i="4"/>
  <c r="M879" i="4" s="1"/>
  <c r="P62" i="4"/>
  <c r="S62" i="4"/>
  <c r="L726" i="4"/>
  <c r="M726" i="4" s="1"/>
  <c r="R725" i="4"/>
  <c r="O828" i="4"/>
  <c r="L829" i="4"/>
  <c r="M829" i="4" s="1"/>
  <c r="P725" i="4"/>
  <c r="N725" i="4"/>
  <c r="R828" i="4"/>
  <c r="S725" i="4"/>
  <c r="Q725" i="4"/>
  <c r="S828" i="4"/>
  <c r="N828" i="4"/>
  <c r="Q1082" i="4"/>
  <c r="L63" i="4"/>
  <c r="M63" i="4" s="1"/>
  <c r="O62" i="4"/>
  <c r="Q62" i="4"/>
  <c r="R62" i="4"/>
  <c r="R283" i="4"/>
  <c r="O283" i="4"/>
  <c r="Q283" i="4"/>
  <c r="S283" i="4"/>
  <c r="P283" i="4"/>
  <c r="N283" i="4"/>
  <c r="L284" i="4"/>
  <c r="M284" i="4" s="1"/>
  <c r="L658" i="4"/>
  <c r="M658" i="4" s="1"/>
  <c r="R657" i="4"/>
  <c r="P1082" i="4"/>
  <c r="S1082" i="4"/>
  <c r="O1082" i="4"/>
  <c r="R1082" i="4"/>
  <c r="L1083" i="4"/>
  <c r="M1083" i="4" s="1"/>
  <c r="N1082" i="4"/>
  <c r="P657" i="4"/>
  <c r="N657" i="4"/>
  <c r="S657" i="4"/>
  <c r="Q657" i="4"/>
  <c r="O657" i="4"/>
  <c r="R895" i="4"/>
  <c r="S895" i="4"/>
  <c r="Q895" i="4"/>
  <c r="O895" i="4"/>
  <c r="N895" i="4"/>
  <c r="L896" i="4"/>
  <c r="M896" i="4" s="1"/>
  <c r="P895" i="4"/>
  <c r="N521" i="4"/>
  <c r="M521" i="4"/>
  <c r="M351" i="4"/>
  <c r="S351" i="4"/>
  <c r="R351" i="4"/>
  <c r="P351" i="4"/>
  <c r="L352" i="4"/>
  <c r="Q351" i="4"/>
  <c r="O351" i="4"/>
  <c r="N351" i="4"/>
  <c r="M674" i="4"/>
  <c r="O674" i="4"/>
  <c r="N674" i="4"/>
  <c r="S674" i="4"/>
  <c r="R674" i="4"/>
  <c r="P674" i="4"/>
  <c r="L675" i="4"/>
  <c r="Q674" i="4"/>
  <c r="M844" i="4"/>
  <c r="R844" i="4"/>
  <c r="L845" i="4"/>
  <c r="S844" i="4"/>
  <c r="Q844" i="4"/>
  <c r="O844" i="4"/>
  <c r="N844" i="4"/>
  <c r="P844" i="4"/>
  <c r="M147" i="4"/>
  <c r="L148" i="4"/>
  <c r="S147" i="4"/>
  <c r="Q147" i="4"/>
  <c r="N147" i="4"/>
  <c r="P147" i="4"/>
  <c r="O147" i="4"/>
  <c r="R147" i="4"/>
  <c r="M1048" i="4"/>
  <c r="L1049" i="4"/>
  <c r="R1048" i="4"/>
  <c r="P1048" i="4"/>
  <c r="S1048" i="4"/>
  <c r="Q1048" i="4"/>
  <c r="O1048" i="4"/>
  <c r="N1048" i="4"/>
  <c r="O521" i="4"/>
  <c r="Q521" i="4"/>
  <c r="I13" i="5"/>
  <c r="J13" i="5" s="1"/>
  <c r="L12" i="5"/>
  <c r="E3" i="13" s="1"/>
  <c r="I15" i="5"/>
  <c r="J15" i="5" s="1"/>
  <c r="I11" i="5"/>
  <c r="J11" i="5" s="1"/>
  <c r="L14" i="5"/>
  <c r="F3" i="13" s="1"/>
  <c r="L10" i="5"/>
  <c r="D3" i="13" s="1"/>
  <c r="P521" i="4"/>
  <c r="S521" i="4"/>
  <c r="R521" i="4"/>
  <c r="L522" i="4"/>
  <c r="C10" i="6"/>
  <c r="C10" i="1"/>
  <c r="C10" i="7"/>
  <c r="R538" i="4"/>
  <c r="Q538" i="4"/>
  <c r="O538" i="4"/>
  <c r="L539" i="4"/>
  <c r="M539" i="4" s="1"/>
  <c r="S538" i="4"/>
  <c r="N538" i="4"/>
  <c r="P538" i="4"/>
  <c r="L760" i="4"/>
  <c r="M760" i="4" s="1"/>
  <c r="Q759" i="4"/>
  <c r="N759" i="4"/>
  <c r="R759" i="4"/>
  <c r="O759" i="4"/>
  <c r="S759" i="4"/>
  <c r="P759" i="4"/>
  <c r="Q63" i="4"/>
  <c r="N63" i="4"/>
  <c r="L727" i="4"/>
  <c r="M727" i="4" s="1"/>
  <c r="O726" i="4"/>
  <c r="Q726" i="4"/>
  <c r="N726" i="4"/>
  <c r="L573" i="4"/>
  <c r="M573" i="4" s="1"/>
  <c r="N572" i="4"/>
  <c r="R572" i="4"/>
  <c r="O572" i="4"/>
  <c r="S572" i="4"/>
  <c r="P572" i="4"/>
  <c r="Q572" i="4"/>
  <c r="L641" i="4"/>
  <c r="M641" i="4" s="1"/>
  <c r="O640" i="4"/>
  <c r="S640" i="4"/>
  <c r="P640" i="4"/>
  <c r="Q640" i="4"/>
  <c r="N640" i="4"/>
  <c r="R640" i="4"/>
  <c r="L268" i="4"/>
  <c r="M268" i="4" s="1"/>
  <c r="P267" i="4"/>
  <c r="O267" i="4"/>
  <c r="Q267" i="4"/>
  <c r="R267" i="4"/>
  <c r="N267" i="4"/>
  <c r="S267" i="4"/>
  <c r="L930" i="4"/>
  <c r="M930" i="4" s="1"/>
  <c r="P929" i="4"/>
  <c r="R929" i="4"/>
  <c r="N929" i="4"/>
  <c r="S929" i="4"/>
  <c r="O929" i="4"/>
  <c r="Q929" i="4"/>
  <c r="L165" i="4"/>
  <c r="M165" i="4" s="1"/>
  <c r="O164" i="4"/>
  <c r="S164" i="4"/>
  <c r="Q164" i="4"/>
  <c r="R164" i="4"/>
  <c r="N164" i="4"/>
  <c r="P164" i="4"/>
  <c r="L488" i="4"/>
  <c r="M488" i="4" s="1"/>
  <c r="P487" i="4"/>
  <c r="Q487" i="4"/>
  <c r="N487" i="4"/>
  <c r="R487" i="4"/>
  <c r="S487" i="4"/>
  <c r="O487" i="4"/>
  <c r="L46" i="4"/>
  <c r="M46" i="4" s="1"/>
  <c r="P45" i="4"/>
  <c r="Q45" i="4"/>
  <c r="N45" i="4"/>
  <c r="R45" i="4"/>
  <c r="S45" i="4"/>
  <c r="O45" i="4"/>
  <c r="L29" i="4"/>
  <c r="M29" i="4" s="1"/>
  <c r="N28" i="4"/>
  <c r="R28" i="4"/>
  <c r="O28" i="4"/>
  <c r="S28" i="4"/>
  <c r="P28" i="4"/>
  <c r="Q28" i="4"/>
  <c r="L301" i="4"/>
  <c r="M301" i="4" s="1"/>
  <c r="N300" i="4"/>
  <c r="R300" i="4"/>
  <c r="Q300" i="4"/>
  <c r="S300" i="4"/>
  <c r="O300" i="4"/>
  <c r="P300" i="4"/>
  <c r="L182" i="4"/>
  <c r="M182" i="4" s="1"/>
  <c r="O181" i="4"/>
  <c r="S181" i="4"/>
  <c r="P181" i="4"/>
  <c r="N181" i="4"/>
  <c r="Q181" i="4"/>
  <c r="R181" i="4"/>
  <c r="L505" i="4"/>
  <c r="M505" i="4" s="1"/>
  <c r="N504" i="4"/>
  <c r="R504" i="4"/>
  <c r="O504" i="4"/>
  <c r="S504" i="4"/>
  <c r="P504" i="4"/>
  <c r="Q504" i="4"/>
  <c r="R454" i="4"/>
  <c r="Q454" i="4"/>
  <c r="L420" i="4"/>
  <c r="M420" i="4" s="1"/>
  <c r="P419" i="4"/>
  <c r="Q419" i="4"/>
  <c r="N419" i="4"/>
  <c r="R419" i="4"/>
  <c r="O419" i="4"/>
  <c r="S419" i="4"/>
  <c r="L13" i="4"/>
  <c r="M13" i="4" s="1"/>
  <c r="N12" i="4"/>
  <c r="R12" i="4"/>
  <c r="O12" i="4"/>
  <c r="S12" i="4"/>
  <c r="P12" i="4"/>
  <c r="Q12" i="4"/>
  <c r="L556" i="4"/>
  <c r="M556" i="4" s="1"/>
  <c r="P555" i="4"/>
  <c r="Q555" i="4"/>
  <c r="N555" i="4"/>
  <c r="R555" i="4"/>
  <c r="O555" i="4"/>
  <c r="S555" i="4"/>
  <c r="L744" i="4"/>
  <c r="M744" i="4" s="1"/>
  <c r="Q743" i="4"/>
  <c r="N743" i="4"/>
  <c r="R743" i="4"/>
  <c r="O743" i="4"/>
  <c r="S743" i="4"/>
  <c r="P743" i="4"/>
  <c r="O607" i="4"/>
  <c r="L811" i="4"/>
  <c r="M811" i="4" s="1"/>
  <c r="Q810" i="4"/>
  <c r="N810" i="4"/>
  <c r="R810" i="4"/>
  <c r="O810" i="4"/>
  <c r="P810" i="4"/>
  <c r="S810" i="4"/>
  <c r="L795" i="4"/>
  <c r="M795" i="4" s="1"/>
  <c r="Q794" i="4"/>
  <c r="N794" i="4"/>
  <c r="R794" i="4"/>
  <c r="S794" i="4"/>
  <c r="O794" i="4"/>
  <c r="P794" i="4"/>
  <c r="L590" i="4"/>
  <c r="M590" i="4" s="1"/>
  <c r="Q589" i="4"/>
  <c r="N589" i="4"/>
  <c r="R589" i="4"/>
  <c r="O589" i="4"/>
  <c r="S589" i="4"/>
  <c r="P589" i="4"/>
  <c r="L369" i="4"/>
  <c r="M369" i="4" s="1"/>
  <c r="N368" i="4"/>
  <c r="R368" i="4"/>
  <c r="O368" i="4"/>
  <c r="S368" i="4"/>
  <c r="P368" i="4"/>
  <c r="Q368" i="4"/>
  <c r="L1203" i="4"/>
  <c r="M1203" i="4" s="1"/>
  <c r="P1202" i="4"/>
  <c r="Q1202" i="4"/>
  <c r="N1202" i="4"/>
  <c r="R1202" i="4"/>
  <c r="S1202" i="4"/>
  <c r="O1202" i="4"/>
  <c r="L1100" i="4"/>
  <c r="M1100" i="4" s="1"/>
  <c r="N1099" i="4"/>
  <c r="R1099" i="4"/>
  <c r="O1099" i="4"/>
  <c r="S1099" i="4"/>
  <c r="P1099" i="4"/>
  <c r="Q1099" i="4"/>
  <c r="L862" i="4"/>
  <c r="M862" i="4" s="1"/>
  <c r="O861" i="4"/>
  <c r="S861" i="4"/>
  <c r="P861" i="4"/>
  <c r="Q861" i="4"/>
  <c r="R861" i="4"/>
  <c r="N861" i="4"/>
  <c r="L1236" i="4"/>
  <c r="M1236" i="4" s="1"/>
  <c r="N1235" i="4"/>
  <c r="R1235" i="4"/>
  <c r="O1235" i="4"/>
  <c r="S1235" i="4"/>
  <c r="P1235" i="4"/>
  <c r="Q1235" i="4"/>
  <c r="L1253" i="4"/>
  <c r="M1253" i="4" s="1"/>
  <c r="P1252" i="4"/>
  <c r="Q1252" i="4"/>
  <c r="N1252" i="4"/>
  <c r="R1252" i="4"/>
  <c r="O1252" i="4"/>
  <c r="S1252" i="4"/>
  <c r="L1135" i="4"/>
  <c r="M1135" i="4" s="1"/>
  <c r="P1134" i="4"/>
  <c r="Q1134" i="4"/>
  <c r="N1134" i="4"/>
  <c r="R1134" i="4"/>
  <c r="O1134" i="4"/>
  <c r="S1134" i="4"/>
  <c r="L1185" i="4"/>
  <c r="M1185" i="4" s="1"/>
  <c r="P1184" i="4"/>
  <c r="Q1184" i="4"/>
  <c r="N1184" i="4"/>
  <c r="R1184" i="4"/>
  <c r="S1184" i="4"/>
  <c r="O1184" i="4"/>
  <c r="L1066" i="4"/>
  <c r="M1066" i="4" s="1"/>
  <c r="N1065" i="4"/>
  <c r="R1065" i="4"/>
  <c r="O1065" i="4"/>
  <c r="S1065" i="4"/>
  <c r="P1065" i="4"/>
  <c r="Q1065" i="4"/>
  <c r="L981" i="4"/>
  <c r="M981" i="4" s="1"/>
  <c r="P980" i="4"/>
  <c r="Q980" i="4"/>
  <c r="N980" i="4"/>
  <c r="R980" i="4"/>
  <c r="O980" i="4"/>
  <c r="S980" i="4"/>
  <c r="L386" i="4"/>
  <c r="M386" i="4" s="1"/>
  <c r="P385" i="4"/>
  <c r="Q385" i="4"/>
  <c r="N385" i="4"/>
  <c r="R385" i="4"/>
  <c r="O385" i="4"/>
  <c r="S385" i="4"/>
  <c r="L998" i="4"/>
  <c r="M998" i="4" s="1"/>
  <c r="N997" i="4"/>
  <c r="R997" i="4"/>
  <c r="O997" i="4"/>
  <c r="S997" i="4"/>
  <c r="P997" i="4"/>
  <c r="Q997" i="4"/>
  <c r="L233" i="4"/>
  <c r="M233" i="4" s="1"/>
  <c r="Q232" i="4"/>
  <c r="N232" i="4"/>
  <c r="S232" i="4"/>
  <c r="O232" i="4"/>
  <c r="P232" i="4"/>
  <c r="R232" i="4"/>
  <c r="L964" i="4"/>
  <c r="M964" i="4" s="1"/>
  <c r="P963" i="4"/>
  <c r="N963" i="4"/>
  <c r="S963" i="4"/>
  <c r="O963" i="4"/>
  <c r="Q963" i="4"/>
  <c r="R963" i="4"/>
  <c r="L1032" i="4"/>
  <c r="M1032" i="4" s="1"/>
  <c r="N1031" i="4"/>
  <c r="R1031" i="4"/>
  <c r="O1031" i="4"/>
  <c r="S1031" i="4"/>
  <c r="P1031" i="4"/>
  <c r="Q1031" i="4"/>
  <c r="L131" i="4"/>
  <c r="M131" i="4" s="1"/>
  <c r="O130" i="4"/>
  <c r="S130" i="4"/>
  <c r="P130" i="4"/>
  <c r="Q130" i="4"/>
  <c r="N130" i="4"/>
  <c r="R130" i="4"/>
  <c r="L778" i="4"/>
  <c r="M778" i="4" s="1"/>
  <c r="Q777" i="4"/>
  <c r="N777" i="4"/>
  <c r="R777" i="4"/>
  <c r="O777" i="4"/>
  <c r="S777" i="4"/>
  <c r="P777" i="4"/>
  <c r="L709" i="4"/>
  <c r="M709" i="4" s="1"/>
  <c r="O708" i="4"/>
  <c r="S708" i="4"/>
  <c r="P708" i="4"/>
  <c r="Q708" i="4"/>
  <c r="N708" i="4"/>
  <c r="R708" i="4"/>
  <c r="L335" i="4"/>
  <c r="M335" i="4" s="1"/>
  <c r="Q334" i="4"/>
  <c r="N334" i="4"/>
  <c r="R334" i="4"/>
  <c r="O334" i="4"/>
  <c r="S334" i="4"/>
  <c r="P334" i="4"/>
  <c r="L1117" i="4"/>
  <c r="M1117" i="4" s="1"/>
  <c r="P1116" i="4"/>
  <c r="Q1116" i="4"/>
  <c r="N1116" i="4"/>
  <c r="R1116" i="4"/>
  <c r="O1116" i="4"/>
  <c r="S1116" i="4"/>
  <c r="L1304" i="4"/>
  <c r="M1304" i="4" s="1"/>
  <c r="N1303" i="4"/>
  <c r="R1303" i="4"/>
  <c r="O1303" i="4"/>
  <c r="S1303" i="4"/>
  <c r="P1303" i="4"/>
  <c r="Q1303" i="4"/>
  <c r="L1271" i="4"/>
  <c r="M1271" i="4" s="1"/>
  <c r="P1270" i="4"/>
  <c r="Q1270" i="4"/>
  <c r="N1270" i="4"/>
  <c r="R1270" i="4"/>
  <c r="O1270" i="4"/>
  <c r="S1270" i="4"/>
  <c r="L1321" i="4"/>
  <c r="M1321" i="4" s="1"/>
  <c r="P1320" i="4"/>
  <c r="Q1320" i="4"/>
  <c r="N1320" i="4"/>
  <c r="R1320" i="4"/>
  <c r="S1320" i="4"/>
  <c r="O1320" i="4"/>
  <c r="L82" i="4"/>
  <c r="M82" i="4" s="1"/>
  <c r="O81" i="4"/>
  <c r="S81" i="4"/>
  <c r="P81" i="4"/>
  <c r="Q81" i="4"/>
  <c r="R81" i="4"/>
  <c r="N81" i="4"/>
  <c r="L1287" i="4"/>
  <c r="M1287" i="4" s="1"/>
  <c r="P1286" i="4"/>
  <c r="Q1286" i="4"/>
  <c r="N1286" i="4"/>
  <c r="R1286" i="4"/>
  <c r="O1286" i="4"/>
  <c r="S1286" i="4"/>
  <c r="L403" i="4"/>
  <c r="M403" i="4" s="1"/>
  <c r="N402" i="4"/>
  <c r="R402" i="4"/>
  <c r="O402" i="4"/>
  <c r="S402" i="4"/>
  <c r="P402" i="4"/>
  <c r="Q402" i="4"/>
  <c r="L216" i="4"/>
  <c r="M216" i="4" s="1"/>
  <c r="O215" i="4"/>
  <c r="S215" i="4"/>
  <c r="P215" i="4"/>
  <c r="Q215" i="4"/>
  <c r="R215" i="4"/>
  <c r="N215" i="4"/>
  <c r="L250" i="4"/>
  <c r="M250" i="4" s="1"/>
  <c r="O249" i="4"/>
  <c r="S249" i="4"/>
  <c r="P249" i="4"/>
  <c r="Q249" i="4"/>
  <c r="R249" i="4"/>
  <c r="N249" i="4"/>
  <c r="L1219" i="4"/>
  <c r="M1219" i="4" s="1"/>
  <c r="P1218" i="4"/>
  <c r="Q1218" i="4"/>
  <c r="N1218" i="4"/>
  <c r="R1218" i="4"/>
  <c r="O1218" i="4"/>
  <c r="S1218" i="4"/>
  <c r="L114" i="4"/>
  <c r="M114" i="4" s="1"/>
  <c r="O113" i="4"/>
  <c r="S113" i="4"/>
  <c r="P113" i="4"/>
  <c r="Q113" i="4"/>
  <c r="N113" i="4"/>
  <c r="R113" i="4"/>
  <c r="L947" i="4"/>
  <c r="M947" i="4" s="1"/>
  <c r="N946" i="4"/>
  <c r="R946" i="4"/>
  <c r="S946" i="4"/>
  <c r="O946" i="4"/>
  <c r="P946" i="4"/>
  <c r="Q946" i="4"/>
  <c r="L692" i="4"/>
  <c r="M692" i="4" s="1"/>
  <c r="Q691" i="4"/>
  <c r="N691" i="4"/>
  <c r="R691" i="4"/>
  <c r="O691" i="4"/>
  <c r="S691" i="4"/>
  <c r="P691" i="4"/>
  <c r="L1151" i="4"/>
  <c r="M1151" i="4" s="1"/>
  <c r="P1150" i="4"/>
  <c r="Q1150" i="4"/>
  <c r="N1150" i="4"/>
  <c r="R1150" i="4"/>
  <c r="O1150" i="4"/>
  <c r="S1150" i="4"/>
  <c r="L914" i="4"/>
  <c r="M914" i="4" s="1"/>
  <c r="O913" i="4"/>
  <c r="S913" i="4"/>
  <c r="P913" i="4"/>
  <c r="N913" i="4"/>
  <c r="Q913" i="4"/>
  <c r="R913" i="4"/>
  <c r="L97" i="4"/>
  <c r="M97" i="4" s="1"/>
  <c r="Q96" i="4"/>
  <c r="N96" i="4"/>
  <c r="R96" i="4"/>
  <c r="O96" i="4"/>
  <c r="S96" i="4"/>
  <c r="P96" i="4"/>
  <c r="L1168" i="4"/>
  <c r="M1168" i="4" s="1"/>
  <c r="N1167" i="4"/>
  <c r="R1167" i="4"/>
  <c r="O1167" i="4"/>
  <c r="S1167" i="4"/>
  <c r="P1167" i="4"/>
  <c r="Q1167" i="4"/>
  <c r="L1015" i="4"/>
  <c r="M1015" i="4" s="1"/>
  <c r="P1014" i="4"/>
  <c r="Q1014" i="4"/>
  <c r="N1014" i="4"/>
  <c r="R1014" i="4"/>
  <c r="O1014" i="4"/>
  <c r="S1014" i="4"/>
  <c r="L318" i="4"/>
  <c r="M318" i="4" s="1"/>
  <c r="O317" i="4"/>
  <c r="S317" i="4"/>
  <c r="P317" i="4"/>
  <c r="Q317" i="4"/>
  <c r="N317" i="4"/>
  <c r="R317" i="4"/>
  <c r="L437" i="4"/>
  <c r="M437" i="4" s="1"/>
  <c r="N436" i="4"/>
  <c r="R436" i="4"/>
  <c r="O436" i="4"/>
  <c r="S436" i="4"/>
  <c r="P436" i="4"/>
  <c r="Q436" i="4"/>
  <c r="L200" i="4"/>
  <c r="M200" i="4" s="1"/>
  <c r="O199" i="4"/>
  <c r="S199" i="4"/>
  <c r="P199" i="4"/>
  <c r="N199" i="4"/>
  <c r="Q199" i="4"/>
  <c r="R199" i="4"/>
  <c r="L624" i="4"/>
  <c r="M624" i="4" s="1"/>
  <c r="Q623" i="4"/>
  <c r="N623" i="4"/>
  <c r="R623" i="4"/>
  <c r="O623" i="4"/>
  <c r="S623" i="4"/>
  <c r="P623" i="4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P454" i="4" l="1"/>
  <c r="N454" i="4"/>
  <c r="S454" i="4"/>
  <c r="L455" i="4"/>
  <c r="M455" i="4" s="1"/>
  <c r="N471" i="4"/>
  <c r="O454" i="4"/>
  <c r="P726" i="4"/>
  <c r="O63" i="4"/>
  <c r="P63" i="4"/>
  <c r="R726" i="4"/>
  <c r="S726" i="4"/>
  <c r="S63" i="4"/>
  <c r="L608" i="4"/>
  <c r="M608" i="4" s="1"/>
  <c r="R607" i="4"/>
  <c r="P607" i="4"/>
  <c r="N607" i="4"/>
  <c r="S607" i="4"/>
  <c r="Q607" i="4"/>
  <c r="S1338" i="4"/>
  <c r="P1338" i="4"/>
  <c r="Q284" i="4"/>
  <c r="L285" i="4"/>
  <c r="M285" i="4" s="1"/>
  <c r="S471" i="4"/>
  <c r="Q471" i="4"/>
  <c r="O471" i="4"/>
  <c r="P471" i="4"/>
  <c r="R471" i="4"/>
  <c r="L472" i="4"/>
  <c r="M472" i="4" s="1"/>
  <c r="R1338" i="4"/>
  <c r="L1339" i="4"/>
  <c r="M1339" i="4" s="1"/>
  <c r="N1338" i="4"/>
  <c r="R879" i="4"/>
  <c r="O1338" i="4"/>
  <c r="Q1338" i="4"/>
  <c r="O879" i="4"/>
  <c r="R63" i="4"/>
  <c r="L64" i="4"/>
  <c r="M64" i="4" s="1"/>
  <c r="Q879" i="4"/>
  <c r="L880" i="4"/>
  <c r="M880" i="4" s="1"/>
  <c r="P879" i="4"/>
  <c r="L897" i="4"/>
  <c r="M897" i="4" s="1"/>
  <c r="N879" i="4"/>
  <c r="S879" i="4"/>
  <c r="O1083" i="4"/>
  <c r="P829" i="4"/>
  <c r="Q1083" i="4"/>
  <c r="R1083" i="4"/>
  <c r="P1083" i="4"/>
  <c r="N1083" i="4"/>
  <c r="O896" i="4"/>
  <c r="S1083" i="4"/>
  <c r="L1084" i="4"/>
  <c r="M1084" i="4" s="1"/>
  <c r="N829" i="4"/>
  <c r="S829" i="4"/>
  <c r="R829" i="4"/>
  <c r="O829" i="4"/>
  <c r="Q829" i="4"/>
  <c r="L830" i="4"/>
  <c r="M830" i="4" s="1"/>
  <c r="P284" i="4"/>
  <c r="O284" i="4"/>
  <c r="R284" i="4"/>
  <c r="S284" i="4"/>
  <c r="N284" i="4"/>
  <c r="R658" i="4"/>
  <c r="S658" i="4"/>
  <c r="N658" i="4"/>
  <c r="O658" i="4"/>
  <c r="Q658" i="4"/>
  <c r="L659" i="4"/>
  <c r="M659" i="4" s="1"/>
  <c r="P658" i="4"/>
  <c r="R896" i="4"/>
  <c r="S896" i="4"/>
  <c r="N896" i="4"/>
  <c r="P896" i="4"/>
  <c r="Q896" i="4"/>
  <c r="M1049" i="4"/>
  <c r="L1050" i="4"/>
  <c r="S1049" i="4"/>
  <c r="N1049" i="4"/>
  <c r="P1049" i="4"/>
  <c r="R1049" i="4"/>
  <c r="Q1049" i="4"/>
  <c r="O1049" i="4"/>
  <c r="M148" i="4"/>
  <c r="L149" i="4"/>
  <c r="Q148" i="4"/>
  <c r="O148" i="4"/>
  <c r="N148" i="4"/>
  <c r="S148" i="4"/>
  <c r="R148" i="4"/>
  <c r="P148" i="4"/>
  <c r="M352" i="4"/>
  <c r="N352" i="4"/>
  <c r="P352" i="4"/>
  <c r="R352" i="4"/>
  <c r="L353" i="4"/>
  <c r="O352" i="4"/>
  <c r="Q352" i="4"/>
  <c r="S352" i="4"/>
  <c r="N522" i="4"/>
  <c r="M522" i="4"/>
  <c r="M845" i="4"/>
  <c r="P845" i="4"/>
  <c r="L846" i="4"/>
  <c r="N845" i="4"/>
  <c r="O845" i="4"/>
  <c r="Q845" i="4"/>
  <c r="S845" i="4"/>
  <c r="R845" i="4"/>
  <c r="M675" i="4"/>
  <c r="R675" i="4"/>
  <c r="L676" i="4"/>
  <c r="O675" i="4"/>
  <c r="Q675" i="4"/>
  <c r="S675" i="4"/>
  <c r="N675" i="4"/>
  <c r="P675" i="4"/>
  <c r="D10" i="13"/>
  <c r="D6" i="13"/>
  <c r="D9" i="13"/>
  <c r="D5" i="13"/>
  <c r="D11" i="13"/>
  <c r="D7" i="13"/>
  <c r="D12" i="13"/>
  <c r="D8" i="13"/>
  <c r="E11" i="13"/>
  <c r="E7" i="13"/>
  <c r="E12" i="13"/>
  <c r="E8" i="13"/>
  <c r="E5" i="13"/>
  <c r="E9" i="13"/>
  <c r="E6" i="13"/>
  <c r="E10" i="13"/>
  <c r="F12" i="13"/>
  <c r="F8" i="13"/>
  <c r="F5" i="13"/>
  <c r="F9" i="13"/>
  <c r="F10" i="13"/>
  <c r="F6" i="13"/>
  <c r="F11" i="13"/>
  <c r="F7" i="13"/>
  <c r="D4" i="13"/>
  <c r="E16" i="13" s="1"/>
  <c r="F4" i="13"/>
  <c r="C16" i="13"/>
  <c r="C30" i="13"/>
  <c r="C44" i="13"/>
  <c r="E4" i="13"/>
  <c r="Q522" i="4"/>
  <c r="O522" i="4"/>
  <c r="R522" i="4"/>
  <c r="S522" i="4"/>
  <c r="L523" i="4"/>
  <c r="Q523" i="4" s="1"/>
  <c r="P522" i="4"/>
  <c r="P539" i="4"/>
  <c r="O539" i="4"/>
  <c r="Q539" i="4"/>
  <c r="S539" i="4"/>
  <c r="N539" i="4"/>
  <c r="L540" i="4"/>
  <c r="M540" i="4" s="1"/>
  <c r="R539" i="4"/>
  <c r="L609" i="4"/>
  <c r="M609" i="4" s="1"/>
  <c r="O608" i="4"/>
  <c r="S608" i="4"/>
  <c r="P608" i="4"/>
  <c r="Q608" i="4"/>
  <c r="N608" i="4"/>
  <c r="R608" i="4"/>
  <c r="L625" i="4"/>
  <c r="M625" i="4" s="1"/>
  <c r="O624" i="4"/>
  <c r="S624" i="4"/>
  <c r="P624" i="4"/>
  <c r="Q624" i="4"/>
  <c r="R624" i="4"/>
  <c r="N624" i="4"/>
  <c r="L201" i="4"/>
  <c r="M201" i="4" s="1"/>
  <c r="Q200" i="4"/>
  <c r="N200" i="4"/>
  <c r="R200" i="4"/>
  <c r="O200" i="4"/>
  <c r="P200" i="4"/>
  <c r="S200" i="4"/>
  <c r="L438" i="4"/>
  <c r="M438" i="4" s="1"/>
  <c r="P437" i="4"/>
  <c r="Q437" i="4"/>
  <c r="N437" i="4"/>
  <c r="R437" i="4"/>
  <c r="O437" i="4"/>
  <c r="S437" i="4"/>
  <c r="L319" i="4"/>
  <c r="M319" i="4" s="1"/>
  <c r="Q318" i="4"/>
  <c r="N318" i="4"/>
  <c r="R318" i="4"/>
  <c r="O318" i="4"/>
  <c r="S318" i="4"/>
  <c r="P318" i="4"/>
  <c r="L1016" i="4"/>
  <c r="M1016" i="4" s="1"/>
  <c r="N1015" i="4"/>
  <c r="R1015" i="4"/>
  <c r="O1015" i="4"/>
  <c r="S1015" i="4"/>
  <c r="P1015" i="4"/>
  <c r="Q1015" i="4"/>
  <c r="L1169" i="4"/>
  <c r="M1169" i="4" s="1"/>
  <c r="P1168" i="4"/>
  <c r="Q1168" i="4"/>
  <c r="N1168" i="4"/>
  <c r="R1168" i="4"/>
  <c r="O1168" i="4"/>
  <c r="S1168" i="4"/>
  <c r="L1340" i="4"/>
  <c r="M1340" i="4" s="1"/>
  <c r="L98" i="4"/>
  <c r="M98" i="4" s="1"/>
  <c r="O97" i="4"/>
  <c r="S97" i="4"/>
  <c r="P97" i="4"/>
  <c r="Q97" i="4"/>
  <c r="N97" i="4"/>
  <c r="R97" i="4"/>
  <c r="L915" i="4"/>
  <c r="M915" i="4" s="1"/>
  <c r="Q914" i="4"/>
  <c r="N914" i="4"/>
  <c r="R914" i="4"/>
  <c r="O914" i="4"/>
  <c r="P914" i="4"/>
  <c r="S914" i="4"/>
  <c r="L1152" i="4"/>
  <c r="M1152" i="4" s="1"/>
  <c r="N1151" i="4"/>
  <c r="R1151" i="4"/>
  <c r="O1151" i="4"/>
  <c r="S1151" i="4"/>
  <c r="P1151" i="4"/>
  <c r="Q1151" i="4"/>
  <c r="L693" i="4"/>
  <c r="M693" i="4" s="1"/>
  <c r="O692" i="4"/>
  <c r="S692" i="4"/>
  <c r="P692" i="4"/>
  <c r="Q692" i="4"/>
  <c r="N692" i="4"/>
  <c r="R692" i="4"/>
  <c r="L948" i="4"/>
  <c r="M948" i="4" s="1"/>
  <c r="P947" i="4"/>
  <c r="R947" i="4"/>
  <c r="N947" i="4"/>
  <c r="S947" i="4"/>
  <c r="O947" i="4"/>
  <c r="Q947" i="4"/>
  <c r="L115" i="4"/>
  <c r="M115" i="4" s="1"/>
  <c r="Q114" i="4"/>
  <c r="N114" i="4"/>
  <c r="R114" i="4"/>
  <c r="O114" i="4"/>
  <c r="S114" i="4"/>
  <c r="P114" i="4"/>
  <c r="L1220" i="4"/>
  <c r="M1220" i="4" s="1"/>
  <c r="N1219" i="4"/>
  <c r="R1219" i="4"/>
  <c r="O1219" i="4"/>
  <c r="S1219" i="4"/>
  <c r="P1219" i="4"/>
  <c r="Q1219" i="4"/>
  <c r="L251" i="4"/>
  <c r="M251" i="4" s="1"/>
  <c r="Q250" i="4"/>
  <c r="O250" i="4"/>
  <c r="R250" i="4"/>
  <c r="S250" i="4"/>
  <c r="N250" i="4"/>
  <c r="P250" i="4"/>
  <c r="L217" i="4"/>
  <c r="M217" i="4" s="1"/>
  <c r="Q216" i="4"/>
  <c r="N216" i="4"/>
  <c r="R216" i="4"/>
  <c r="S216" i="4"/>
  <c r="O216" i="4"/>
  <c r="P216" i="4"/>
  <c r="L404" i="4"/>
  <c r="M404" i="4" s="1"/>
  <c r="P403" i="4"/>
  <c r="Q403" i="4"/>
  <c r="N403" i="4"/>
  <c r="R403" i="4"/>
  <c r="O403" i="4"/>
  <c r="S403" i="4"/>
  <c r="L1288" i="4"/>
  <c r="M1288" i="4" s="1"/>
  <c r="N1287" i="4"/>
  <c r="R1287" i="4"/>
  <c r="O1287" i="4"/>
  <c r="S1287" i="4"/>
  <c r="P1287" i="4"/>
  <c r="Q1287" i="4"/>
  <c r="L83" i="4"/>
  <c r="M83" i="4" s="1"/>
  <c r="Q82" i="4"/>
  <c r="N82" i="4"/>
  <c r="R82" i="4"/>
  <c r="O82" i="4"/>
  <c r="S82" i="4"/>
  <c r="P82" i="4"/>
  <c r="L1322" i="4"/>
  <c r="M1322" i="4" s="1"/>
  <c r="N1321" i="4"/>
  <c r="R1321" i="4"/>
  <c r="O1321" i="4"/>
  <c r="S1321" i="4"/>
  <c r="P1321" i="4"/>
  <c r="Q1321" i="4"/>
  <c r="L1272" i="4"/>
  <c r="M1272" i="4" s="1"/>
  <c r="N1271" i="4"/>
  <c r="R1271" i="4"/>
  <c r="O1271" i="4"/>
  <c r="S1271" i="4"/>
  <c r="P1271" i="4"/>
  <c r="Q1271" i="4"/>
  <c r="L1305" i="4"/>
  <c r="M1305" i="4" s="1"/>
  <c r="P1304" i="4"/>
  <c r="Q1304" i="4"/>
  <c r="N1304" i="4"/>
  <c r="R1304" i="4"/>
  <c r="O1304" i="4"/>
  <c r="S1304" i="4"/>
  <c r="L1118" i="4"/>
  <c r="M1118" i="4" s="1"/>
  <c r="N1117" i="4"/>
  <c r="R1117" i="4"/>
  <c r="O1117" i="4"/>
  <c r="S1117" i="4"/>
  <c r="P1117" i="4"/>
  <c r="Q1117" i="4"/>
  <c r="L881" i="4"/>
  <c r="M881" i="4" s="1"/>
  <c r="L336" i="4"/>
  <c r="M336" i="4" s="1"/>
  <c r="O335" i="4"/>
  <c r="S335" i="4"/>
  <c r="P335" i="4"/>
  <c r="Q335" i="4"/>
  <c r="N335" i="4"/>
  <c r="R335" i="4"/>
  <c r="L710" i="4"/>
  <c r="M710" i="4" s="1"/>
  <c r="Q709" i="4"/>
  <c r="N709" i="4"/>
  <c r="R709" i="4"/>
  <c r="O709" i="4"/>
  <c r="S709" i="4"/>
  <c r="P709" i="4"/>
  <c r="L779" i="4"/>
  <c r="M779" i="4" s="1"/>
  <c r="O778" i="4"/>
  <c r="P778" i="4"/>
  <c r="Q778" i="4"/>
  <c r="R778" i="4"/>
  <c r="S778" i="4"/>
  <c r="N778" i="4"/>
  <c r="L132" i="4"/>
  <c r="M132" i="4" s="1"/>
  <c r="Q131" i="4"/>
  <c r="O131" i="4"/>
  <c r="P131" i="4"/>
  <c r="R131" i="4"/>
  <c r="S131" i="4"/>
  <c r="N131" i="4"/>
  <c r="L1033" i="4"/>
  <c r="M1033" i="4" s="1"/>
  <c r="P1032" i="4"/>
  <c r="Q1032" i="4"/>
  <c r="N1032" i="4"/>
  <c r="R1032" i="4"/>
  <c r="O1032" i="4"/>
  <c r="S1032" i="4"/>
  <c r="L965" i="4"/>
  <c r="M965" i="4" s="1"/>
  <c r="N964" i="4"/>
  <c r="R964" i="4"/>
  <c r="S964" i="4"/>
  <c r="O964" i="4"/>
  <c r="P964" i="4"/>
  <c r="Q964" i="4"/>
  <c r="L234" i="4"/>
  <c r="M234" i="4" s="1"/>
  <c r="O233" i="4"/>
  <c r="S233" i="4"/>
  <c r="R233" i="4"/>
  <c r="N233" i="4"/>
  <c r="P233" i="4"/>
  <c r="Q233" i="4"/>
  <c r="L999" i="4"/>
  <c r="M999" i="4" s="1"/>
  <c r="P998" i="4"/>
  <c r="Q998" i="4"/>
  <c r="N998" i="4"/>
  <c r="R998" i="4"/>
  <c r="O998" i="4"/>
  <c r="S998" i="4"/>
  <c r="L387" i="4"/>
  <c r="M387" i="4" s="1"/>
  <c r="N386" i="4"/>
  <c r="R386" i="4"/>
  <c r="O386" i="4"/>
  <c r="S386" i="4"/>
  <c r="P386" i="4"/>
  <c r="Q386" i="4"/>
  <c r="L982" i="4"/>
  <c r="M982" i="4" s="1"/>
  <c r="N981" i="4"/>
  <c r="R981" i="4"/>
  <c r="O981" i="4"/>
  <c r="S981" i="4"/>
  <c r="P981" i="4"/>
  <c r="Q981" i="4"/>
  <c r="L1067" i="4"/>
  <c r="M1067" i="4" s="1"/>
  <c r="P1066" i="4"/>
  <c r="Q1066" i="4"/>
  <c r="N1066" i="4"/>
  <c r="R1066" i="4"/>
  <c r="S1066" i="4"/>
  <c r="O1066" i="4"/>
  <c r="L1186" i="4"/>
  <c r="M1186" i="4" s="1"/>
  <c r="N1185" i="4"/>
  <c r="R1185" i="4"/>
  <c r="O1185" i="4"/>
  <c r="S1185" i="4"/>
  <c r="P1185" i="4"/>
  <c r="Q1185" i="4"/>
  <c r="L1136" i="4"/>
  <c r="M1136" i="4" s="1"/>
  <c r="N1135" i="4"/>
  <c r="R1135" i="4"/>
  <c r="O1135" i="4"/>
  <c r="S1135" i="4"/>
  <c r="P1135" i="4"/>
  <c r="Q1135" i="4"/>
  <c r="L1254" i="4"/>
  <c r="M1254" i="4" s="1"/>
  <c r="N1253" i="4"/>
  <c r="R1253" i="4"/>
  <c r="O1253" i="4"/>
  <c r="S1253" i="4"/>
  <c r="P1253" i="4"/>
  <c r="Q1253" i="4"/>
  <c r="L1237" i="4"/>
  <c r="M1237" i="4" s="1"/>
  <c r="P1236" i="4"/>
  <c r="Q1236" i="4"/>
  <c r="N1236" i="4"/>
  <c r="R1236" i="4"/>
  <c r="O1236" i="4"/>
  <c r="S1236" i="4"/>
  <c r="L863" i="4"/>
  <c r="M863" i="4" s="1"/>
  <c r="Q862" i="4"/>
  <c r="N862" i="4"/>
  <c r="R862" i="4"/>
  <c r="S862" i="4"/>
  <c r="O862" i="4"/>
  <c r="P862" i="4"/>
  <c r="S897" i="4"/>
  <c r="N897" i="4"/>
  <c r="L1101" i="4"/>
  <c r="M1101" i="4" s="1"/>
  <c r="P1100" i="4"/>
  <c r="Q1100" i="4"/>
  <c r="N1100" i="4"/>
  <c r="R1100" i="4"/>
  <c r="O1100" i="4"/>
  <c r="S1100" i="4"/>
  <c r="L1204" i="4"/>
  <c r="M1204" i="4" s="1"/>
  <c r="N1203" i="4"/>
  <c r="R1203" i="4"/>
  <c r="O1203" i="4"/>
  <c r="S1203" i="4"/>
  <c r="P1203" i="4"/>
  <c r="Q1203" i="4"/>
  <c r="L370" i="4"/>
  <c r="M370" i="4" s="1"/>
  <c r="P369" i="4"/>
  <c r="Q369" i="4"/>
  <c r="N369" i="4"/>
  <c r="R369" i="4"/>
  <c r="S369" i="4"/>
  <c r="O369" i="4"/>
  <c r="L591" i="4"/>
  <c r="M591" i="4" s="1"/>
  <c r="O590" i="4"/>
  <c r="S590" i="4"/>
  <c r="P590" i="4"/>
  <c r="Q590" i="4"/>
  <c r="N590" i="4"/>
  <c r="R590" i="4"/>
  <c r="L796" i="4"/>
  <c r="M796" i="4" s="1"/>
  <c r="O795" i="4"/>
  <c r="S795" i="4"/>
  <c r="P795" i="4"/>
  <c r="N795" i="4"/>
  <c r="Q795" i="4"/>
  <c r="R795" i="4"/>
  <c r="L812" i="4"/>
  <c r="M812" i="4" s="1"/>
  <c r="O811" i="4"/>
  <c r="S811" i="4"/>
  <c r="P811" i="4"/>
  <c r="Q811" i="4"/>
  <c r="R811" i="4"/>
  <c r="N811" i="4"/>
  <c r="L745" i="4"/>
  <c r="M745" i="4" s="1"/>
  <c r="O744" i="4"/>
  <c r="S744" i="4"/>
  <c r="P744" i="4"/>
  <c r="Q744" i="4"/>
  <c r="N744" i="4"/>
  <c r="R744" i="4"/>
  <c r="L557" i="4"/>
  <c r="M557" i="4" s="1"/>
  <c r="N556" i="4"/>
  <c r="R556" i="4"/>
  <c r="O556" i="4"/>
  <c r="S556" i="4"/>
  <c r="P556" i="4"/>
  <c r="Q556" i="4"/>
  <c r="L14" i="4"/>
  <c r="M14" i="4" s="1"/>
  <c r="P13" i="4"/>
  <c r="Q13" i="4"/>
  <c r="N13" i="4"/>
  <c r="R13" i="4"/>
  <c r="O13" i="4"/>
  <c r="S13" i="4"/>
  <c r="L421" i="4"/>
  <c r="M421" i="4" s="1"/>
  <c r="N420" i="4"/>
  <c r="R420" i="4"/>
  <c r="O420" i="4"/>
  <c r="S420" i="4"/>
  <c r="P420" i="4"/>
  <c r="Q420" i="4"/>
  <c r="L506" i="4"/>
  <c r="M506" i="4" s="1"/>
  <c r="P505" i="4"/>
  <c r="Q505" i="4"/>
  <c r="N505" i="4"/>
  <c r="R505" i="4"/>
  <c r="S505" i="4"/>
  <c r="O505" i="4"/>
  <c r="L183" i="4"/>
  <c r="M183" i="4" s="1"/>
  <c r="Q182" i="4"/>
  <c r="N182" i="4"/>
  <c r="R182" i="4"/>
  <c r="O182" i="4"/>
  <c r="P182" i="4"/>
  <c r="S182" i="4"/>
  <c r="L302" i="4"/>
  <c r="M302" i="4" s="1"/>
  <c r="P301" i="4"/>
  <c r="Q301" i="4"/>
  <c r="R301" i="4"/>
  <c r="N301" i="4"/>
  <c r="S301" i="4"/>
  <c r="O301" i="4"/>
  <c r="L30" i="4"/>
  <c r="M30" i="4" s="1"/>
  <c r="P29" i="4"/>
  <c r="Q29" i="4"/>
  <c r="N29" i="4"/>
  <c r="R29" i="4"/>
  <c r="O29" i="4"/>
  <c r="S29" i="4"/>
  <c r="L47" i="4"/>
  <c r="M47" i="4" s="1"/>
  <c r="N46" i="4"/>
  <c r="R46" i="4"/>
  <c r="O46" i="4"/>
  <c r="S46" i="4"/>
  <c r="P46" i="4"/>
  <c r="Q46" i="4"/>
  <c r="L489" i="4"/>
  <c r="M489" i="4" s="1"/>
  <c r="N488" i="4"/>
  <c r="R488" i="4"/>
  <c r="O488" i="4"/>
  <c r="S488" i="4"/>
  <c r="P488" i="4"/>
  <c r="Q488" i="4"/>
  <c r="L166" i="4"/>
  <c r="M166" i="4" s="1"/>
  <c r="Q165" i="4"/>
  <c r="P165" i="4"/>
  <c r="R165" i="4"/>
  <c r="S165" i="4"/>
  <c r="N165" i="4"/>
  <c r="O165" i="4"/>
  <c r="L931" i="4"/>
  <c r="M931" i="4" s="1"/>
  <c r="N930" i="4"/>
  <c r="R930" i="4"/>
  <c r="Q930" i="4"/>
  <c r="S930" i="4"/>
  <c r="O930" i="4"/>
  <c r="P930" i="4"/>
  <c r="L269" i="4"/>
  <c r="M269" i="4" s="1"/>
  <c r="N268" i="4"/>
  <c r="R268" i="4"/>
  <c r="O268" i="4"/>
  <c r="P268" i="4"/>
  <c r="Q268" i="4"/>
  <c r="S268" i="4"/>
  <c r="L642" i="4"/>
  <c r="M642" i="4" s="1"/>
  <c r="Q641" i="4"/>
  <c r="N641" i="4"/>
  <c r="R641" i="4"/>
  <c r="O641" i="4"/>
  <c r="S641" i="4"/>
  <c r="P641" i="4"/>
  <c r="L574" i="4"/>
  <c r="M574" i="4" s="1"/>
  <c r="P573" i="4"/>
  <c r="Q573" i="4"/>
  <c r="N573" i="4"/>
  <c r="R573" i="4"/>
  <c r="O573" i="4"/>
  <c r="S573" i="4"/>
  <c r="L728" i="4"/>
  <c r="M728" i="4" s="1"/>
  <c r="Q727" i="4"/>
  <c r="N727" i="4"/>
  <c r="R727" i="4"/>
  <c r="O727" i="4"/>
  <c r="S727" i="4"/>
  <c r="P727" i="4"/>
  <c r="L65" i="4"/>
  <c r="M65" i="4" s="1"/>
  <c r="N64" i="4"/>
  <c r="R64" i="4"/>
  <c r="O64" i="4"/>
  <c r="S64" i="4"/>
  <c r="P64" i="4"/>
  <c r="Q64" i="4"/>
  <c r="L761" i="4"/>
  <c r="M761" i="4" s="1"/>
  <c r="O760" i="4"/>
  <c r="S760" i="4"/>
  <c r="P760" i="4"/>
  <c r="Q760" i="4"/>
  <c r="R760" i="4"/>
  <c r="N760" i="4"/>
  <c r="S880" i="4" l="1"/>
  <c r="N455" i="4"/>
  <c r="O455" i="4"/>
  <c r="P455" i="4"/>
  <c r="S455" i="4"/>
  <c r="Q455" i="4"/>
  <c r="R455" i="4"/>
  <c r="L456" i="4"/>
  <c r="M456" i="4" s="1"/>
  <c r="R880" i="4"/>
  <c r="P880" i="4"/>
  <c r="N880" i="4"/>
  <c r="O880" i="4"/>
  <c r="Q880" i="4"/>
  <c r="S472" i="4"/>
  <c r="O285" i="4"/>
  <c r="R830" i="4"/>
  <c r="S285" i="4"/>
  <c r="Q285" i="4"/>
  <c r="L473" i="4"/>
  <c r="M473" i="4" s="1"/>
  <c r="R285" i="4"/>
  <c r="L286" i="4"/>
  <c r="M286" i="4" s="1"/>
  <c r="S1339" i="4"/>
  <c r="N285" i="4"/>
  <c r="P285" i="4"/>
  <c r="Q472" i="4"/>
  <c r="R472" i="4"/>
  <c r="O472" i="4"/>
  <c r="P472" i="4"/>
  <c r="N472" i="4"/>
  <c r="P830" i="4"/>
  <c r="N830" i="4"/>
  <c r="O1339" i="4"/>
  <c r="O830" i="4"/>
  <c r="Q830" i="4"/>
  <c r="Q1339" i="4"/>
  <c r="R1339" i="4"/>
  <c r="S830" i="4"/>
  <c r="L831" i="4"/>
  <c r="M831" i="4" s="1"/>
  <c r="P1339" i="4"/>
  <c r="N1339" i="4"/>
  <c r="S1084" i="4"/>
  <c r="P1084" i="4"/>
  <c r="R897" i="4"/>
  <c r="O897" i="4"/>
  <c r="S659" i="4"/>
  <c r="Q897" i="4"/>
  <c r="L898" i="4"/>
  <c r="M898" i="4" s="1"/>
  <c r="P897" i="4"/>
  <c r="R1084" i="4"/>
  <c r="L1085" i="4"/>
  <c r="M1085" i="4" s="1"/>
  <c r="N1084" i="4"/>
  <c r="O1084" i="4"/>
  <c r="Q1084" i="4"/>
  <c r="Q659" i="4"/>
  <c r="E54" i="13"/>
  <c r="M54" i="13" s="1"/>
  <c r="C53" i="13"/>
  <c r="B54" i="13"/>
  <c r="E53" i="13"/>
  <c r="M53" i="13" s="1"/>
  <c r="C54" i="13"/>
  <c r="B53" i="13"/>
  <c r="D30" i="13"/>
  <c r="B40" i="13"/>
  <c r="B39" i="13"/>
  <c r="E39" i="13"/>
  <c r="M39" i="13" s="1"/>
  <c r="E40" i="13"/>
  <c r="M40" i="13" s="1"/>
  <c r="C39" i="13"/>
  <c r="C40" i="13"/>
  <c r="D16" i="13"/>
  <c r="E26" i="13"/>
  <c r="M26" i="13" s="1"/>
  <c r="C25" i="13"/>
  <c r="C26" i="13"/>
  <c r="B25" i="13"/>
  <c r="E25" i="13"/>
  <c r="M25" i="13" s="1"/>
  <c r="B26" i="13"/>
  <c r="O659" i="4"/>
  <c r="L660" i="4"/>
  <c r="M660" i="4" s="1"/>
  <c r="R659" i="4"/>
  <c r="P659" i="4"/>
  <c r="N659" i="4"/>
  <c r="O523" i="4"/>
  <c r="N523" i="4"/>
  <c r="M523" i="4"/>
  <c r="M149" i="4"/>
  <c r="P149" i="4"/>
  <c r="L150" i="4"/>
  <c r="R149" i="4"/>
  <c r="Q149" i="4"/>
  <c r="S149" i="4"/>
  <c r="O149" i="4"/>
  <c r="N149" i="4"/>
  <c r="M1050" i="4"/>
  <c r="N1050" i="4"/>
  <c r="L1051" i="4"/>
  <c r="R1050" i="4"/>
  <c r="P1050" i="4"/>
  <c r="O1050" i="4"/>
  <c r="Q1050" i="4"/>
  <c r="S1050" i="4"/>
  <c r="M676" i="4"/>
  <c r="S676" i="4"/>
  <c r="R676" i="4"/>
  <c r="P676" i="4"/>
  <c r="L677" i="4"/>
  <c r="Q676" i="4"/>
  <c r="O676" i="4"/>
  <c r="N676" i="4"/>
  <c r="M846" i="4"/>
  <c r="Q846" i="4"/>
  <c r="P846" i="4"/>
  <c r="N846" i="4"/>
  <c r="S846" i="4"/>
  <c r="R846" i="4"/>
  <c r="L847" i="4"/>
  <c r="O846" i="4"/>
  <c r="M353" i="4"/>
  <c r="O353" i="4"/>
  <c r="N353" i="4"/>
  <c r="S353" i="4"/>
  <c r="R353" i="4"/>
  <c r="P353" i="4"/>
  <c r="L354" i="4"/>
  <c r="Q353" i="4"/>
  <c r="S523" i="4"/>
  <c r="P523" i="4"/>
  <c r="R523" i="4"/>
  <c r="L524" i="4"/>
  <c r="E30" i="13"/>
  <c r="B35" i="13"/>
  <c r="C34" i="13"/>
  <c r="C36" i="13"/>
  <c r="C38" i="13"/>
  <c r="E34" i="13"/>
  <c r="E36" i="13"/>
  <c r="M36" i="13" s="1"/>
  <c r="E71" i="13" s="1"/>
  <c r="E38" i="13"/>
  <c r="M38" i="13" s="1"/>
  <c r="E73" i="13" s="1"/>
  <c r="B34" i="13"/>
  <c r="B38" i="13"/>
  <c r="B33" i="13"/>
  <c r="B37" i="13"/>
  <c r="C33" i="13"/>
  <c r="C35" i="13"/>
  <c r="C37" i="13"/>
  <c r="E33" i="13"/>
  <c r="E35" i="13"/>
  <c r="E37" i="13"/>
  <c r="M37" i="13" s="1"/>
  <c r="E72" i="13" s="1"/>
  <c r="B36" i="13"/>
  <c r="C24" i="13"/>
  <c r="C19" i="13"/>
  <c r="C22" i="13"/>
  <c r="C21" i="13"/>
  <c r="E23" i="13"/>
  <c r="M23" i="13" s="1"/>
  <c r="C72" i="13" s="1"/>
  <c r="B23" i="13"/>
  <c r="B21" i="13"/>
  <c r="E20" i="13"/>
  <c r="C23" i="13"/>
  <c r="C20" i="13"/>
  <c r="B20" i="13"/>
  <c r="E24" i="13"/>
  <c r="M24" i="13" s="1"/>
  <c r="C73" i="13" s="1"/>
  <c r="B24" i="13"/>
  <c r="E19" i="13"/>
  <c r="B19" i="13"/>
  <c r="E22" i="13"/>
  <c r="M22" i="13" s="1"/>
  <c r="C71" i="13" s="1"/>
  <c r="B22" i="13"/>
  <c r="E21" i="13"/>
  <c r="M21" i="13" s="1"/>
  <c r="C70" i="13" s="1"/>
  <c r="E44" i="13"/>
  <c r="F44" i="13" s="1"/>
  <c r="B48" i="13"/>
  <c r="B49" i="13"/>
  <c r="E47" i="13"/>
  <c r="E49" i="13"/>
  <c r="E51" i="13"/>
  <c r="M51" i="13" s="1"/>
  <c r="G72" i="13" s="1"/>
  <c r="C49" i="13"/>
  <c r="B50" i="13"/>
  <c r="B51" i="13"/>
  <c r="C48" i="13"/>
  <c r="C50" i="13"/>
  <c r="C52" i="13"/>
  <c r="C47" i="13"/>
  <c r="B52" i="13"/>
  <c r="E48" i="13"/>
  <c r="E50" i="13"/>
  <c r="M50" i="13" s="1"/>
  <c r="G71" i="13" s="1"/>
  <c r="E52" i="13"/>
  <c r="M52" i="13" s="1"/>
  <c r="G73" i="13" s="1"/>
  <c r="B47" i="13"/>
  <c r="C51" i="13"/>
  <c r="D44" i="13"/>
  <c r="F16" i="13"/>
  <c r="J23" i="13"/>
  <c r="I26" i="13"/>
  <c r="I22" i="13"/>
  <c r="I19" i="13"/>
  <c r="G26" i="13"/>
  <c r="G22" i="13"/>
  <c r="F25" i="13"/>
  <c r="F21" i="13"/>
  <c r="F19" i="13"/>
  <c r="G21" i="13"/>
  <c r="J20" i="13"/>
  <c r="G23" i="13"/>
  <c r="G19" i="13"/>
  <c r="J26" i="13"/>
  <c r="J22" i="13"/>
  <c r="I25" i="13"/>
  <c r="I21" i="13"/>
  <c r="G25" i="13"/>
  <c r="F24" i="13"/>
  <c r="F20" i="13"/>
  <c r="J19" i="13"/>
  <c r="F22" i="13"/>
  <c r="J25" i="13"/>
  <c r="J21" i="13"/>
  <c r="I24" i="13"/>
  <c r="I20" i="13"/>
  <c r="G24" i="13"/>
  <c r="G20" i="13"/>
  <c r="F23" i="13"/>
  <c r="J24" i="13"/>
  <c r="I23" i="13"/>
  <c r="F26" i="13"/>
  <c r="L541" i="4"/>
  <c r="M541" i="4" s="1"/>
  <c r="S540" i="4"/>
  <c r="N540" i="4"/>
  <c r="P540" i="4"/>
  <c r="R540" i="4"/>
  <c r="Q540" i="4"/>
  <c r="O540" i="4"/>
  <c r="L762" i="4"/>
  <c r="M762" i="4" s="1"/>
  <c r="Q761" i="4"/>
  <c r="N761" i="4"/>
  <c r="R761" i="4"/>
  <c r="O761" i="4"/>
  <c r="S761" i="4"/>
  <c r="P761" i="4"/>
  <c r="L66" i="4"/>
  <c r="M66" i="4" s="1"/>
  <c r="P65" i="4"/>
  <c r="Q65" i="4"/>
  <c r="N65" i="4"/>
  <c r="R65" i="4"/>
  <c r="O65" i="4"/>
  <c r="S65" i="4"/>
  <c r="L729" i="4"/>
  <c r="M729" i="4" s="1"/>
  <c r="O728" i="4"/>
  <c r="S728" i="4"/>
  <c r="P728" i="4"/>
  <c r="Q728" i="4"/>
  <c r="N728" i="4"/>
  <c r="R728" i="4"/>
  <c r="L575" i="4"/>
  <c r="M575" i="4" s="1"/>
  <c r="N574" i="4"/>
  <c r="R574" i="4"/>
  <c r="O574" i="4"/>
  <c r="S574" i="4"/>
  <c r="P574" i="4"/>
  <c r="Q574" i="4"/>
  <c r="L643" i="4"/>
  <c r="M643" i="4" s="1"/>
  <c r="O642" i="4"/>
  <c r="S642" i="4"/>
  <c r="P642" i="4"/>
  <c r="Q642" i="4"/>
  <c r="R642" i="4"/>
  <c r="N642" i="4"/>
  <c r="L270" i="4"/>
  <c r="M270" i="4" s="1"/>
  <c r="P269" i="4"/>
  <c r="N269" i="4"/>
  <c r="S269" i="4"/>
  <c r="O269" i="4"/>
  <c r="Q269" i="4"/>
  <c r="R269" i="4"/>
  <c r="L932" i="4"/>
  <c r="M932" i="4" s="1"/>
  <c r="P931" i="4"/>
  <c r="Q931" i="4"/>
  <c r="R931" i="4"/>
  <c r="N931" i="4"/>
  <c r="S931" i="4"/>
  <c r="O931" i="4"/>
  <c r="L167" i="4"/>
  <c r="M167" i="4" s="1"/>
  <c r="O166" i="4"/>
  <c r="S166" i="4"/>
  <c r="P166" i="4"/>
  <c r="Q166" i="4"/>
  <c r="N166" i="4"/>
  <c r="R166" i="4"/>
  <c r="L490" i="4"/>
  <c r="M490" i="4" s="1"/>
  <c r="P489" i="4"/>
  <c r="Q489" i="4"/>
  <c r="N489" i="4"/>
  <c r="R489" i="4"/>
  <c r="O489" i="4"/>
  <c r="S489" i="4"/>
  <c r="L48" i="4"/>
  <c r="M48" i="4" s="1"/>
  <c r="P47" i="4"/>
  <c r="Q47" i="4"/>
  <c r="N47" i="4"/>
  <c r="R47" i="4"/>
  <c r="O47" i="4"/>
  <c r="S47" i="4"/>
  <c r="L31" i="4"/>
  <c r="M31" i="4" s="1"/>
  <c r="N30" i="4"/>
  <c r="R30" i="4"/>
  <c r="O30" i="4"/>
  <c r="S30" i="4"/>
  <c r="P30" i="4"/>
  <c r="Q30" i="4"/>
  <c r="L303" i="4"/>
  <c r="M303" i="4" s="1"/>
  <c r="N302" i="4"/>
  <c r="R302" i="4"/>
  <c r="P302" i="4"/>
  <c r="Q302" i="4"/>
  <c r="S302" i="4"/>
  <c r="O302" i="4"/>
  <c r="L184" i="4"/>
  <c r="M184" i="4" s="1"/>
  <c r="O183" i="4"/>
  <c r="S183" i="4"/>
  <c r="P183" i="4"/>
  <c r="Q183" i="4"/>
  <c r="R183" i="4"/>
  <c r="N183" i="4"/>
  <c r="L507" i="4"/>
  <c r="M507" i="4" s="1"/>
  <c r="N506" i="4"/>
  <c r="R506" i="4"/>
  <c r="O506" i="4"/>
  <c r="S506" i="4"/>
  <c r="P506" i="4"/>
  <c r="Q506" i="4"/>
  <c r="L422" i="4"/>
  <c r="M422" i="4" s="1"/>
  <c r="P421" i="4"/>
  <c r="Q421" i="4"/>
  <c r="N421" i="4"/>
  <c r="R421" i="4"/>
  <c r="O421" i="4"/>
  <c r="S421" i="4"/>
  <c r="L15" i="4"/>
  <c r="M15" i="4" s="1"/>
  <c r="N14" i="4"/>
  <c r="R14" i="4"/>
  <c r="O14" i="4"/>
  <c r="S14" i="4"/>
  <c r="P14" i="4"/>
  <c r="Q14" i="4"/>
  <c r="L558" i="4"/>
  <c r="M558" i="4" s="1"/>
  <c r="P557" i="4"/>
  <c r="Q557" i="4"/>
  <c r="N557" i="4"/>
  <c r="R557" i="4"/>
  <c r="O557" i="4"/>
  <c r="S557" i="4"/>
  <c r="L746" i="4"/>
  <c r="M746" i="4" s="1"/>
  <c r="Q745" i="4"/>
  <c r="N745" i="4"/>
  <c r="R745" i="4"/>
  <c r="O745" i="4"/>
  <c r="S745" i="4"/>
  <c r="P745" i="4"/>
  <c r="L474" i="4"/>
  <c r="M474" i="4" s="1"/>
  <c r="N473" i="4"/>
  <c r="R473" i="4"/>
  <c r="L813" i="4"/>
  <c r="M813" i="4" s="1"/>
  <c r="Q812" i="4"/>
  <c r="N812" i="4"/>
  <c r="R812" i="4"/>
  <c r="S812" i="4"/>
  <c r="O812" i="4"/>
  <c r="P812" i="4"/>
  <c r="L797" i="4"/>
  <c r="M797" i="4" s="1"/>
  <c r="Q796" i="4"/>
  <c r="N796" i="4"/>
  <c r="R796" i="4"/>
  <c r="O796" i="4"/>
  <c r="P796" i="4"/>
  <c r="S796" i="4"/>
  <c r="L592" i="4"/>
  <c r="M592" i="4" s="1"/>
  <c r="Q591" i="4"/>
  <c r="N591" i="4"/>
  <c r="R591" i="4"/>
  <c r="O591" i="4"/>
  <c r="S591" i="4"/>
  <c r="P591" i="4"/>
  <c r="L371" i="4"/>
  <c r="M371" i="4" s="1"/>
  <c r="N370" i="4"/>
  <c r="R370" i="4"/>
  <c r="O370" i="4"/>
  <c r="S370" i="4"/>
  <c r="P370" i="4"/>
  <c r="Q370" i="4"/>
  <c r="L1205" i="4"/>
  <c r="M1205" i="4" s="1"/>
  <c r="P1204" i="4"/>
  <c r="Q1204" i="4"/>
  <c r="N1204" i="4"/>
  <c r="R1204" i="4"/>
  <c r="O1204" i="4"/>
  <c r="S1204" i="4"/>
  <c r="L1102" i="4"/>
  <c r="M1102" i="4" s="1"/>
  <c r="N1101" i="4"/>
  <c r="R1101" i="4"/>
  <c r="O1101" i="4"/>
  <c r="S1101" i="4"/>
  <c r="P1101" i="4"/>
  <c r="Q1101" i="4"/>
  <c r="N898" i="4"/>
  <c r="R898" i="4"/>
  <c r="P898" i="4"/>
  <c r="L864" i="4"/>
  <c r="M864" i="4" s="1"/>
  <c r="O863" i="4"/>
  <c r="S863" i="4"/>
  <c r="P863" i="4"/>
  <c r="N863" i="4"/>
  <c r="Q863" i="4"/>
  <c r="R863" i="4"/>
  <c r="L1238" i="4"/>
  <c r="M1238" i="4" s="1"/>
  <c r="N1237" i="4"/>
  <c r="R1237" i="4"/>
  <c r="O1237" i="4"/>
  <c r="S1237" i="4"/>
  <c r="P1237" i="4"/>
  <c r="Q1237" i="4"/>
  <c r="L1255" i="4"/>
  <c r="M1255" i="4" s="1"/>
  <c r="P1254" i="4"/>
  <c r="Q1254" i="4"/>
  <c r="N1254" i="4"/>
  <c r="R1254" i="4"/>
  <c r="O1254" i="4"/>
  <c r="S1254" i="4"/>
  <c r="L1137" i="4"/>
  <c r="M1137" i="4" s="1"/>
  <c r="P1136" i="4"/>
  <c r="Q1136" i="4"/>
  <c r="N1136" i="4"/>
  <c r="R1136" i="4"/>
  <c r="O1136" i="4"/>
  <c r="S1136" i="4"/>
  <c r="L1187" i="4"/>
  <c r="M1187" i="4" s="1"/>
  <c r="P1186" i="4"/>
  <c r="Q1186" i="4"/>
  <c r="N1186" i="4"/>
  <c r="R1186" i="4"/>
  <c r="O1186" i="4"/>
  <c r="S1186" i="4"/>
  <c r="L1068" i="4"/>
  <c r="M1068" i="4" s="1"/>
  <c r="N1067" i="4"/>
  <c r="R1067" i="4"/>
  <c r="O1067" i="4"/>
  <c r="S1067" i="4"/>
  <c r="P1067" i="4"/>
  <c r="Q1067" i="4"/>
  <c r="L983" i="4"/>
  <c r="M983" i="4" s="1"/>
  <c r="P982" i="4"/>
  <c r="Q982" i="4"/>
  <c r="N982" i="4"/>
  <c r="R982" i="4"/>
  <c r="O982" i="4"/>
  <c r="S982" i="4"/>
  <c r="L388" i="4"/>
  <c r="M388" i="4" s="1"/>
  <c r="P387" i="4"/>
  <c r="Q387" i="4"/>
  <c r="N387" i="4"/>
  <c r="R387" i="4"/>
  <c r="S387" i="4"/>
  <c r="O387" i="4"/>
  <c r="L1000" i="4"/>
  <c r="M1000" i="4" s="1"/>
  <c r="N999" i="4"/>
  <c r="R999" i="4"/>
  <c r="O999" i="4"/>
  <c r="S999" i="4"/>
  <c r="P999" i="4"/>
  <c r="Q999" i="4"/>
  <c r="L235" i="4"/>
  <c r="M235" i="4" s="1"/>
  <c r="Q234" i="4"/>
  <c r="R234" i="4"/>
  <c r="N234" i="4"/>
  <c r="S234" i="4"/>
  <c r="O234" i="4"/>
  <c r="P234" i="4"/>
  <c r="L966" i="4"/>
  <c r="M966" i="4" s="1"/>
  <c r="P965" i="4"/>
  <c r="R965" i="4"/>
  <c r="N965" i="4"/>
  <c r="S965" i="4"/>
  <c r="O965" i="4"/>
  <c r="Q965" i="4"/>
  <c r="L1034" i="4"/>
  <c r="M1034" i="4" s="1"/>
  <c r="N1033" i="4"/>
  <c r="R1033" i="4"/>
  <c r="O1033" i="4"/>
  <c r="S1033" i="4"/>
  <c r="P1033" i="4"/>
  <c r="Q1033" i="4"/>
  <c r="L133" i="4"/>
  <c r="M133" i="4" s="1"/>
  <c r="O132" i="4"/>
  <c r="S132" i="4"/>
  <c r="N132" i="4"/>
  <c r="P132" i="4"/>
  <c r="Q132" i="4"/>
  <c r="R132" i="4"/>
  <c r="L780" i="4"/>
  <c r="M780" i="4" s="1"/>
  <c r="O779" i="4"/>
  <c r="S779" i="4"/>
  <c r="P779" i="4"/>
  <c r="Q779" i="4"/>
  <c r="N779" i="4"/>
  <c r="R779" i="4"/>
  <c r="L711" i="4"/>
  <c r="M711" i="4" s="1"/>
  <c r="O710" i="4"/>
  <c r="S710" i="4"/>
  <c r="P710" i="4"/>
  <c r="Q710" i="4"/>
  <c r="N710" i="4"/>
  <c r="R710" i="4"/>
  <c r="L337" i="4"/>
  <c r="M337" i="4" s="1"/>
  <c r="Q336" i="4"/>
  <c r="N336" i="4"/>
  <c r="R336" i="4"/>
  <c r="O336" i="4"/>
  <c r="S336" i="4"/>
  <c r="P336" i="4"/>
  <c r="L882" i="4"/>
  <c r="M882" i="4" s="1"/>
  <c r="O881" i="4"/>
  <c r="S881" i="4"/>
  <c r="P881" i="4"/>
  <c r="N881" i="4"/>
  <c r="Q881" i="4"/>
  <c r="R881" i="4"/>
  <c r="L1119" i="4"/>
  <c r="M1119" i="4" s="1"/>
  <c r="P1118" i="4"/>
  <c r="Q1118" i="4"/>
  <c r="N1118" i="4"/>
  <c r="R1118" i="4"/>
  <c r="O1118" i="4"/>
  <c r="S1118" i="4"/>
  <c r="L1306" i="4"/>
  <c r="M1306" i="4" s="1"/>
  <c r="N1305" i="4"/>
  <c r="R1305" i="4"/>
  <c r="O1305" i="4"/>
  <c r="S1305" i="4"/>
  <c r="P1305" i="4"/>
  <c r="Q1305" i="4"/>
  <c r="L1273" i="4"/>
  <c r="M1273" i="4" s="1"/>
  <c r="P1272" i="4"/>
  <c r="Q1272" i="4"/>
  <c r="N1272" i="4"/>
  <c r="R1272" i="4"/>
  <c r="O1272" i="4"/>
  <c r="S1272" i="4"/>
  <c r="L1323" i="4"/>
  <c r="M1323" i="4" s="1"/>
  <c r="P1322" i="4"/>
  <c r="Q1322" i="4"/>
  <c r="N1322" i="4"/>
  <c r="R1322" i="4"/>
  <c r="O1322" i="4"/>
  <c r="S1322" i="4"/>
  <c r="L84" i="4"/>
  <c r="M84" i="4" s="1"/>
  <c r="O83" i="4"/>
  <c r="S83" i="4"/>
  <c r="P83" i="4"/>
  <c r="Q83" i="4"/>
  <c r="N83" i="4"/>
  <c r="R83" i="4"/>
  <c r="L1289" i="4"/>
  <c r="M1289" i="4" s="1"/>
  <c r="P1288" i="4"/>
  <c r="Q1288" i="4"/>
  <c r="N1288" i="4"/>
  <c r="R1288" i="4"/>
  <c r="O1288" i="4"/>
  <c r="S1288" i="4"/>
  <c r="L405" i="4"/>
  <c r="M405" i="4" s="1"/>
  <c r="N404" i="4"/>
  <c r="R404" i="4"/>
  <c r="O404" i="4"/>
  <c r="S404" i="4"/>
  <c r="P404" i="4"/>
  <c r="Q404" i="4"/>
  <c r="L218" i="4"/>
  <c r="M218" i="4" s="1"/>
  <c r="O217" i="4"/>
  <c r="S217" i="4"/>
  <c r="P217" i="4"/>
  <c r="N217" i="4"/>
  <c r="Q217" i="4"/>
  <c r="R217" i="4"/>
  <c r="L252" i="4"/>
  <c r="M252" i="4" s="1"/>
  <c r="O251" i="4"/>
  <c r="S251" i="4"/>
  <c r="N251" i="4"/>
  <c r="R251" i="4"/>
  <c r="P251" i="4"/>
  <c r="Q251" i="4"/>
  <c r="L1221" i="4"/>
  <c r="M1221" i="4" s="1"/>
  <c r="P1220" i="4"/>
  <c r="Q1220" i="4"/>
  <c r="N1220" i="4"/>
  <c r="R1220" i="4"/>
  <c r="S1220" i="4"/>
  <c r="O1220" i="4"/>
  <c r="L116" i="4"/>
  <c r="M116" i="4" s="1"/>
  <c r="O115" i="4"/>
  <c r="S115" i="4"/>
  <c r="P115" i="4"/>
  <c r="Q115" i="4"/>
  <c r="N115" i="4"/>
  <c r="R115" i="4"/>
  <c r="L949" i="4"/>
  <c r="M949" i="4" s="1"/>
  <c r="N948" i="4"/>
  <c r="R948" i="4"/>
  <c r="Q948" i="4"/>
  <c r="S948" i="4"/>
  <c r="O948" i="4"/>
  <c r="P948" i="4"/>
  <c r="L694" i="4"/>
  <c r="M694" i="4" s="1"/>
  <c r="Q693" i="4"/>
  <c r="N693" i="4"/>
  <c r="R693" i="4"/>
  <c r="O693" i="4"/>
  <c r="S693" i="4"/>
  <c r="P693" i="4"/>
  <c r="L1153" i="4"/>
  <c r="M1153" i="4" s="1"/>
  <c r="P1152" i="4"/>
  <c r="Q1152" i="4"/>
  <c r="N1152" i="4"/>
  <c r="R1152" i="4"/>
  <c r="O1152" i="4"/>
  <c r="S1152" i="4"/>
  <c r="L916" i="4"/>
  <c r="M916" i="4" s="1"/>
  <c r="O915" i="4"/>
  <c r="S915" i="4"/>
  <c r="P915" i="4"/>
  <c r="Q915" i="4"/>
  <c r="R915" i="4"/>
  <c r="N915" i="4"/>
  <c r="L99" i="4"/>
  <c r="M99" i="4" s="1"/>
  <c r="Q98" i="4"/>
  <c r="N98" i="4"/>
  <c r="R98" i="4"/>
  <c r="O98" i="4"/>
  <c r="S98" i="4"/>
  <c r="P98" i="4"/>
  <c r="L1341" i="4"/>
  <c r="M1341" i="4" s="1"/>
  <c r="P1340" i="4"/>
  <c r="Q1340" i="4"/>
  <c r="N1340" i="4"/>
  <c r="R1340" i="4"/>
  <c r="O1340" i="4"/>
  <c r="S1340" i="4"/>
  <c r="L1170" i="4"/>
  <c r="M1170" i="4" s="1"/>
  <c r="N1169" i="4"/>
  <c r="R1169" i="4"/>
  <c r="O1169" i="4"/>
  <c r="S1169" i="4"/>
  <c r="P1169" i="4"/>
  <c r="Q1169" i="4"/>
  <c r="L1017" i="4"/>
  <c r="M1017" i="4" s="1"/>
  <c r="P1016" i="4"/>
  <c r="Q1016" i="4"/>
  <c r="N1016" i="4"/>
  <c r="R1016" i="4"/>
  <c r="O1016" i="4"/>
  <c r="S1016" i="4"/>
  <c r="L320" i="4"/>
  <c r="M320" i="4" s="1"/>
  <c r="O319" i="4"/>
  <c r="S319" i="4"/>
  <c r="P319" i="4"/>
  <c r="Q319" i="4"/>
  <c r="R319" i="4"/>
  <c r="N319" i="4"/>
  <c r="L439" i="4"/>
  <c r="M439" i="4" s="1"/>
  <c r="N438" i="4"/>
  <c r="R438" i="4"/>
  <c r="O438" i="4"/>
  <c r="S438" i="4"/>
  <c r="P438" i="4"/>
  <c r="Q438" i="4"/>
  <c r="L202" i="4"/>
  <c r="M202" i="4" s="1"/>
  <c r="O201" i="4"/>
  <c r="S201" i="4"/>
  <c r="P201" i="4"/>
  <c r="Q201" i="4"/>
  <c r="R201" i="4"/>
  <c r="N201" i="4"/>
  <c r="Q625" i="4"/>
  <c r="N625" i="4"/>
  <c r="R625" i="4"/>
  <c r="O625" i="4"/>
  <c r="S625" i="4"/>
  <c r="P625" i="4"/>
  <c r="L626" i="4"/>
  <c r="M626" i="4" s="1"/>
  <c r="L610" i="4"/>
  <c r="M610" i="4" s="1"/>
  <c r="Q609" i="4"/>
  <c r="N609" i="4"/>
  <c r="R609" i="4"/>
  <c r="O609" i="4"/>
  <c r="S609" i="4"/>
  <c r="P609" i="4"/>
  <c r="G3" i="11"/>
  <c r="O456" i="4" l="1"/>
  <c r="R456" i="4"/>
  <c r="Q456" i="4"/>
  <c r="L457" i="4"/>
  <c r="M457" i="4" s="1"/>
  <c r="S456" i="4"/>
  <c r="P456" i="4"/>
  <c r="N456" i="4"/>
  <c r="S286" i="4"/>
  <c r="R286" i="4"/>
  <c r="Q286" i="4"/>
  <c r="N286" i="4"/>
  <c r="P286" i="4"/>
  <c r="L287" i="4"/>
  <c r="M287" i="4" s="1"/>
  <c r="O286" i="4"/>
  <c r="P831" i="4"/>
  <c r="O898" i="4"/>
  <c r="Q898" i="4"/>
  <c r="S473" i="4"/>
  <c r="Q473" i="4"/>
  <c r="S898" i="4"/>
  <c r="L899" i="4"/>
  <c r="M899" i="4" s="1"/>
  <c r="O473" i="4"/>
  <c r="P473" i="4"/>
  <c r="R831" i="4"/>
  <c r="S831" i="4"/>
  <c r="Q1085" i="4"/>
  <c r="Q831" i="4"/>
  <c r="O831" i="4"/>
  <c r="R1085" i="4"/>
  <c r="N831" i="4"/>
  <c r="L832" i="4"/>
  <c r="M832" i="4" s="1"/>
  <c r="P1085" i="4"/>
  <c r="N1085" i="4"/>
  <c r="S1085" i="4"/>
  <c r="L1086" i="4"/>
  <c r="M1086" i="4" s="1"/>
  <c r="O1085" i="4"/>
  <c r="N660" i="4"/>
  <c r="S660" i="4"/>
  <c r="D23" i="13"/>
  <c r="L23" i="13" s="1"/>
  <c r="B72" i="13" s="1"/>
  <c r="R660" i="4"/>
  <c r="O660" i="4"/>
  <c r="Q660" i="4"/>
  <c r="L661" i="4"/>
  <c r="M661" i="4" s="1"/>
  <c r="D51" i="13"/>
  <c r="L51" i="13" s="1"/>
  <c r="F72" i="13" s="1"/>
  <c r="P660" i="4"/>
  <c r="D26" i="13"/>
  <c r="L26" i="13" s="1"/>
  <c r="D40" i="13"/>
  <c r="L40" i="13" s="1"/>
  <c r="D25" i="13"/>
  <c r="L25" i="13" s="1"/>
  <c r="D39" i="13"/>
  <c r="L39" i="13" s="1"/>
  <c r="D53" i="13"/>
  <c r="L53" i="13" s="1"/>
  <c r="D54" i="13"/>
  <c r="L54" i="13" s="1"/>
  <c r="M677" i="4"/>
  <c r="R677" i="4"/>
  <c r="L678" i="4"/>
  <c r="O677" i="4"/>
  <c r="Q677" i="4"/>
  <c r="S677" i="4"/>
  <c r="N677" i="4"/>
  <c r="P677" i="4"/>
  <c r="L525" i="4"/>
  <c r="M525" i="4" s="1"/>
  <c r="M524" i="4"/>
  <c r="M354" i="4"/>
  <c r="N354" i="4"/>
  <c r="P354" i="4"/>
  <c r="R354" i="4"/>
  <c r="L355" i="4"/>
  <c r="O354" i="4"/>
  <c r="Q354" i="4"/>
  <c r="S354" i="4"/>
  <c r="M847" i="4"/>
  <c r="S847" i="4"/>
  <c r="N847" i="4"/>
  <c r="P847" i="4"/>
  <c r="L848" i="4"/>
  <c r="Q847" i="4"/>
  <c r="O847" i="4"/>
  <c r="R847" i="4"/>
  <c r="M1051" i="4"/>
  <c r="L1052" i="4"/>
  <c r="S1051" i="4"/>
  <c r="N1051" i="4"/>
  <c r="P1051" i="4"/>
  <c r="R1051" i="4"/>
  <c r="Q1051" i="4"/>
  <c r="O1051" i="4"/>
  <c r="M150" i="4"/>
  <c r="L151" i="4"/>
  <c r="P150" i="4"/>
  <c r="O150" i="4"/>
  <c r="Q150" i="4"/>
  <c r="S150" i="4"/>
  <c r="R150" i="4"/>
  <c r="N150" i="4"/>
  <c r="O524" i="4"/>
  <c r="Q524" i="4"/>
  <c r="R524" i="4"/>
  <c r="N524" i="4"/>
  <c r="P524" i="4"/>
  <c r="S524" i="4"/>
  <c r="D50" i="13"/>
  <c r="L50" i="13" s="1"/>
  <c r="F71" i="13" s="1"/>
  <c r="D37" i="13"/>
  <c r="L37" i="13" s="1"/>
  <c r="D72" i="13" s="1"/>
  <c r="D49" i="13"/>
  <c r="D35" i="13"/>
  <c r="K19" i="13"/>
  <c r="K24" i="13"/>
  <c r="K20" i="13"/>
  <c r="K21" i="13"/>
  <c r="K23" i="13"/>
  <c r="K25" i="13"/>
  <c r="K26" i="13"/>
  <c r="K22" i="13"/>
  <c r="J53" i="13"/>
  <c r="J54" i="13"/>
  <c r="F52" i="13"/>
  <c r="F49" i="13"/>
  <c r="I54" i="13"/>
  <c r="J52" i="13"/>
  <c r="F50" i="13"/>
  <c r="F54" i="13"/>
  <c r="F51" i="13"/>
  <c r="J48" i="13"/>
  <c r="F47" i="13"/>
  <c r="F53" i="13"/>
  <c r="J50" i="13"/>
  <c r="F48" i="13"/>
  <c r="J47" i="13"/>
  <c r="G47" i="13"/>
  <c r="G49" i="13"/>
  <c r="G51" i="13"/>
  <c r="G53" i="13"/>
  <c r="I50" i="13"/>
  <c r="J49" i="13"/>
  <c r="I47" i="13"/>
  <c r="I49" i="13"/>
  <c r="I51" i="13"/>
  <c r="I53" i="13"/>
  <c r="J51" i="13"/>
  <c r="G48" i="13"/>
  <c r="G50" i="13"/>
  <c r="G52" i="13"/>
  <c r="G54" i="13"/>
  <c r="I48" i="13"/>
  <c r="I52" i="13"/>
  <c r="D20" i="13"/>
  <c r="D21" i="13"/>
  <c r="L21" i="13" s="1"/>
  <c r="B70" i="13" s="1"/>
  <c r="D38" i="13"/>
  <c r="L38" i="13" s="1"/>
  <c r="D73" i="13" s="1"/>
  <c r="D52" i="13"/>
  <c r="L52" i="13" s="1"/>
  <c r="F73" i="13" s="1"/>
  <c r="D22" i="13"/>
  <c r="L22" i="13" s="1"/>
  <c r="B71" i="13" s="1"/>
  <c r="D24" i="13"/>
  <c r="L24" i="13" s="1"/>
  <c r="B73" i="13" s="1"/>
  <c r="D36" i="13"/>
  <c r="L36" i="13" s="1"/>
  <c r="D71" i="13" s="1"/>
  <c r="D34" i="13"/>
  <c r="I40" i="13"/>
  <c r="J33" i="13"/>
  <c r="F36" i="13"/>
  <c r="J37" i="13"/>
  <c r="F40" i="13"/>
  <c r="F33" i="13"/>
  <c r="J38" i="13"/>
  <c r="G35" i="13"/>
  <c r="G39" i="13"/>
  <c r="I35" i="13"/>
  <c r="F35" i="13"/>
  <c r="J36" i="13"/>
  <c r="F39" i="13"/>
  <c r="J40" i="13"/>
  <c r="G34" i="13"/>
  <c r="G36" i="13"/>
  <c r="G38" i="13"/>
  <c r="G40" i="13"/>
  <c r="I34" i="13"/>
  <c r="I36" i="13"/>
  <c r="I38" i="13"/>
  <c r="J34" i="13"/>
  <c r="G33" i="13"/>
  <c r="I37" i="13"/>
  <c r="F34" i="13"/>
  <c r="J35" i="13"/>
  <c r="F38" i="13"/>
  <c r="J39" i="13"/>
  <c r="F37" i="13"/>
  <c r="G37" i="13"/>
  <c r="I33" i="13"/>
  <c r="I39" i="13"/>
  <c r="H23" i="13"/>
  <c r="H24" i="13"/>
  <c r="H26" i="13"/>
  <c r="C75" i="13" s="1"/>
  <c r="H22" i="13"/>
  <c r="H25" i="13"/>
  <c r="C74" i="13" s="1"/>
  <c r="H21" i="13"/>
  <c r="H19" i="13"/>
  <c r="M19" i="13" s="1"/>
  <c r="C68" i="13" s="1"/>
  <c r="H20" i="13"/>
  <c r="M20" i="13" s="1"/>
  <c r="C69" i="13" s="1"/>
  <c r="D47" i="13"/>
  <c r="D48" i="13"/>
  <c r="D19" i="13"/>
  <c r="D33" i="13"/>
  <c r="F30" i="13"/>
  <c r="L542" i="4"/>
  <c r="M542" i="4" s="1"/>
  <c r="R541" i="4"/>
  <c r="Q541" i="4"/>
  <c r="P541" i="4"/>
  <c r="S541" i="4"/>
  <c r="O541" i="4"/>
  <c r="N541" i="4"/>
  <c r="L627" i="4"/>
  <c r="M627" i="4" s="1"/>
  <c r="O626" i="4"/>
  <c r="S626" i="4"/>
  <c r="P626" i="4"/>
  <c r="Q626" i="4"/>
  <c r="N626" i="4"/>
  <c r="R626" i="4"/>
  <c r="L611" i="4"/>
  <c r="M611" i="4" s="1"/>
  <c r="O610" i="4"/>
  <c r="S610" i="4"/>
  <c r="P610" i="4"/>
  <c r="Q610" i="4"/>
  <c r="N610" i="4"/>
  <c r="R610" i="4"/>
  <c r="L203" i="4"/>
  <c r="M203" i="4" s="1"/>
  <c r="Q202" i="4"/>
  <c r="N202" i="4"/>
  <c r="R202" i="4"/>
  <c r="S202" i="4"/>
  <c r="O202" i="4"/>
  <c r="P202" i="4"/>
  <c r="L440" i="4"/>
  <c r="M440" i="4" s="1"/>
  <c r="P439" i="4"/>
  <c r="Q439" i="4"/>
  <c r="N439" i="4"/>
  <c r="R439" i="4"/>
  <c r="O439" i="4"/>
  <c r="S439" i="4"/>
  <c r="L321" i="4"/>
  <c r="M321" i="4" s="1"/>
  <c r="Q320" i="4"/>
  <c r="N320" i="4"/>
  <c r="R320" i="4"/>
  <c r="O320" i="4"/>
  <c r="S320" i="4"/>
  <c r="P320" i="4"/>
  <c r="L1018" i="4"/>
  <c r="M1018" i="4" s="1"/>
  <c r="N1017" i="4"/>
  <c r="R1017" i="4"/>
  <c r="O1017" i="4"/>
  <c r="S1017" i="4"/>
  <c r="P1017" i="4"/>
  <c r="Q1017" i="4"/>
  <c r="L1171" i="4"/>
  <c r="M1171" i="4" s="1"/>
  <c r="P1170" i="4"/>
  <c r="Q1170" i="4"/>
  <c r="N1170" i="4"/>
  <c r="R1170" i="4"/>
  <c r="O1170" i="4"/>
  <c r="S1170" i="4"/>
  <c r="L1342" i="4"/>
  <c r="M1342" i="4" s="1"/>
  <c r="N1341" i="4"/>
  <c r="R1341" i="4"/>
  <c r="O1341" i="4"/>
  <c r="S1341" i="4"/>
  <c r="P1341" i="4"/>
  <c r="Q1341" i="4"/>
  <c r="L100" i="4"/>
  <c r="M100" i="4" s="1"/>
  <c r="O99" i="4"/>
  <c r="S99" i="4"/>
  <c r="P99" i="4"/>
  <c r="Q99" i="4"/>
  <c r="R99" i="4"/>
  <c r="N99" i="4"/>
  <c r="L917" i="4"/>
  <c r="M917" i="4" s="1"/>
  <c r="Q916" i="4"/>
  <c r="N916" i="4"/>
  <c r="R916" i="4"/>
  <c r="S916" i="4"/>
  <c r="O916" i="4"/>
  <c r="P916" i="4"/>
  <c r="L1154" i="4"/>
  <c r="M1154" i="4" s="1"/>
  <c r="N1153" i="4"/>
  <c r="R1153" i="4"/>
  <c r="O1153" i="4"/>
  <c r="S1153" i="4"/>
  <c r="P1153" i="4"/>
  <c r="Q1153" i="4"/>
  <c r="L695" i="4"/>
  <c r="M695" i="4" s="1"/>
  <c r="O694" i="4"/>
  <c r="S694" i="4"/>
  <c r="P694" i="4"/>
  <c r="Q694" i="4"/>
  <c r="N694" i="4"/>
  <c r="R694" i="4"/>
  <c r="L950" i="4"/>
  <c r="M950" i="4" s="1"/>
  <c r="P949" i="4"/>
  <c r="Q949" i="4"/>
  <c r="R949" i="4"/>
  <c r="N949" i="4"/>
  <c r="S949" i="4"/>
  <c r="O949" i="4"/>
  <c r="L117" i="4"/>
  <c r="M117" i="4" s="1"/>
  <c r="Q116" i="4"/>
  <c r="N116" i="4"/>
  <c r="R116" i="4"/>
  <c r="O116" i="4"/>
  <c r="S116" i="4"/>
  <c r="P116" i="4"/>
  <c r="L1222" i="4"/>
  <c r="M1222" i="4" s="1"/>
  <c r="N1221" i="4"/>
  <c r="R1221" i="4"/>
  <c r="O1221" i="4"/>
  <c r="S1221" i="4"/>
  <c r="P1221" i="4"/>
  <c r="Q1221" i="4"/>
  <c r="L253" i="4"/>
  <c r="M253" i="4" s="1"/>
  <c r="N252" i="4"/>
  <c r="R252" i="4"/>
  <c r="S252" i="4"/>
  <c r="O252" i="4"/>
  <c r="P252" i="4"/>
  <c r="Q252" i="4"/>
  <c r="L219" i="4"/>
  <c r="M219" i="4" s="1"/>
  <c r="Q218" i="4"/>
  <c r="N218" i="4"/>
  <c r="R218" i="4"/>
  <c r="O218" i="4"/>
  <c r="P218" i="4"/>
  <c r="S218" i="4"/>
  <c r="L406" i="4"/>
  <c r="M406" i="4" s="1"/>
  <c r="P405" i="4"/>
  <c r="Q405" i="4"/>
  <c r="N405" i="4"/>
  <c r="R405" i="4"/>
  <c r="S405" i="4"/>
  <c r="O405" i="4"/>
  <c r="L1290" i="4"/>
  <c r="M1290" i="4" s="1"/>
  <c r="N1289" i="4"/>
  <c r="R1289" i="4"/>
  <c r="O1289" i="4"/>
  <c r="S1289" i="4"/>
  <c r="P1289" i="4"/>
  <c r="Q1289" i="4"/>
  <c r="L85" i="4"/>
  <c r="M85" i="4" s="1"/>
  <c r="Q84" i="4"/>
  <c r="N84" i="4"/>
  <c r="R84" i="4"/>
  <c r="O84" i="4"/>
  <c r="S84" i="4"/>
  <c r="P84" i="4"/>
  <c r="L1324" i="4"/>
  <c r="M1324" i="4" s="1"/>
  <c r="N1323" i="4"/>
  <c r="R1323" i="4"/>
  <c r="O1323" i="4"/>
  <c r="S1323" i="4"/>
  <c r="P1323" i="4"/>
  <c r="Q1323" i="4"/>
  <c r="L1274" i="4"/>
  <c r="M1274" i="4" s="1"/>
  <c r="N1273" i="4"/>
  <c r="R1273" i="4"/>
  <c r="O1273" i="4"/>
  <c r="S1273" i="4"/>
  <c r="P1273" i="4"/>
  <c r="Q1273" i="4"/>
  <c r="L1307" i="4"/>
  <c r="M1307" i="4" s="1"/>
  <c r="P1306" i="4"/>
  <c r="Q1306" i="4"/>
  <c r="N1306" i="4"/>
  <c r="R1306" i="4"/>
  <c r="O1306" i="4"/>
  <c r="S1306" i="4"/>
  <c r="L1120" i="4"/>
  <c r="M1120" i="4" s="1"/>
  <c r="N1119" i="4"/>
  <c r="R1119" i="4"/>
  <c r="O1119" i="4"/>
  <c r="S1119" i="4"/>
  <c r="P1119" i="4"/>
  <c r="Q1119" i="4"/>
  <c r="L883" i="4"/>
  <c r="M883" i="4" s="1"/>
  <c r="Q882" i="4"/>
  <c r="N882" i="4"/>
  <c r="R882" i="4"/>
  <c r="O882" i="4"/>
  <c r="P882" i="4"/>
  <c r="S882" i="4"/>
  <c r="L338" i="4"/>
  <c r="M338" i="4" s="1"/>
  <c r="O337" i="4"/>
  <c r="S337" i="4"/>
  <c r="P337" i="4"/>
  <c r="Q337" i="4"/>
  <c r="R337" i="4"/>
  <c r="N337" i="4"/>
  <c r="L712" i="4"/>
  <c r="M712" i="4" s="1"/>
  <c r="Q711" i="4"/>
  <c r="N711" i="4"/>
  <c r="R711" i="4"/>
  <c r="O711" i="4"/>
  <c r="S711" i="4"/>
  <c r="P711" i="4"/>
  <c r="L781" i="4"/>
  <c r="M781" i="4" s="1"/>
  <c r="Q780" i="4"/>
  <c r="N780" i="4"/>
  <c r="R780" i="4"/>
  <c r="O780" i="4"/>
  <c r="S780" i="4"/>
  <c r="P780" i="4"/>
  <c r="L134" i="4"/>
  <c r="M134" i="4" s="1"/>
  <c r="Q133" i="4"/>
  <c r="N133" i="4"/>
  <c r="S133" i="4"/>
  <c r="O133" i="4"/>
  <c r="P133" i="4"/>
  <c r="R133" i="4"/>
  <c r="L1035" i="4"/>
  <c r="M1035" i="4" s="1"/>
  <c r="P1034" i="4"/>
  <c r="Q1034" i="4"/>
  <c r="N1034" i="4"/>
  <c r="R1034" i="4"/>
  <c r="O1034" i="4"/>
  <c r="S1034" i="4"/>
  <c r="L967" i="4"/>
  <c r="M967" i="4" s="1"/>
  <c r="N966" i="4"/>
  <c r="R966" i="4"/>
  <c r="Q966" i="4"/>
  <c r="S966" i="4"/>
  <c r="O966" i="4"/>
  <c r="P966" i="4"/>
  <c r="L236" i="4"/>
  <c r="M236" i="4" s="1"/>
  <c r="O235" i="4"/>
  <c r="S235" i="4"/>
  <c r="Q235" i="4"/>
  <c r="R235" i="4"/>
  <c r="N235" i="4"/>
  <c r="P235" i="4"/>
  <c r="L1001" i="4"/>
  <c r="M1001" i="4" s="1"/>
  <c r="P1000" i="4"/>
  <c r="Q1000" i="4"/>
  <c r="N1000" i="4"/>
  <c r="R1000" i="4"/>
  <c r="O1000" i="4"/>
  <c r="S1000" i="4"/>
  <c r="L389" i="4"/>
  <c r="M389" i="4" s="1"/>
  <c r="N388" i="4"/>
  <c r="R388" i="4"/>
  <c r="O388" i="4"/>
  <c r="S388" i="4"/>
  <c r="P388" i="4"/>
  <c r="Q388" i="4"/>
  <c r="L833" i="4"/>
  <c r="M833" i="4" s="1"/>
  <c r="Q832" i="4"/>
  <c r="R832" i="4"/>
  <c r="O832" i="4"/>
  <c r="P832" i="4"/>
  <c r="L984" i="4"/>
  <c r="M984" i="4" s="1"/>
  <c r="N983" i="4"/>
  <c r="R983" i="4"/>
  <c r="O983" i="4"/>
  <c r="S983" i="4"/>
  <c r="P983" i="4"/>
  <c r="Q983" i="4"/>
  <c r="L1069" i="4"/>
  <c r="M1069" i="4" s="1"/>
  <c r="P1068" i="4"/>
  <c r="Q1068" i="4"/>
  <c r="N1068" i="4"/>
  <c r="R1068" i="4"/>
  <c r="O1068" i="4"/>
  <c r="S1068" i="4"/>
  <c r="L1188" i="4"/>
  <c r="M1188" i="4" s="1"/>
  <c r="N1187" i="4"/>
  <c r="R1187" i="4"/>
  <c r="O1187" i="4"/>
  <c r="S1187" i="4"/>
  <c r="P1187" i="4"/>
  <c r="Q1187" i="4"/>
  <c r="L1138" i="4"/>
  <c r="M1138" i="4" s="1"/>
  <c r="N1137" i="4"/>
  <c r="R1137" i="4"/>
  <c r="O1137" i="4"/>
  <c r="S1137" i="4"/>
  <c r="P1137" i="4"/>
  <c r="Q1137" i="4"/>
  <c r="L1256" i="4"/>
  <c r="M1256" i="4" s="1"/>
  <c r="N1255" i="4"/>
  <c r="R1255" i="4"/>
  <c r="O1255" i="4"/>
  <c r="S1255" i="4"/>
  <c r="P1255" i="4"/>
  <c r="Q1255" i="4"/>
  <c r="L1239" i="4"/>
  <c r="M1239" i="4" s="1"/>
  <c r="P1238" i="4"/>
  <c r="Q1238" i="4"/>
  <c r="N1238" i="4"/>
  <c r="R1238" i="4"/>
  <c r="S1238" i="4"/>
  <c r="O1238" i="4"/>
  <c r="L865" i="4"/>
  <c r="M865" i="4" s="1"/>
  <c r="Q864" i="4"/>
  <c r="N864" i="4"/>
  <c r="R864" i="4"/>
  <c r="O864" i="4"/>
  <c r="P864" i="4"/>
  <c r="S864" i="4"/>
  <c r="L1103" i="4"/>
  <c r="M1103" i="4" s="1"/>
  <c r="P1102" i="4"/>
  <c r="Q1102" i="4"/>
  <c r="N1102" i="4"/>
  <c r="R1102" i="4"/>
  <c r="S1102" i="4"/>
  <c r="O1102" i="4"/>
  <c r="L1206" i="4"/>
  <c r="M1206" i="4" s="1"/>
  <c r="N1205" i="4"/>
  <c r="R1205" i="4"/>
  <c r="O1205" i="4"/>
  <c r="S1205" i="4"/>
  <c r="P1205" i="4"/>
  <c r="Q1205" i="4"/>
  <c r="L372" i="4"/>
  <c r="M372" i="4" s="1"/>
  <c r="P371" i="4"/>
  <c r="Q371" i="4"/>
  <c r="N371" i="4"/>
  <c r="R371" i="4"/>
  <c r="O371" i="4"/>
  <c r="S371" i="4"/>
  <c r="L593" i="4"/>
  <c r="M593" i="4" s="1"/>
  <c r="O592" i="4"/>
  <c r="S592" i="4"/>
  <c r="P592" i="4"/>
  <c r="Q592" i="4"/>
  <c r="N592" i="4"/>
  <c r="R592" i="4"/>
  <c r="L798" i="4"/>
  <c r="M798" i="4" s="1"/>
  <c r="O797" i="4"/>
  <c r="S797" i="4"/>
  <c r="P797" i="4"/>
  <c r="Q797" i="4"/>
  <c r="R797" i="4"/>
  <c r="N797" i="4"/>
  <c r="L814" i="4"/>
  <c r="M814" i="4" s="1"/>
  <c r="O813" i="4"/>
  <c r="S813" i="4"/>
  <c r="P813" i="4"/>
  <c r="N813" i="4"/>
  <c r="Q813" i="4"/>
  <c r="R813" i="4"/>
  <c r="L475" i="4"/>
  <c r="M475" i="4" s="1"/>
  <c r="N474" i="4"/>
  <c r="R474" i="4"/>
  <c r="O474" i="4"/>
  <c r="S474" i="4"/>
  <c r="P474" i="4"/>
  <c r="Q474" i="4"/>
  <c r="L747" i="4"/>
  <c r="M747" i="4" s="1"/>
  <c r="O746" i="4"/>
  <c r="S746" i="4"/>
  <c r="P746" i="4"/>
  <c r="Q746" i="4"/>
  <c r="N746" i="4"/>
  <c r="R746" i="4"/>
  <c r="L559" i="4"/>
  <c r="M559" i="4" s="1"/>
  <c r="N558" i="4"/>
  <c r="R558" i="4"/>
  <c r="O558" i="4"/>
  <c r="S558" i="4"/>
  <c r="P558" i="4"/>
  <c r="Q558" i="4"/>
  <c r="L16" i="4"/>
  <c r="M16" i="4" s="1"/>
  <c r="P15" i="4"/>
  <c r="Q15" i="4"/>
  <c r="N15" i="4"/>
  <c r="R15" i="4"/>
  <c r="O15" i="4"/>
  <c r="S15" i="4"/>
  <c r="L423" i="4"/>
  <c r="M423" i="4" s="1"/>
  <c r="N422" i="4"/>
  <c r="R422" i="4"/>
  <c r="O422" i="4"/>
  <c r="S422" i="4"/>
  <c r="P422" i="4"/>
  <c r="Q422" i="4"/>
  <c r="P457" i="4"/>
  <c r="Q457" i="4"/>
  <c r="N457" i="4"/>
  <c r="R457" i="4"/>
  <c r="O457" i="4"/>
  <c r="S457" i="4"/>
  <c r="L458" i="4"/>
  <c r="M458" i="4" s="1"/>
  <c r="L508" i="4"/>
  <c r="M508" i="4" s="1"/>
  <c r="P507" i="4"/>
  <c r="Q507" i="4"/>
  <c r="N507" i="4"/>
  <c r="R507" i="4"/>
  <c r="O507" i="4"/>
  <c r="S507" i="4"/>
  <c r="L185" i="4"/>
  <c r="M185" i="4" s="1"/>
  <c r="Q184" i="4"/>
  <c r="N184" i="4"/>
  <c r="R184" i="4"/>
  <c r="S184" i="4"/>
  <c r="O184" i="4"/>
  <c r="P184" i="4"/>
  <c r="L304" i="4"/>
  <c r="M304" i="4" s="1"/>
  <c r="P303" i="4"/>
  <c r="O303" i="4"/>
  <c r="Q303" i="4"/>
  <c r="R303" i="4"/>
  <c r="N303" i="4"/>
  <c r="S303" i="4"/>
  <c r="L32" i="4"/>
  <c r="M32" i="4" s="1"/>
  <c r="P31" i="4"/>
  <c r="Q31" i="4"/>
  <c r="N31" i="4"/>
  <c r="R31" i="4"/>
  <c r="O31" i="4"/>
  <c r="S31" i="4"/>
  <c r="N48" i="4"/>
  <c r="R48" i="4"/>
  <c r="O48" i="4"/>
  <c r="S48" i="4"/>
  <c r="P48" i="4"/>
  <c r="Q48" i="4"/>
  <c r="L49" i="4"/>
  <c r="M49" i="4" s="1"/>
  <c r="L491" i="4"/>
  <c r="M491" i="4" s="1"/>
  <c r="N490" i="4"/>
  <c r="R490" i="4"/>
  <c r="O490" i="4"/>
  <c r="S490" i="4"/>
  <c r="P490" i="4"/>
  <c r="Q490" i="4"/>
  <c r="L168" i="4"/>
  <c r="M168" i="4" s="1"/>
  <c r="Q167" i="4"/>
  <c r="O167" i="4"/>
  <c r="P167" i="4"/>
  <c r="R167" i="4"/>
  <c r="S167" i="4"/>
  <c r="N167" i="4"/>
  <c r="L933" i="4"/>
  <c r="M933" i="4" s="1"/>
  <c r="N932" i="4"/>
  <c r="R932" i="4"/>
  <c r="P932" i="4"/>
  <c r="Q932" i="4"/>
  <c r="S932" i="4"/>
  <c r="O932" i="4"/>
  <c r="L271" i="4"/>
  <c r="M271" i="4" s="1"/>
  <c r="N270" i="4"/>
  <c r="R270" i="4"/>
  <c r="S270" i="4"/>
  <c r="O270" i="4"/>
  <c r="P270" i="4"/>
  <c r="Q270" i="4"/>
  <c r="Q643" i="4"/>
  <c r="N643" i="4"/>
  <c r="R643" i="4"/>
  <c r="O643" i="4"/>
  <c r="S643" i="4"/>
  <c r="P643" i="4"/>
  <c r="L644" i="4"/>
  <c r="M644" i="4" s="1"/>
  <c r="L576" i="4"/>
  <c r="M576" i="4" s="1"/>
  <c r="P575" i="4"/>
  <c r="Q575" i="4"/>
  <c r="N575" i="4"/>
  <c r="R575" i="4"/>
  <c r="O575" i="4"/>
  <c r="S575" i="4"/>
  <c r="Q729" i="4"/>
  <c r="N729" i="4"/>
  <c r="R729" i="4"/>
  <c r="O729" i="4"/>
  <c r="S729" i="4"/>
  <c r="P729" i="4"/>
  <c r="L730" i="4"/>
  <c r="M730" i="4" s="1"/>
  <c r="L67" i="4"/>
  <c r="M67" i="4" s="1"/>
  <c r="N66" i="4"/>
  <c r="R66" i="4"/>
  <c r="O66" i="4"/>
  <c r="S66" i="4"/>
  <c r="P66" i="4"/>
  <c r="Q66" i="4"/>
  <c r="L763" i="4"/>
  <c r="M763" i="4" s="1"/>
  <c r="O762" i="4"/>
  <c r="S762" i="4"/>
  <c r="P762" i="4"/>
  <c r="Q762" i="4"/>
  <c r="N762" i="4"/>
  <c r="R762" i="4"/>
  <c r="D2" i="11"/>
  <c r="D3" i="11"/>
  <c r="H3" i="11"/>
  <c r="S287" i="4" l="1"/>
  <c r="S899" i="4"/>
  <c r="P287" i="4"/>
  <c r="O899" i="4"/>
  <c r="Q287" i="4"/>
  <c r="L288" i="4"/>
  <c r="M288" i="4" s="1"/>
  <c r="R899" i="4"/>
  <c r="O287" i="4"/>
  <c r="Q899" i="4"/>
  <c r="R287" i="4"/>
  <c r="N287" i="4"/>
  <c r="N899" i="4"/>
  <c r="L900" i="4"/>
  <c r="M900" i="4" s="1"/>
  <c r="P899" i="4"/>
  <c r="S832" i="4"/>
  <c r="N832" i="4"/>
  <c r="O1086" i="4"/>
  <c r="N661" i="4"/>
  <c r="P1086" i="4"/>
  <c r="R1086" i="4"/>
  <c r="N1086" i="4"/>
  <c r="L1087" i="4"/>
  <c r="M1087" i="4" s="1"/>
  <c r="P661" i="4"/>
  <c r="S1086" i="4"/>
  <c r="Q1086" i="4"/>
  <c r="O525" i="4"/>
  <c r="P525" i="4"/>
  <c r="S661" i="4"/>
  <c r="Q661" i="4"/>
  <c r="O661" i="4"/>
  <c r="L662" i="4"/>
  <c r="M662" i="4" s="1"/>
  <c r="R661" i="4"/>
  <c r="L20" i="13"/>
  <c r="B69" i="13" s="1"/>
  <c r="N525" i="4"/>
  <c r="R525" i="4"/>
  <c r="L526" i="4"/>
  <c r="M526" i="4" s="1"/>
  <c r="S525" i="4"/>
  <c r="Q525" i="4"/>
  <c r="B74" i="13"/>
  <c r="M151" i="4"/>
  <c r="N151" i="4"/>
  <c r="R151" i="4"/>
  <c r="S151" i="4"/>
  <c r="L152" i="4"/>
  <c r="O151" i="4"/>
  <c r="Q151" i="4"/>
  <c r="P151" i="4"/>
  <c r="M1052" i="4"/>
  <c r="Q1052" i="4"/>
  <c r="S1052" i="4"/>
  <c r="N1052" i="4"/>
  <c r="L1053" i="4"/>
  <c r="R1052" i="4"/>
  <c r="P1052" i="4"/>
  <c r="O1052" i="4"/>
  <c r="M848" i="4"/>
  <c r="Q848" i="4"/>
  <c r="O848" i="4"/>
  <c r="N848" i="4"/>
  <c r="P848" i="4"/>
  <c r="R848" i="4"/>
  <c r="L849" i="4"/>
  <c r="S848" i="4"/>
  <c r="M355" i="4"/>
  <c r="L356" i="4"/>
  <c r="Q355" i="4"/>
  <c r="O355" i="4"/>
  <c r="R355" i="4"/>
  <c r="S355" i="4"/>
  <c r="N355" i="4"/>
  <c r="P355" i="4"/>
  <c r="M678" i="4"/>
  <c r="O678" i="4"/>
  <c r="R678" i="4"/>
  <c r="S678" i="4"/>
  <c r="N678" i="4"/>
  <c r="P678" i="4"/>
  <c r="L679" i="4"/>
  <c r="Q678" i="4"/>
  <c r="B75" i="13"/>
  <c r="L19" i="13"/>
  <c r="B68" i="13" s="1"/>
  <c r="K39" i="13"/>
  <c r="D74" i="13" s="1"/>
  <c r="K35" i="13"/>
  <c r="L35" i="13" s="1"/>
  <c r="D70" i="13" s="1"/>
  <c r="K36" i="13"/>
  <c r="K38" i="13"/>
  <c r="K34" i="13"/>
  <c r="L34" i="13" s="1"/>
  <c r="D69" i="13" s="1"/>
  <c r="K37" i="13"/>
  <c r="K33" i="13"/>
  <c r="L33" i="13" s="1"/>
  <c r="D68" i="13" s="1"/>
  <c r="K40" i="13"/>
  <c r="D75" i="13" s="1"/>
  <c r="H54" i="13"/>
  <c r="G75" i="13" s="1"/>
  <c r="H48" i="13"/>
  <c r="M48" i="13" s="1"/>
  <c r="G69" i="13" s="1"/>
  <c r="H47" i="13"/>
  <c r="M47" i="13" s="1"/>
  <c r="G68" i="13" s="1"/>
  <c r="H50" i="13"/>
  <c r="H52" i="13"/>
  <c r="H53" i="13"/>
  <c r="G74" i="13" s="1"/>
  <c r="H51" i="13"/>
  <c r="H49" i="13"/>
  <c r="M49" i="13" s="1"/>
  <c r="G70" i="13" s="1"/>
  <c r="H39" i="13"/>
  <c r="E74" i="13" s="1"/>
  <c r="H35" i="13"/>
  <c r="M35" i="13" s="1"/>
  <c r="E70" i="13" s="1"/>
  <c r="H38" i="13"/>
  <c r="H34" i="13"/>
  <c r="M34" i="13" s="1"/>
  <c r="E69" i="13" s="1"/>
  <c r="H36" i="13"/>
  <c r="H37" i="13"/>
  <c r="H33" i="13"/>
  <c r="M33" i="13" s="1"/>
  <c r="E68" i="13" s="1"/>
  <c r="H40" i="13"/>
  <c r="E75" i="13" s="1"/>
  <c r="K53" i="13"/>
  <c r="F74" i="13" s="1"/>
  <c r="K49" i="13"/>
  <c r="L49" i="13" s="1"/>
  <c r="F70" i="13" s="1"/>
  <c r="K50" i="13"/>
  <c r="K52" i="13"/>
  <c r="K48" i="13"/>
  <c r="L48" i="13" s="1"/>
  <c r="F69" i="13" s="1"/>
  <c r="K51" i="13"/>
  <c r="K47" i="13"/>
  <c r="L47" i="13" s="1"/>
  <c r="F68" i="13" s="1"/>
  <c r="K54" i="13"/>
  <c r="F75" i="13" s="1"/>
  <c r="L543" i="4"/>
  <c r="M543" i="4" s="1"/>
  <c r="S542" i="4"/>
  <c r="N542" i="4"/>
  <c r="P542" i="4"/>
  <c r="R542" i="4"/>
  <c r="Q542" i="4"/>
  <c r="O542" i="4"/>
  <c r="L764" i="4"/>
  <c r="M764" i="4" s="1"/>
  <c r="Q763" i="4"/>
  <c r="N763" i="4"/>
  <c r="R763" i="4"/>
  <c r="O763" i="4"/>
  <c r="S763" i="4"/>
  <c r="P763" i="4"/>
  <c r="L68" i="4"/>
  <c r="M68" i="4" s="1"/>
  <c r="P67" i="4"/>
  <c r="Q67" i="4"/>
  <c r="N67" i="4"/>
  <c r="R67" i="4"/>
  <c r="O67" i="4"/>
  <c r="S67" i="4"/>
  <c r="L577" i="4"/>
  <c r="M577" i="4" s="1"/>
  <c r="N576" i="4"/>
  <c r="R576" i="4"/>
  <c r="O576" i="4"/>
  <c r="S576" i="4"/>
  <c r="P576" i="4"/>
  <c r="Q576" i="4"/>
  <c r="L272" i="4"/>
  <c r="M272" i="4" s="1"/>
  <c r="P271" i="4"/>
  <c r="R271" i="4"/>
  <c r="N271" i="4"/>
  <c r="S271" i="4"/>
  <c r="O271" i="4"/>
  <c r="Q271" i="4"/>
  <c r="L934" i="4"/>
  <c r="M934" i="4" s="1"/>
  <c r="P933" i="4"/>
  <c r="O933" i="4"/>
  <c r="Q933" i="4"/>
  <c r="R933" i="4"/>
  <c r="N933" i="4"/>
  <c r="S933" i="4"/>
  <c r="L169" i="4"/>
  <c r="M169" i="4" s="1"/>
  <c r="O168" i="4"/>
  <c r="S168" i="4"/>
  <c r="N168" i="4"/>
  <c r="P168" i="4"/>
  <c r="Q168" i="4"/>
  <c r="R168" i="4"/>
  <c r="L492" i="4"/>
  <c r="M492" i="4" s="1"/>
  <c r="P491" i="4"/>
  <c r="Q491" i="4"/>
  <c r="N491" i="4"/>
  <c r="R491" i="4"/>
  <c r="O491" i="4"/>
  <c r="S491" i="4"/>
  <c r="L289" i="4"/>
  <c r="M289" i="4" s="1"/>
  <c r="L33" i="4"/>
  <c r="M33" i="4" s="1"/>
  <c r="N32" i="4"/>
  <c r="R32" i="4"/>
  <c r="O32" i="4"/>
  <c r="S32" i="4"/>
  <c r="P32" i="4"/>
  <c r="Q32" i="4"/>
  <c r="L305" i="4"/>
  <c r="M305" i="4" s="1"/>
  <c r="N304" i="4"/>
  <c r="R304" i="4"/>
  <c r="O304" i="4"/>
  <c r="P304" i="4"/>
  <c r="Q304" i="4"/>
  <c r="S304" i="4"/>
  <c r="L186" i="4"/>
  <c r="M186" i="4" s="1"/>
  <c r="O185" i="4"/>
  <c r="S185" i="4"/>
  <c r="P185" i="4"/>
  <c r="N185" i="4"/>
  <c r="Q185" i="4"/>
  <c r="R185" i="4"/>
  <c r="L509" i="4"/>
  <c r="M509" i="4" s="1"/>
  <c r="N508" i="4"/>
  <c r="R508" i="4"/>
  <c r="O508" i="4"/>
  <c r="S508" i="4"/>
  <c r="P508" i="4"/>
  <c r="Q508" i="4"/>
  <c r="L424" i="4"/>
  <c r="M424" i="4" s="1"/>
  <c r="P423" i="4"/>
  <c r="Q423" i="4"/>
  <c r="N423" i="4"/>
  <c r="R423" i="4"/>
  <c r="S423" i="4"/>
  <c r="O423" i="4"/>
  <c r="L17" i="4"/>
  <c r="M17" i="4" s="1"/>
  <c r="N16" i="4"/>
  <c r="R16" i="4"/>
  <c r="O16" i="4"/>
  <c r="S16" i="4"/>
  <c r="P16" i="4"/>
  <c r="Q16" i="4"/>
  <c r="L560" i="4"/>
  <c r="M560" i="4" s="1"/>
  <c r="P559" i="4"/>
  <c r="Q559" i="4"/>
  <c r="N559" i="4"/>
  <c r="R559" i="4"/>
  <c r="S559" i="4"/>
  <c r="O559" i="4"/>
  <c r="L748" i="4"/>
  <c r="M748" i="4" s="1"/>
  <c r="Q747" i="4"/>
  <c r="N747" i="4"/>
  <c r="R747" i="4"/>
  <c r="O747" i="4"/>
  <c r="S747" i="4"/>
  <c r="P747" i="4"/>
  <c r="L476" i="4"/>
  <c r="M476" i="4" s="1"/>
  <c r="P475" i="4"/>
  <c r="Q475" i="4"/>
  <c r="N475" i="4"/>
  <c r="R475" i="4"/>
  <c r="O475" i="4"/>
  <c r="S475" i="4"/>
  <c r="L815" i="4"/>
  <c r="M815" i="4" s="1"/>
  <c r="Q814" i="4"/>
  <c r="N814" i="4"/>
  <c r="R814" i="4"/>
  <c r="O814" i="4"/>
  <c r="P814" i="4"/>
  <c r="S814" i="4"/>
  <c r="L799" i="4"/>
  <c r="M799" i="4" s="1"/>
  <c r="Q798" i="4"/>
  <c r="N798" i="4"/>
  <c r="R798" i="4"/>
  <c r="S798" i="4"/>
  <c r="O798" i="4"/>
  <c r="P798" i="4"/>
  <c r="L594" i="4"/>
  <c r="M594" i="4" s="1"/>
  <c r="Q593" i="4"/>
  <c r="N593" i="4"/>
  <c r="R593" i="4"/>
  <c r="O593" i="4"/>
  <c r="S593" i="4"/>
  <c r="P593" i="4"/>
  <c r="L373" i="4"/>
  <c r="M373" i="4" s="1"/>
  <c r="N372" i="4"/>
  <c r="R372" i="4"/>
  <c r="O372" i="4"/>
  <c r="S372" i="4"/>
  <c r="P372" i="4"/>
  <c r="Q372" i="4"/>
  <c r="L1207" i="4"/>
  <c r="M1207" i="4" s="1"/>
  <c r="P1206" i="4"/>
  <c r="Q1206" i="4"/>
  <c r="N1206" i="4"/>
  <c r="R1206" i="4"/>
  <c r="O1206" i="4"/>
  <c r="S1206" i="4"/>
  <c r="L1104" i="4"/>
  <c r="M1104" i="4" s="1"/>
  <c r="N1103" i="4"/>
  <c r="R1103" i="4"/>
  <c r="O1103" i="4"/>
  <c r="S1103" i="4"/>
  <c r="P1103" i="4"/>
  <c r="Q1103" i="4"/>
  <c r="L866" i="4"/>
  <c r="M866" i="4" s="1"/>
  <c r="O865" i="4"/>
  <c r="S865" i="4"/>
  <c r="P865" i="4"/>
  <c r="Q865" i="4"/>
  <c r="R865" i="4"/>
  <c r="N865" i="4"/>
  <c r="L731" i="4"/>
  <c r="M731" i="4" s="1"/>
  <c r="O730" i="4"/>
  <c r="S730" i="4"/>
  <c r="P730" i="4"/>
  <c r="Q730" i="4"/>
  <c r="N730" i="4"/>
  <c r="R730" i="4"/>
  <c r="L645" i="4"/>
  <c r="M645" i="4" s="1"/>
  <c r="O644" i="4"/>
  <c r="S644" i="4"/>
  <c r="P644" i="4"/>
  <c r="Q644" i="4"/>
  <c r="N644" i="4"/>
  <c r="R644" i="4"/>
  <c r="L50" i="4"/>
  <c r="M50" i="4" s="1"/>
  <c r="P49" i="4"/>
  <c r="Q49" i="4"/>
  <c r="N49" i="4"/>
  <c r="R49" i="4"/>
  <c r="O49" i="4"/>
  <c r="S49" i="4"/>
  <c r="L459" i="4"/>
  <c r="M459" i="4" s="1"/>
  <c r="N458" i="4"/>
  <c r="R458" i="4"/>
  <c r="O458" i="4"/>
  <c r="S458" i="4"/>
  <c r="P458" i="4"/>
  <c r="Q458" i="4"/>
  <c r="L1240" i="4"/>
  <c r="M1240" i="4" s="1"/>
  <c r="N1239" i="4"/>
  <c r="R1239" i="4"/>
  <c r="O1239" i="4"/>
  <c r="S1239" i="4"/>
  <c r="P1239" i="4"/>
  <c r="Q1239" i="4"/>
  <c r="L1257" i="4"/>
  <c r="M1257" i="4" s="1"/>
  <c r="P1256" i="4"/>
  <c r="Q1256" i="4"/>
  <c r="N1256" i="4"/>
  <c r="R1256" i="4"/>
  <c r="S1256" i="4"/>
  <c r="O1256" i="4"/>
  <c r="L1139" i="4"/>
  <c r="M1139" i="4" s="1"/>
  <c r="P1138" i="4"/>
  <c r="Q1138" i="4"/>
  <c r="N1138" i="4"/>
  <c r="R1138" i="4"/>
  <c r="S1138" i="4"/>
  <c r="O1138" i="4"/>
  <c r="L1189" i="4"/>
  <c r="M1189" i="4" s="1"/>
  <c r="P1188" i="4"/>
  <c r="Q1188" i="4"/>
  <c r="N1188" i="4"/>
  <c r="R1188" i="4"/>
  <c r="O1188" i="4"/>
  <c r="S1188" i="4"/>
  <c r="L1070" i="4"/>
  <c r="M1070" i="4" s="1"/>
  <c r="N1069" i="4"/>
  <c r="R1069" i="4"/>
  <c r="O1069" i="4"/>
  <c r="S1069" i="4"/>
  <c r="P1069" i="4"/>
  <c r="Q1069" i="4"/>
  <c r="L985" i="4"/>
  <c r="M985" i="4" s="1"/>
  <c r="P984" i="4"/>
  <c r="Q984" i="4"/>
  <c r="N984" i="4"/>
  <c r="R984" i="4"/>
  <c r="S984" i="4"/>
  <c r="O984" i="4"/>
  <c r="O833" i="4"/>
  <c r="S833" i="4"/>
  <c r="P833" i="4"/>
  <c r="Q833" i="4"/>
  <c r="R833" i="4"/>
  <c r="N833" i="4"/>
  <c r="L390" i="4"/>
  <c r="M390" i="4" s="1"/>
  <c r="P389" i="4"/>
  <c r="Q389" i="4"/>
  <c r="N389" i="4"/>
  <c r="R389" i="4"/>
  <c r="O389" i="4"/>
  <c r="S389" i="4"/>
  <c r="L1002" i="4"/>
  <c r="M1002" i="4" s="1"/>
  <c r="N1001" i="4"/>
  <c r="R1001" i="4"/>
  <c r="O1001" i="4"/>
  <c r="S1001" i="4"/>
  <c r="P1001" i="4"/>
  <c r="Q1001" i="4"/>
  <c r="L237" i="4"/>
  <c r="M237" i="4" s="1"/>
  <c r="Q236" i="4"/>
  <c r="P236" i="4"/>
  <c r="R236" i="4"/>
  <c r="N236" i="4"/>
  <c r="O236" i="4"/>
  <c r="S236" i="4"/>
  <c r="L968" i="4"/>
  <c r="M968" i="4" s="1"/>
  <c r="P967" i="4"/>
  <c r="Q967" i="4"/>
  <c r="R967" i="4"/>
  <c r="N967" i="4"/>
  <c r="S967" i="4"/>
  <c r="O967" i="4"/>
  <c r="L1036" i="4"/>
  <c r="M1036" i="4" s="1"/>
  <c r="N1035" i="4"/>
  <c r="R1035" i="4"/>
  <c r="O1035" i="4"/>
  <c r="S1035" i="4"/>
  <c r="P1035" i="4"/>
  <c r="Q1035" i="4"/>
  <c r="O134" i="4"/>
  <c r="S134" i="4"/>
  <c r="R134" i="4"/>
  <c r="N134" i="4"/>
  <c r="P134" i="4"/>
  <c r="Q134" i="4"/>
  <c r="L135" i="4"/>
  <c r="M135" i="4" s="1"/>
  <c r="L782" i="4"/>
  <c r="M782" i="4" s="1"/>
  <c r="O781" i="4"/>
  <c r="S781" i="4"/>
  <c r="P781" i="4"/>
  <c r="Q781" i="4"/>
  <c r="N781" i="4"/>
  <c r="R781" i="4"/>
  <c r="L713" i="4"/>
  <c r="M713" i="4" s="1"/>
  <c r="O712" i="4"/>
  <c r="S712" i="4"/>
  <c r="P712" i="4"/>
  <c r="Q712" i="4"/>
  <c r="N712" i="4"/>
  <c r="R712" i="4"/>
  <c r="L339" i="4"/>
  <c r="M339" i="4" s="1"/>
  <c r="Q338" i="4"/>
  <c r="N338" i="4"/>
  <c r="R338" i="4"/>
  <c r="O338" i="4"/>
  <c r="S338" i="4"/>
  <c r="P338" i="4"/>
  <c r="L884" i="4"/>
  <c r="M884" i="4" s="1"/>
  <c r="O883" i="4"/>
  <c r="S883" i="4"/>
  <c r="P883" i="4"/>
  <c r="Q883" i="4"/>
  <c r="R883" i="4"/>
  <c r="N883" i="4"/>
  <c r="L1121" i="4"/>
  <c r="M1121" i="4" s="1"/>
  <c r="P1120" i="4"/>
  <c r="Q1120" i="4"/>
  <c r="N1120" i="4"/>
  <c r="R1120" i="4"/>
  <c r="S1120" i="4"/>
  <c r="O1120" i="4"/>
  <c r="L1308" i="4"/>
  <c r="M1308" i="4" s="1"/>
  <c r="N1307" i="4"/>
  <c r="R1307" i="4"/>
  <c r="O1307" i="4"/>
  <c r="S1307" i="4"/>
  <c r="P1307" i="4"/>
  <c r="Q1307" i="4"/>
  <c r="L1275" i="4"/>
  <c r="M1275" i="4" s="1"/>
  <c r="P1274" i="4"/>
  <c r="Q1274" i="4"/>
  <c r="N1274" i="4"/>
  <c r="R1274" i="4"/>
  <c r="S1274" i="4"/>
  <c r="O1274" i="4"/>
  <c r="L1325" i="4"/>
  <c r="M1325" i="4" s="1"/>
  <c r="P1324" i="4"/>
  <c r="Q1324" i="4"/>
  <c r="N1324" i="4"/>
  <c r="R1324" i="4"/>
  <c r="O1324" i="4"/>
  <c r="S1324" i="4"/>
  <c r="O85" i="4"/>
  <c r="S85" i="4"/>
  <c r="P85" i="4"/>
  <c r="Q85" i="4"/>
  <c r="N85" i="4"/>
  <c r="R85" i="4"/>
  <c r="L1291" i="4"/>
  <c r="M1291" i="4" s="1"/>
  <c r="P1290" i="4"/>
  <c r="Q1290" i="4"/>
  <c r="N1290" i="4"/>
  <c r="R1290" i="4"/>
  <c r="O1290" i="4"/>
  <c r="S1290" i="4"/>
  <c r="L407" i="4"/>
  <c r="M407" i="4" s="1"/>
  <c r="N406" i="4"/>
  <c r="R406" i="4"/>
  <c r="O406" i="4"/>
  <c r="S406" i="4"/>
  <c r="P406" i="4"/>
  <c r="Q406" i="4"/>
  <c r="L220" i="4"/>
  <c r="M220" i="4" s="1"/>
  <c r="O219" i="4"/>
  <c r="S219" i="4"/>
  <c r="P219" i="4"/>
  <c r="Q219" i="4"/>
  <c r="R219" i="4"/>
  <c r="N219" i="4"/>
  <c r="L254" i="4"/>
  <c r="M254" i="4" s="1"/>
  <c r="P253" i="4"/>
  <c r="R253" i="4"/>
  <c r="N253" i="4"/>
  <c r="S253" i="4"/>
  <c r="O253" i="4"/>
  <c r="Q253" i="4"/>
  <c r="L1223" i="4"/>
  <c r="M1223" i="4" s="1"/>
  <c r="P1222" i="4"/>
  <c r="Q1222" i="4"/>
  <c r="N1222" i="4"/>
  <c r="R1222" i="4"/>
  <c r="O1222" i="4"/>
  <c r="S1222" i="4"/>
  <c r="L118" i="4"/>
  <c r="M118" i="4" s="1"/>
  <c r="O117" i="4"/>
  <c r="S117" i="4"/>
  <c r="P117" i="4"/>
  <c r="Q117" i="4"/>
  <c r="R117" i="4"/>
  <c r="N117" i="4"/>
  <c r="L951" i="4"/>
  <c r="M951" i="4" s="1"/>
  <c r="N950" i="4"/>
  <c r="R950" i="4"/>
  <c r="P950" i="4"/>
  <c r="Q950" i="4"/>
  <c r="S950" i="4"/>
  <c r="O950" i="4"/>
  <c r="L696" i="4"/>
  <c r="M696" i="4" s="1"/>
  <c r="Q695" i="4"/>
  <c r="N695" i="4"/>
  <c r="R695" i="4"/>
  <c r="O695" i="4"/>
  <c r="S695" i="4"/>
  <c r="P695" i="4"/>
  <c r="L1155" i="4"/>
  <c r="M1155" i="4" s="1"/>
  <c r="P1154" i="4"/>
  <c r="Q1154" i="4"/>
  <c r="N1154" i="4"/>
  <c r="R1154" i="4"/>
  <c r="O1154" i="4"/>
  <c r="S1154" i="4"/>
  <c r="L918" i="4"/>
  <c r="M918" i="4" s="1"/>
  <c r="O917" i="4"/>
  <c r="S917" i="4"/>
  <c r="P917" i="4"/>
  <c r="N917" i="4"/>
  <c r="Q917" i="4"/>
  <c r="R917" i="4"/>
  <c r="L101" i="4"/>
  <c r="M101" i="4" s="1"/>
  <c r="Q100" i="4"/>
  <c r="N100" i="4"/>
  <c r="R100" i="4"/>
  <c r="O100" i="4"/>
  <c r="S100" i="4"/>
  <c r="P100" i="4"/>
  <c r="L1343" i="4"/>
  <c r="M1343" i="4" s="1"/>
  <c r="P1342" i="4"/>
  <c r="Q1342" i="4"/>
  <c r="N1342" i="4"/>
  <c r="R1342" i="4"/>
  <c r="O1342" i="4"/>
  <c r="S1342" i="4"/>
  <c r="L1172" i="4"/>
  <c r="M1172" i="4" s="1"/>
  <c r="N1171" i="4"/>
  <c r="R1171" i="4"/>
  <c r="O1171" i="4"/>
  <c r="S1171" i="4"/>
  <c r="P1171" i="4"/>
  <c r="Q1171" i="4"/>
  <c r="L1019" i="4"/>
  <c r="M1019" i="4" s="1"/>
  <c r="P1018" i="4"/>
  <c r="Q1018" i="4"/>
  <c r="N1018" i="4"/>
  <c r="R1018" i="4"/>
  <c r="O1018" i="4"/>
  <c r="S1018" i="4"/>
  <c r="L322" i="4"/>
  <c r="M322" i="4" s="1"/>
  <c r="O321" i="4"/>
  <c r="S321" i="4"/>
  <c r="P321" i="4"/>
  <c r="Q321" i="4"/>
  <c r="N321" i="4"/>
  <c r="R321" i="4"/>
  <c r="L441" i="4"/>
  <c r="M441" i="4" s="1"/>
  <c r="N440" i="4"/>
  <c r="R440" i="4"/>
  <c r="O440" i="4"/>
  <c r="S440" i="4"/>
  <c r="P440" i="4"/>
  <c r="Q440" i="4"/>
  <c r="L204" i="4"/>
  <c r="M204" i="4" s="1"/>
  <c r="O203" i="4"/>
  <c r="S203" i="4"/>
  <c r="P203" i="4"/>
  <c r="N203" i="4"/>
  <c r="Q203" i="4"/>
  <c r="R203" i="4"/>
  <c r="Q611" i="4"/>
  <c r="N611" i="4"/>
  <c r="R611" i="4"/>
  <c r="O611" i="4"/>
  <c r="S611" i="4"/>
  <c r="P611" i="4"/>
  <c r="L612" i="4"/>
  <c r="M612" i="4" s="1"/>
  <c r="L628" i="4"/>
  <c r="M628" i="4" s="1"/>
  <c r="Q627" i="4"/>
  <c r="N627" i="4"/>
  <c r="R627" i="4"/>
  <c r="O627" i="4"/>
  <c r="S627" i="4"/>
  <c r="P627" i="4"/>
  <c r="D4" i="11"/>
  <c r="G4" i="11"/>
  <c r="D5" i="11"/>
  <c r="I3" i="11"/>
  <c r="E3" i="11"/>
  <c r="E2" i="11"/>
  <c r="G2" i="11"/>
  <c r="G5" i="11"/>
  <c r="O288" i="4" l="1"/>
  <c r="S288" i="4"/>
  <c r="Q288" i="4"/>
  <c r="R288" i="4"/>
  <c r="P288" i="4"/>
  <c r="N288" i="4"/>
  <c r="R900" i="4"/>
  <c r="P900" i="4"/>
  <c r="Q900" i="4"/>
  <c r="S900" i="4"/>
  <c r="N900" i="4"/>
  <c r="O900" i="4"/>
  <c r="L901" i="4"/>
  <c r="M901" i="4" s="1"/>
  <c r="O1087" i="4"/>
  <c r="N662" i="4"/>
  <c r="R1087" i="4"/>
  <c r="Q1087" i="4"/>
  <c r="S662" i="4"/>
  <c r="P1087" i="4"/>
  <c r="N1087" i="4"/>
  <c r="O662" i="4"/>
  <c r="S1087" i="4"/>
  <c r="L1088" i="4"/>
  <c r="M1088" i="4" s="1"/>
  <c r="R662" i="4"/>
  <c r="Q662" i="4"/>
  <c r="L663" i="4"/>
  <c r="M663" i="4" s="1"/>
  <c r="P662" i="4"/>
  <c r="O526" i="4"/>
  <c r="Q526" i="4"/>
  <c r="R526" i="4"/>
  <c r="P526" i="4"/>
  <c r="N526" i="4"/>
  <c r="S526" i="4"/>
  <c r="L527" i="4"/>
  <c r="M527" i="4" s="1"/>
  <c r="M679" i="4"/>
  <c r="N679" i="4"/>
  <c r="P679" i="4"/>
  <c r="R679" i="4"/>
  <c r="L680" i="4"/>
  <c r="O679" i="4"/>
  <c r="Q679" i="4"/>
  <c r="S679" i="4"/>
  <c r="M849" i="4"/>
  <c r="O849" i="4"/>
  <c r="Q849" i="4"/>
  <c r="S849" i="4"/>
  <c r="R849" i="4"/>
  <c r="P849" i="4"/>
  <c r="L850" i="4"/>
  <c r="N849" i="4"/>
  <c r="M356" i="4"/>
  <c r="Q356" i="4"/>
  <c r="P356" i="4"/>
  <c r="N356" i="4"/>
  <c r="S356" i="4"/>
  <c r="R356" i="4"/>
  <c r="L357" i="4"/>
  <c r="O356" i="4"/>
  <c r="M1053" i="4"/>
  <c r="R1053" i="4"/>
  <c r="Q1053" i="4"/>
  <c r="O1053" i="4"/>
  <c r="L1054" i="4"/>
  <c r="S1053" i="4"/>
  <c r="N1053" i="4"/>
  <c r="P1053" i="4"/>
  <c r="M152" i="4"/>
  <c r="R152" i="4"/>
  <c r="L153" i="4"/>
  <c r="N152" i="4"/>
  <c r="O152" i="4"/>
  <c r="P152" i="4"/>
  <c r="S152" i="4"/>
  <c r="Q152" i="4"/>
  <c r="P543" i="4"/>
  <c r="O543" i="4"/>
  <c r="Q543" i="4"/>
  <c r="S543" i="4"/>
  <c r="N543" i="4"/>
  <c r="L544" i="4"/>
  <c r="M544" i="4" s="1"/>
  <c r="R543" i="4"/>
  <c r="O612" i="4"/>
  <c r="S612" i="4"/>
  <c r="P612" i="4"/>
  <c r="Q612" i="4"/>
  <c r="N612" i="4"/>
  <c r="R612" i="4"/>
  <c r="L1326" i="4"/>
  <c r="M1326" i="4" s="1"/>
  <c r="N1325" i="4"/>
  <c r="R1325" i="4"/>
  <c r="O1325" i="4"/>
  <c r="S1325" i="4"/>
  <c r="P1325" i="4"/>
  <c r="Q1325" i="4"/>
  <c r="N1275" i="4"/>
  <c r="R1275" i="4"/>
  <c r="O1275" i="4"/>
  <c r="S1275" i="4"/>
  <c r="P1275" i="4"/>
  <c r="Q1275" i="4"/>
  <c r="L1309" i="4"/>
  <c r="M1309" i="4" s="1"/>
  <c r="P1308" i="4"/>
  <c r="Q1308" i="4"/>
  <c r="N1308" i="4"/>
  <c r="R1308" i="4"/>
  <c r="O1308" i="4"/>
  <c r="S1308" i="4"/>
  <c r="L1122" i="4"/>
  <c r="M1122" i="4" s="1"/>
  <c r="N1121" i="4"/>
  <c r="R1121" i="4"/>
  <c r="O1121" i="4"/>
  <c r="S1121" i="4"/>
  <c r="P1121" i="4"/>
  <c r="Q1121" i="4"/>
  <c r="Q884" i="4"/>
  <c r="N884" i="4"/>
  <c r="R884" i="4"/>
  <c r="S884" i="4"/>
  <c r="O884" i="4"/>
  <c r="P884" i="4"/>
  <c r="L340" i="4"/>
  <c r="M340" i="4" s="1"/>
  <c r="O339" i="4"/>
  <c r="S339" i="4"/>
  <c r="P339" i="4"/>
  <c r="Q339" i="4"/>
  <c r="N339" i="4"/>
  <c r="R339" i="4"/>
  <c r="L714" i="4"/>
  <c r="M714" i="4" s="1"/>
  <c r="Q713" i="4"/>
  <c r="N713" i="4"/>
  <c r="R713" i="4"/>
  <c r="O713" i="4"/>
  <c r="S713" i="4"/>
  <c r="P713" i="4"/>
  <c r="Q782" i="4"/>
  <c r="N782" i="4"/>
  <c r="R782" i="4"/>
  <c r="O782" i="4"/>
  <c r="S782" i="4"/>
  <c r="P782" i="4"/>
  <c r="O901" i="4"/>
  <c r="L1105" i="4"/>
  <c r="M1105" i="4" s="1"/>
  <c r="P1104" i="4"/>
  <c r="Q1104" i="4"/>
  <c r="N1104" i="4"/>
  <c r="R1104" i="4"/>
  <c r="O1104" i="4"/>
  <c r="S1104" i="4"/>
  <c r="N1207" i="4"/>
  <c r="R1207" i="4"/>
  <c r="O1207" i="4"/>
  <c r="S1207" i="4"/>
  <c r="P1207" i="4"/>
  <c r="Q1207" i="4"/>
  <c r="L374" i="4"/>
  <c r="M374" i="4" s="1"/>
  <c r="P373" i="4"/>
  <c r="Q373" i="4"/>
  <c r="N373" i="4"/>
  <c r="R373" i="4"/>
  <c r="O373" i="4"/>
  <c r="S373" i="4"/>
  <c r="L595" i="4"/>
  <c r="M595" i="4" s="1"/>
  <c r="O594" i="4"/>
  <c r="S594" i="4"/>
  <c r="P594" i="4"/>
  <c r="Q594" i="4"/>
  <c r="N594" i="4"/>
  <c r="R594" i="4"/>
  <c r="O799" i="4"/>
  <c r="S799" i="4"/>
  <c r="P799" i="4"/>
  <c r="N799" i="4"/>
  <c r="Q799" i="4"/>
  <c r="R799" i="4"/>
  <c r="L816" i="4"/>
  <c r="M816" i="4" s="1"/>
  <c r="O815" i="4"/>
  <c r="S815" i="4"/>
  <c r="P815" i="4"/>
  <c r="Q815" i="4"/>
  <c r="R815" i="4"/>
  <c r="N815" i="4"/>
  <c r="N476" i="4"/>
  <c r="R476" i="4"/>
  <c r="O476" i="4"/>
  <c r="S476" i="4"/>
  <c r="P476" i="4"/>
  <c r="Q476" i="4"/>
  <c r="O748" i="4"/>
  <c r="S748" i="4"/>
  <c r="P748" i="4"/>
  <c r="Q748" i="4"/>
  <c r="N748" i="4"/>
  <c r="R748" i="4"/>
  <c r="L561" i="4"/>
  <c r="M561" i="4" s="1"/>
  <c r="N560" i="4"/>
  <c r="R560" i="4"/>
  <c r="O560" i="4"/>
  <c r="S560" i="4"/>
  <c r="P560" i="4"/>
  <c r="Q560" i="4"/>
  <c r="P17" i="4"/>
  <c r="Q17" i="4"/>
  <c r="N17" i="4"/>
  <c r="R17" i="4"/>
  <c r="S17" i="4"/>
  <c r="O17" i="4"/>
  <c r="N424" i="4"/>
  <c r="R424" i="4"/>
  <c r="O424" i="4"/>
  <c r="S424" i="4"/>
  <c r="P424" i="4"/>
  <c r="Q424" i="4"/>
  <c r="L425" i="4"/>
  <c r="M425" i="4" s="1"/>
  <c r="L510" i="4"/>
  <c r="M510" i="4" s="1"/>
  <c r="P509" i="4"/>
  <c r="Q509" i="4"/>
  <c r="N509" i="4"/>
  <c r="R509" i="4"/>
  <c r="O509" i="4"/>
  <c r="S509" i="4"/>
  <c r="L187" i="4"/>
  <c r="M187" i="4" s="1"/>
  <c r="Q186" i="4"/>
  <c r="N186" i="4"/>
  <c r="R186" i="4"/>
  <c r="O186" i="4"/>
  <c r="P186" i="4"/>
  <c r="S186" i="4"/>
  <c r="L306" i="4"/>
  <c r="M306" i="4" s="1"/>
  <c r="P305" i="4"/>
  <c r="N305" i="4"/>
  <c r="S305" i="4"/>
  <c r="O305" i="4"/>
  <c r="Q305" i="4"/>
  <c r="R305" i="4"/>
  <c r="L34" i="4"/>
  <c r="M34" i="4" s="1"/>
  <c r="P33" i="4"/>
  <c r="Q33" i="4"/>
  <c r="N33" i="4"/>
  <c r="R33" i="4"/>
  <c r="O33" i="4"/>
  <c r="S33" i="4"/>
  <c r="P289" i="4"/>
  <c r="R289" i="4"/>
  <c r="N289" i="4"/>
  <c r="S289" i="4"/>
  <c r="O289" i="4"/>
  <c r="Q289" i="4"/>
  <c r="L493" i="4"/>
  <c r="M493" i="4" s="1"/>
  <c r="N492" i="4"/>
  <c r="R492" i="4"/>
  <c r="O492" i="4"/>
  <c r="S492" i="4"/>
  <c r="P492" i="4"/>
  <c r="Q492" i="4"/>
  <c r="L170" i="4"/>
  <c r="M170" i="4" s="1"/>
  <c r="Q169" i="4"/>
  <c r="N169" i="4"/>
  <c r="S169" i="4"/>
  <c r="O169" i="4"/>
  <c r="P169" i="4"/>
  <c r="R169" i="4"/>
  <c r="L935" i="4"/>
  <c r="M935" i="4" s="1"/>
  <c r="N934" i="4"/>
  <c r="R934" i="4"/>
  <c r="O934" i="4"/>
  <c r="P934" i="4"/>
  <c r="Q934" i="4"/>
  <c r="S934" i="4"/>
  <c r="L969" i="4"/>
  <c r="M969" i="4" s="1"/>
  <c r="N968" i="4"/>
  <c r="R968" i="4"/>
  <c r="P968" i="4"/>
  <c r="Q968" i="4"/>
  <c r="S968" i="4"/>
  <c r="O968" i="4"/>
  <c r="L238" i="4"/>
  <c r="M238" i="4" s="1"/>
  <c r="O237" i="4"/>
  <c r="S237" i="4"/>
  <c r="P237" i="4"/>
  <c r="Q237" i="4"/>
  <c r="R237" i="4"/>
  <c r="N237" i="4"/>
  <c r="L1003" i="4"/>
  <c r="M1003" i="4" s="1"/>
  <c r="P1002" i="4"/>
  <c r="Q1002" i="4"/>
  <c r="N1002" i="4"/>
  <c r="R1002" i="4"/>
  <c r="S1002" i="4"/>
  <c r="O1002" i="4"/>
  <c r="L391" i="4"/>
  <c r="M391" i="4" s="1"/>
  <c r="N390" i="4"/>
  <c r="R390" i="4"/>
  <c r="O390" i="4"/>
  <c r="S390" i="4"/>
  <c r="P390" i="4"/>
  <c r="Q390" i="4"/>
  <c r="L323" i="4"/>
  <c r="M323" i="4" s="1"/>
  <c r="Q322" i="4"/>
  <c r="N322" i="4"/>
  <c r="R322" i="4"/>
  <c r="O322" i="4"/>
  <c r="S322" i="4"/>
  <c r="P322" i="4"/>
  <c r="L1020" i="4"/>
  <c r="M1020" i="4" s="1"/>
  <c r="N1019" i="4"/>
  <c r="R1019" i="4"/>
  <c r="O1019" i="4"/>
  <c r="S1019" i="4"/>
  <c r="P1019" i="4"/>
  <c r="Q1019" i="4"/>
  <c r="L1173" i="4"/>
  <c r="M1173" i="4" s="1"/>
  <c r="P1172" i="4"/>
  <c r="Q1172" i="4"/>
  <c r="N1172" i="4"/>
  <c r="R1172" i="4"/>
  <c r="O1172" i="4"/>
  <c r="S1172" i="4"/>
  <c r="N1343" i="4"/>
  <c r="R1343" i="4"/>
  <c r="O1343" i="4"/>
  <c r="S1343" i="4"/>
  <c r="P1343" i="4"/>
  <c r="Q1343" i="4"/>
  <c r="L102" i="4"/>
  <c r="M102" i="4" s="1"/>
  <c r="O101" i="4"/>
  <c r="S101" i="4"/>
  <c r="P101" i="4"/>
  <c r="Q101" i="4"/>
  <c r="R101" i="4"/>
  <c r="N101" i="4"/>
  <c r="Q918" i="4"/>
  <c r="N918" i="4"/>
  <c r="R918" i="4"/>
  <c r="O918" i="4"/>
  <c r="P918" i="4"/>
  <c r="S918" i="4"/>
  <c r="L1156" i="4"/>
  <c r="M1156" i="4" s="1"/>
  <c r="N1155" i="4"/>
  <c r="R1155" i="4"/>
  <c r="O1155" i="4"/>
  <c r="S1155" i="4"/>
  <c r="P1155" i="4"/>
  <c r="Q1155" i="4"/>
  <c r="L697" i="4"/>
  <c r="M697" i="4" s="1"/>
  <c r="O696" i="4"/>
  <c r="S696" i="4"/>
  <c r="P696" i="4"/>
  <c r="Q696" i="4"/>
  <c r="R696" i="4"/>
  <c r="N696" i="4"/>
  <c r="L952" i="4"/>
  <c r="M952" i="4" s="1"/>
  <c r="P951" i="4"/>
  <c r="O951" i="4"/>
  <c r="Q951" i="4"/>
  <c r="R951" i="4"/>
  <c r="N951" i="4"/>
  <c r="S951" i="4"/>
  <c r="L119" i="4"/>
  <c r="M119" i="4" s="1"/>
  <c r="Q118" i="4"/>
  <c r="N118" i="4"/>
  <c r="R118" i="4"/>
  <c r="O118" i="4"/>
  <c r="S118" i="4"/>
  <c r="P118" i="4"/>
  <c r="L1224" i="4"/>
  <c r="M1224" i="4" s="1"/>
  <c r="N1223" i="4"/>
  <c r="R1223" i="4"/>
  <c r="O1223" i="4"/>
  <c r="S1223" i="4"/>
  <c r="P1223" i="4"/>
  <c r="Q1223" i="4"/>
  <c r="L255" i="4"/>
  <c r="M255" i="4" s="1"/>
  <c r="N254" i="4"/>
  <c r="R254" i="4"/>
  <c r="Q254" i="4"/>
  <c r="S254" i="4"/>
  <c r="O254" i="4"/>
  <c r="P254" i="4"/>
  <c r="Q220" i="4"/>
  <c r="N220" i="4"/>
  <c r="R220" i="4"/>
  <c r="S220" i="4"/>
  <c r="O220" i="4"/>
  <c r="P220" i="4"/>
  <c r="L221" i="4"/>
  <c r="M221" i="4" s="1"/>
  <c r="L408" i="4"/>
  <c r="M408" i="4" s="1"/>
  <c r="P407" i="4"/>
  <c r="Q407" i="4"/>
  <c r="N407" i="4"/>
  <c r="R407" i="4"/>
  <c r="O407" i="4"/>
  <c r="S407" i="4"/>
  <c r="L1292" i="4"/>
  <c r="M1292" i="4" s="1"/>
  <c r="N1291" i="4"/>
  <c r="R1291" i="4"/>
  <c r="O1291" i="4"/>
  <c r="S1291" i="4"/>
  <c r="P1291" i="4"/>
  <c r="Q1291" i="4"/>
  <c r="L136" i="4"/>
  <c r="M136" i="4" s="1"/>
  <c r="Q135" i="4"/>
  <c r="R135" i="4"/>
  <c r="N135" i="4"/>
  <c r="S135" i="4"/>
  <c r="O135" i="4"/>
  <c r="P135" i="4"/>
  <c r="L867" i="4"/>
  <c r="M867" i="4" s="1"/>
  <c r="Q866" i="4"/>
  <c r="N866" i="4"/>
  <c r="R866" i="4"/>
  <c r="S866" i="4"/>
  <c r="O866" i="4"/>
  <c r="P866" i="4"/>
  <c r="L1037" i="4"/>
  <c r="M1037" i="4" s="1"/>
  <c r="P1036" i="4"/>
  <c r="Q1036" i="4"/>
  <c r="N1036" i="4"/>
  <c r="R1036" i="4"/>
  <c r="O1036" i="4"/>
  <c r="S1036" i="4"/>
  <c r="L442" i="4"/>
  <c r="M442" i="4" s="1"/>
  <c r="P441" i="4"/>
  <c r="Q441" i="4"/>
  <c r="N441" i="4"/>
  <c r="R441" i="4"/>
  <c r="S441" i="4"/>
  <c r="O441" i="4"/>
  <c r="L629" i="4"/>
  <c r="M629" i="4" s="1"/>
  <c r="O628" i="4"/>
  <c r="S628" i="4"/>
  <c r="P628" i="4"/>
  <c r="Q628" i="4"/>
  <c r="N628" i="4"/>
  <c r="R628" i="4"/>
  <c r="Q204" i="4"/>
  <c r="N204" i="4"/>
  <c r="R204" i="4"/>
  <c r="O204" i="4"/>
  <c r="P204" i="4"/>
  <c r="S204" i="4"/>
  <c r="L986" i="4"/>
  <c r="M986" i="4" s="1"/>
  <c r="N985" i="4"/>
  <c r="R985" i="4"/>
  <c r="O985" i="4"/>
  <c r="S985" i="4"/>
  <c r="P985" i="4"/>
  <c r="Q985" i="4"/>
  <c r="L1071" i="4"/>
  <c r="M1071" i="4" s="1"/>
  <c r="P1070" i="4"/>
  <c r="Q1070" i="4"/>
  <c r="N1070" i="4"/>
  <c r="R1070" i="4"/>
  <c r="O1070" i="4"/>
  <c r="S1070" i="4"/>
  <c r="L1190" i="4"/>
  <c r="M1190" i="4" s="1"/>
  <c r="N1189" i="4"/>
  <c r="R1189" i="4"/>
  <c r="O1189" i="4"/>
  <c r="S1189" i="4"/>
  <c r="P1189" i="4"/>
  <c r="Q1189" i="4"/>
  <c r="N1139" i="4"/>
  <c r="R1139" i="4"/>
  <c r="O1139" i="4"/>
  <c r="S1139" i="4"/>
  <c r="P1139" i="4"/>
  <c r="Q1139" i="4"/>
  <c r="L1258" i="4"/>
  <c r="M1258" i="4" s="1"/>
  <c r="N1257" i="4"/>
  <c r="R1257" i="4"/>
  <c r="O1257" i="4"/>
  <c r="S1257" i="4"/>
  <c r="P1257" i="4"/>
  <c r="Q1257" i="4"/>
  <c r="L1241" i="4"/>
  <c r="M1241" i="4" s="1"/>
  <c r="P1240" i="4"/>
  <c r="Q1240" i="4"/>
  <c r="N1240" i="4"/>
  <c r="R1240" i="4"/>
  <c r="O1240" i="4"/>
  <c r="S1240" i="4"/>
  <c r="P459" i="4"/>
  <c r="Q459" i="4"/>
  <c r="N459" i="4"/>
  <c r="R459" i="4"/>
  <c r="S459" i="4"/>
  <c r="O459" i="4"/>
  <c r="L51" i="4"/>
  <c r="M51" i="4" s="1"/>
  <c r="N50" i="4"/>
  <c r="R50" i="4"/>
  <c r="O50" i="4"/>
  <c r="S50" i="4"/>
  <c r="P50" i="4"/>
  <c r="Q50" i="4"/>
  <c r="L646" i="4"/>
  <c r="M646" i="4" s="1"/>
  <c r="Q645" i="4"/>
  <c r="N645" i="4"/>
  <c r="R645" i="4"/>
  <c r="O645" i="4"/>
  <c r="S645" i="4"/>
  <c r="P645" i="4"/>
  <c r="Q731" i="4"/>
  <c r="N731" i="4"/>
  <c r="R731" i="4"/>
  <c r="O731" i="4"/>
  <c r="S731" i="4"/>
  <c r="P731" i="4"/>
  <c r="N272" i="4"/>
  <c r="R272" i="4"/>
  <c r="Q272" i="4"/>
  <c r="S272" i="4"/>
  <c r="O272" i="4"/>
  <c r="P272" i="4"/>
  <c r="L578" i="4"/>
  <c r="M578" i="4" s="1"/>
  <c r="P577" i="4"/>
  <c r="Q577" i="4"/>
  <c r="N577" i="4"/>
  <c r="R577" i="4"/>
  <c r="S577" i="4"/>
  <c r="O577" i="4"/>
  <c r="N68" i="4"/>
  <c r="R68" i="4"/>
  <c r="O68" i="4"/>
  <c r="S68" i="4"/>
  <c r="P68" i="4"/>
  <c r="Q68" i="4"/>
  <c r="L765" i="4"/>
  <c r="M765" i="4" s="1"/>
  <c r="O764" i="4"/>
  <c r="S764" i="4"/>
  <c r="P764" i="4"/>
  <c r="Q764" i="4"/>
  <c r="N764" i="4"/>
  <c r="R764" i="4"/>
  <c r="E5" i="11"/>
  <c r="F2" i="11"/>
  <c r="H2" i="11"/>
  <c r="H5" i="11"/>
  <c r="F3" i="11"/>
  <c r="E4" i="11"/>
  <c r="H4" i="11"/>
  <c r="R901" i="4" l="1"/>
  <c r="Q901" i="4"/>
  <c r="P901" i="4"/>
  <c r="N901" i="4"/>
  <c r="S901" i="4"/>
  <c r="R1088" i="4"/>
  <c r="N1088" i="4"/>
  <c r="S1088" i="4"/>
  <c r="Q1088" i="4"/>
  <c r="O1088" i="4"/>
  <c r="P1088" i="4"/>
  <c r="R663" i="4"/>
  <c r="O527" i="4"/>
  <c r="P663" i="4"/>
  <c r="N663" i="4"/>
  <c r="P527" i="4"/>
  <c r="S663" i="4"/>
  <c r="Q663" i="4"/>
  <c r="O663" i="4"/>
  <c r="N527" i="4"/>
  <c r="R527" i="4"/>
  <c r="S527" i="4"/>
  <c r="Q527" i="4"/>
  <c r="M153" i="4"/>
  <c r="R153" i="4"/>
  <c r="P153" i="4"/>
  <c r="N153" i="4"/>
  <c r="S153" i="4"/>
  <c r="Q153" i="4"/>
  <c r="O153" i="4"/>
  <c r="M357" i="4"/>
  <c r="O357" i="4"/>
  <c r="R357" i="4"/>
  <c r="S357" i="4"/>
  <c r="N357" i="4"/>
  <c r="P357" i="4"/>
  <c r="Q357" i="4"/>
  <c r="M850" i="4"/>
  <c r="O850" i="4"/>
  <c r="Q850" i="4"/>
  <c r="P850" i="4"/>
  <c r="N850" i="4"/>
  <c r="S850" i="4"/>
  <c r="R850" i="4"/>
  <c r="M1054" i="4"/>
  <c r="R1054" i="4"/>
  <c r="P1054" i="4"/>
  <c r="O1054" i="4"/>
  <c r="Q1054" i="4"/>
  <c r="S1054" i="4"/>
  <c r="N1054" i="4"/>
  <c r="M680" i="4"/>
  <c r="P680" i="4"/>
  <c r="Q680" i="4"/>
  <c r="O680" i="4"/>
  <c r="N680" i="4"/>
  <c r="S680" i="4"/>
  <c r="R680" i="4"/>
  <c r="N544" i="4"/>
  <c r="P544" i="4"/>
  <c r="R544" i="4"/>
  <c r="Q544" i="4"/>
  <c r="O544" i="4"/>
  <c r="S544" i="4"/>
  <c r="N578" i="4"/>
  <c r="R578" i="4"/>
  <c r="O578" i="4"/>
  <c r="S578" i="4"/>
  <c r="P578" i="4"/>
  <c r="Q578" i="4"/>
  <c r="O221" i="4"/>
  <c r="S221" i="4"/>
  <c r="P221" i="4"/>
  <c r="N221" i="4"/>
  <c r="Q221" i="4"/>
  <c r="R221" i="4"/>
  <c r="Q238" i="4"/>
  <c r="O238" i="4"/>
  <c r="P238" i="4"/>
  <c r="N238" i="4"/>
  <c r="R238" i="4"/>
  <c r="S238" i="4"/>
  <c r="P969" i="4"/>
  <c r="O969" i="4"/>
  <c r="Q969" i="4"/>
  <c r="R969" i="4"/>
  <c r="N969" i="4"/>
  <c r="S969" i="4"/>
  <c r="P561" i="4"/>
  <c r="Q561" i="4"/>
  <c r="N561" i="4"/>
  <c r="R561" i="4"/>
  <c r="O561" i="4"/>
  <c r="S561" i="4"/>
  <c r="P1326" i="4"/>
  <c r="Q1326" i="4"/>
  <c r="N1326" i="4"/>
  <c r="R1326" i="4"/>
  <c r="O1326" i="4"/>
  <c r="S1326" i="4"/>
  <c r="P986" i="4"/>
  <c r="Q986" i="4"/>
  <c r="N986" i="4"/>
  <c r="R986" i="4"/>
  <c r="O986" i="4"/>
  <c r="S986" i="4"/>
  <c r="O323" i="4"/>
  <c r="S323" i="4"/>
  <c r="P323" i="4"/>
  <c r="Q323" i="4"/>
  <c r="N323" i="4"/>
  <c r="R323" i="4"/>
  <c r="N1241" i="4"/>
  <c r="R1241" i="4"/>
  <c r="O1241" i="4"/>
  <c r="S1241" i="4"/>
  <c r="P1241" i="4"/>
  <c r="Q1241" i="4"/>
  <c r="P1258" i="4"/>
  <c r="Q1258" i="4"/>
  <c r="N1258" i="4"/>
  <c r="R1258" i="4"/>
  <c r="O1258" i="4"/>
  <c r="S1258" i="4"/>
  <c r="N1173" i="4"/>
  <c r="R1173" i="4"/>
  <c r="O1173" i="4"/>
  <c r="S1173" i="4"/>
  <c r="P1173" i="4"/>
  <c r="Q1173" i="4"/>
  <c r="N306" i="4"/>
  <c r="R306" i="4"/>
  <c r="S306" i="4"/>
  <c r="O306" i="4"/>
  <c r="P306" i="4"/>
  <c r="Q306" i="4"/>
  <c r="O187" i="4"/>
  <c r="S187" i="4"/>
  <c r="P187" i="4"/>
  <c r="Q187" i="4"/>
  <c r="R187" i="4"/>
  <c r="N187" i="4"/>
  <c r="N510" i="4"/>
  <c r="R510" i="4"/>
  <c r="O510" i="4"/>
  <c r="S510" i="4"/>
  <c r="P510" i="4"/>
  <c r="Q510" i="4"/>
  <c r="Q595" i="4"/>
  <c r="N595" i="4"/>
  <c r="R595" i="4"/>
  <c r="O595" i="4"/>
  <c r="S595" i="4"/>
  <c r="P595" i="4"/>
  <c r="N374" i="4"/>
  <c r="R374" i="4"/>
  <c r="O374" i="4"/>
  <c r="S374" i="4"/>
  <c r="P374" i="4"/>
  <c r="Q374" i="4"/>
  <c r="P1122" i="4"/>
  <c r="Q1122" i="4"/>
  <c r="N1122" i="4"/>
  <c r="R1122" i="4"/>
  <c r="O1122" i="4"/>
  <c r="S1122" i="4"/>
  <c r="N1309" i="4"/>
  <c r="R1309" i="4"/>
  <c r="O1309" i="4"/>
  <c r="S1309" i="4"/>
  <c r="P1309" i="4"/>
  <c r="Q1309" i="4"/>
  <c r="Q765" i="4"/>
  <c r="N765" i="4"/>
  <c r="R765" i="4"/>
  <c r="O765" i="4"/>
  <c r="S765" i="4"/>
  <c r="P765" i="4"/>
  <c r="P51" i="4"/>
  <c r="Q51" i="4"/>
  <c r="N51" i="4"/>
  <c r="R51" i="4"/>
  <c r="O51" i="4"/>
  <c r="S51" i="4"/>
  <c r="Q102" i="4"/>
  <c r="N102" i="4"/>
  <c r="R102" i="4"/>
  <c r="O102" i="4"/>
  <c r="S102" i="4"/>
  <c r="P102" i="4"/>
  <c r="N34" i="4"/>
  <c r="R34" i="4"/>
  <c r="O34" i="4"/>
  <c r="S34" i="4"/>
  <c r="P34" i="4"/>
  <c r="Q34" i="4"/>
  <c r="P425" i="4"/>
  <c r="Q425" i="4"/>
  <c r="N425" i="4"/>
  <c r="R425" i="4"/>
  <c r="O425" i="4"/>
  <c r="S425" i="4"/>
  <c r="Q816" i="4"/>
  <c r="N816" i="4"/>
  <c r="R816" i="4"/>
  <c r="S816" i="4"/>
  <c r="O816" i="4"/>
  <c r="P816" i="4"/>
  <c r="O714" i="4"/>
  <c r="S714" i="4"/>
  <c r="P714" i="4"/>
  <c r="Q714" i="4"/>
  <c r="R714" i="4"/>
  <c r="N714" i="4"/>
  <c r="Q340" i="4"/>
  <c r="N340" i="4"/>
  <c r="R340" i="4"/>
  <c r="O340" i="4"/>
  <c r="S340" i="4"/>
  <c r="P340" i="4"/>
  <c r="P1190" i="4"/>
  <c r="Q1190" i="4"/>
  <c r="N1190" i="4"/>
  <c r="R1190" i="4"/>
  <c r="O1190" i="4"/>
  <c r="S1190" i="4"/>
  <c r="N1071" i="4"/>
  <c r="R1071" i="4"/>
  <c r="O1071" i="4"/>
  <c r="S1071" i="4"/>
  <c r="P1071" i="4"/>
  <c r="Q1071" i="4"/>
  <c r="P1020" i="4"/>
  <c r="Q1020" i="4"/>
  <c r="N1020" i="4"/>
  <c r="R1020" i="4"/>
  <c r="S1020" i="4"/>
  <c r="O1020" i="4"/>
  <c r="P391" i="4"/>
  <c r="Q391" i="4"/>
  <c r="N391" i="4"/>
  <c r="R391" i="4"/>
  <c r="O391" i="4"/>
  <c r="S391" i="4"/>
  <c r="N1003" i="4"/>
  <c r="R1003" i="4"/>
  <c r="O1003" i="4"/>
  <c r="S1003" i="4"/>
  <c r="P1003" i="4"/>
  <c r="Q1003" i="4"/>
  <c r="N1105" i="4"/>
  <c r="R1105" i="4"/>
  <c r="O1105" i="4"/>
  <c r="S1105" i="4"/>
  <c r="P1105" i="4"/>
  <c r="Q1105" i="4"/>
  <c r="O646" i="4"/>
  <c r="S646" i="4"/>
  <c r="P646" i="4"/>
  <c r="Q646" i="4"/>
  <c r="N646" i="4"/>
  <c r="R646" i="4"/>
  <c r="Q629" i="4"/>
  <c r="N629" i="4"/>
  <c r="R629" i="4"/>
  <c r="O629" i="4"/>
  <c r="S629" i="4"/>
  <c r="P629" i="4"/>
  <c r="N442" i="4"/>
  <c r="R442" i="4"/>
  <c r="O442" i="4"/>
  <c r="S442" i="4"/>
  <c r="P442" i="4"/>
  <c r="Q442" i="4"/>
  <c r="N1037" i="4"/>
  <c r="R1037" i="4"/>
  <c r="O1037" i="4"/>
  <c r="S1037" i="4"/>
  <c r="P1037" i="4"/>
  <c r="Q1037" i="4"/>
  <c r="O867" i="4"/>
  <c r="S867" i="4"/>
  <c r="P867" i="4"/>
  <c r="N867" i="4"/>
  <c r="Q867" i="4"/>
  <c r="R867" i="4"/>
  <c r="O136" i="4"/>
  <c r="S136" i="4"/>
  <c r="Q136" i="4"/>
  <c r="R136" i="4"/>
  <c r="N136" i="4"/>
  <c r="P136" i="4"/>
  <c r="P1292" i="4"/>
  <c r="Q1292" i="4"/>
  <c r="N1292" i="4"/>
  <c r="R1292" i="4"/>
  <c r="S1292" i="4"/>
  <c r="O1292" i="4"/>
  <c r="N408" i="4"/>
  <c r="R408" i="4"/>
  <c r="O408" i="4"/>
  <c r="S408" i="4"/>
  <c r="P408" i="4"/>
  <c r="Q408" i="4"/>
  <c r="P255" i="4"/>
  <c r="Q255" i="4"/>
  <c r="R255" i="4"/>
  <c r="N255" i="4"/>
  <c r="S255" i="4"/>
  <c r="O255" i="4"/>
  <c r="P1224" i="4"/>
  <c r="Q1224" i="4"/>
  <c r="N1224" i="4"/>
  <c r="R1224" i="4"/>
  <c r="O1224" i="4"/>
  <c r="S1224" i="4"/>
  <c r="O119" i="4"/>
  <c r="S119" i="4"/>
  <c r="P119" i="4"/>
  <c r="Q119" i="4"/>
  <c r="N119" i="4"/>
  <c r="R119" i="4"/>
  <c r="N952" i="4"/>
  <c r="R952" i="4"/>
  <c r="O952" i="4"/>
  <c r="P952" i="4"/>
  <c r="Q952" i="4"/>
  <c r="S952" i="4"/>
  <c r="Q697" i="4"/>
  <c r="N697" i="4"/>
  <c r="R697" i="4"/>
  <c r="O697" i="4"/>
  <c r="S697" i="4"/>
  <c r="P697" i="4"/>
  <c r="P1156" i="4"/>
  <c r="Q1156" i="4"/>
  <c r="N1156" i="4"/>
  <c r="R1156" i="4"/>
  <c r="S1156" i="4"/>
  <c r="O1156" i="4"/>
  <c r="P935" i="4"/>
  <c r="N935" i="4"/>
  <c r="S935" i="4"/>
  <c r="O935" i="4"/>
  <c r="Q935" i="4"/>
  <c r="R935" i="4"/>
  <c r="Q170" i="4"/>
  <c r="N170" i="4"/>
  <c r="R170" i="4"/>
  <c r="S170" i="4"/>
  <c r="O170" i="4"/>
  <c r="P170" i="4"/>
  <c r="P493" i="4"/>
  <c r="Q493" i="4"/>
  <c r="N493" i="4"/>
  <c r="R493" i="4"/>
  <c r="O493" i="4"/>
  <c r="S493" i="4"/>
  <c r="I5" i="11"/>
  <c r="F5" i="11"/>
  <c r="I2" i="11"/>
  <c r="I4" i="11"/>
  <c r="F4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5F206D-B9A4-453A-8CFB-8CD2FE510032}" keepAlive="1" name="Connection" type="5" refreshedVersion="0" background="1">
    <dbPr connection="Provider=Microsoft.Mashup.OleDb.1;Data Source=$Workbook$;Location=Analysis1;Extended Properties=&quot;&quot;" commandType="0"/>
  </connection>
  <connection id="2" xr16:uid="{42EFEDEC-46A5-46F9-BB35-B4B84CF2203C}" keepAlive="1" name="Connection1" type="5" refreshedVersion="0" background="1">
    <dbPr connection="Provider=Microsoft.Mashup.OleDb.1;Data Source=$Workbook$;Location=Analysis1;Extended Properties=&quot;&quot;" commandType="0"/>
  </connection>
  <connection id="3" xr16:uid="{435B9E18-2910-4AFE-B2FB-9FBB643C029F}" keepAlive="1" name="Connection10" type="5" refreshedVersion="0" background="1">
    <dbPr connection="Provider=Microsoft.Mashup.OleDb.1;Data Source=$Workbook$;Location=Analysis1;Extended Properties=&quot;&quot;" commandType="0"/>
  </connection>
  <connection id="4" xr16:uid="{50EF9E7D-9CB1-42C6-8424-E3083219D176}" keepAlive="1" name="Connection100" type="5" refreshedVersion="0" background="1">
    <dbPr connection="Provider=Microsoft.Mashup.OleDb.1;Data Source=$Workbook$;Location=Analysis1;Extended Properties=&quot;&quot;" commandType="0"/>
  </connection>
  <connection id="5" xr16:uid="{A866897C-6555-4B21-B5EE-D6CAADF5C541}" keepAlive="1" name="Connection101" type="5" refreshedVersion="0" background="1">
    <dbPr connection="Provider=Microsoft.Mashup.OleDb.1;Data Source=$Workbook$;Location=Analysis1;Extended Properties=&quot;&quot;" commandType="0"/>
  </connection>
  <connection id="6" xr16:uid="{A765F039-0D54-4FE2-B565-6CA8F2C0E1B8}" keepAlive="1" name="Connection102" type="5" refreshedVersion="0" background="1">
    <dbPr connection="Provider=Microsoft.Mashup.OleDb.1;Data Source=$Workbook$;Location=Analysis1;Extended Properties=&quot;&quot;" commandType="0"/>
  </connection>
  <connection id="7" xr16:uid="{099DF8AF-38AB-4D21-B056-72774A5C400B}" keepAlive="1" name="Connection103" type="5" refreshedVersion="0" background="1">
    <dbPr connection="Provider=Microsoft.Mashup.OleDb.1;Data Source=$Workbook$;Location=Analysis1;Extended Properties=&quot;&quot;" commandType="0"/>
  </connection>
  <connection id="8" xr16:uid="{135ECB8C-ABB4-4F8A-9358-2FD09380E46B}" keepAlive="1" name="Connection104" type="5" refreshedVersion="0" background="1">
    <dbPr connection="Provider=Microsoft.Mashup.OleDb.1;Data Source=$Workbook$;Location=Analysis1;Extended Properties=&quot;&quot;" commandType="0"/>
  </connection>
  <connection id="9" xr16:uid="{FF9DFEA5-B19F-4B77-8B17-95B5C61D92EE}" keepAlive="1" name="Connection105" type="5" refreshedVersion="0" background="1">
    <dbPr connection="Provider=Microsoft.Mashup.OleDb.1;Data Source=$Workbook$;Location=Analysis1;Extended Properties=&quot;&quot;" commandType="0"/>
  </connection>
  <connection id="10" xr16:uid="{8CF0F410-79E8-4B16-8C1B-6D058A1297AF}" keepAlive="1" name="Connection106" type="5" refreshedVersion="0" background="1">
    <dbPr connection="Provider=Microsoft.Mashup.OleDb.1;Data Source=$Workbook$;Location=Analysis1;Extended Properties=&quot;&quot;" commandType="0"/>
  </connection>
  <connection id="11" xr16:uid="{B5027854-2864-4442-8CF0-D0001E322F24}" keepAlive="1" name="Connection107" type="5" refreshedVersion="0" background="1">
    <dbPr connection="Provider=Microsoft.Mashup.OleDb.1;Data Source=$Workbook$;Location=Analysis1;Extended Properties=&quot;&quot;" commandType="0"/>
  </connection>
  <connection id="12" xr16:uid="{31176DE8-9F50-4ADA-93DA-ADD46DD3B44C}" keepAlive="1" name="Connection108" type="5" refreshedVersion="0" background="1">
    <dbPr connection="Provider=Microsoft.Mashup.OleDb.1;Data Source=$Workbook$;Location=Analysis1;Extended Properties=&quot;&quot;" commandType="0"/>
  </connection>
  <connection id="13" xr16:uid="{A73E0C7C-73DE-4C2D-9A71-8FBE7A34B306}" keepAlive="1" name="Connection109" type="5" refreshedVersion="0" background="1">
    <dbPr connection="Provider=Microsoft.Mashup.OleDb.1;Data Source=$Workbook$;Location=Analysis1;Extended Properties=&quot;&quot;" commandType="0"/>
  </connection>
  <connection id="14" xr16:uid="{C2885F7A-4131-46C0-935A-DCDFB343E3E5}" keepAlive="1" name="Connection11" type="5" refreshedVersion="0" background="1">
    <dbPr connection="Provider=Microsoft.Mashup.OleDb.1;Data Source=$Workbook$;Location=Analysis1;Extended Properties=&quot;&quot;" commandType="0"/>
  </connection>
  <connection id="15" xr16:uid="{46371CDA-FEF5-471E-A105-1017C243D713}" keepAlive="1" name="Connection110" type="5" refreshedVersion="0" background="1">
    <dbPr connection="Provider=Microsoft.Mashup.OleDb.1;Data Source=$Workbook$;Location=Analysis1;Extended Properties=&quot;&quot;" commandType="0"/>
  </connection>
  <connection id="16" xr16:uid="{8B5F5645-6749-4E00-808D-235F3CF4A9E6}" keepAlive="1" name="Connection111" type="5" refreshedVersion="0" background="1">
    <dbPr connection="Provider=Microsoft.Mashup.OleDb.1;Data Source=$Workbook$;Location=Analysis1;Extended Properties=&quot;&quot;" commandType="0"/>
  </connection>
  <connection id="17" xr16:uid="{3659791F-78EA-4544-86B7-F62F65A8BC74}" keepAlive="1" name="Connection112" type="5" refreshedVersion="0" background="1">
    <dbPr connection="Provider=Microsoft.Mashup.OleDb.1;Data Source=$Workbook$;Location=Analysis1;Extended Properties=&quot;&quot;" commandType="0"/>
  </connection>
  <connection id="18" xr16:uid="{0214FE5E-F5F4-479F-BFA5-394BC5C1530B}" keepAlive="1" name="Connection113" type="5" refreshedVersion="0" background="1">
    <dbPr connection="Provider=Microsoft.Mashup.OleDb.1;Data Source=$Workbook$;Location=Analysis1;Extended Properties=&quot;&quot;" commandType="0"/>
  </connection>
  <connection id="19" xr16:uid="{E2A944FC-D7DC-48B5-80B1-64D15BC9B701}" keepAlive="1" name="Connection114" type="5" refreshedVersion="0" background="1">
    <dbPr connection="Provider=Microsoft.Mashup.OleDb.1;Data Source=$Workbook$;Location=Analysis1;Extended Properties=&quot;&quot;" commandType="0"/>
  </connection>
  <connection id="20" xr16:uid="{5EC30388-8FF1-4CC7-826A-77B3EB6ACBF6}" keepAlive="1" name="Connection115" type="5" refreshedVersion="0" background="1">
    <dbPr connection="Provider=Microsoft.Mashup.OleDb.1;Data Source=$Workbook$;Location=Analysis1;Extended Properties=&quot;&quot;" commandType="0"/>
  </connection>
  <connection id="21" xr16:uid="{4AC18890-DE47-4718-971A-9C72E8C752BA}" keepAlive="1" name="Connection116" type="5" refreshedVersion="0" background="1">
    <dbPr connection="Provider=Microsoft.Mashup.OleDb.1;Data Source=$Workbook$;Location=Analysis1;Extended Properties=&quot;&quot;" commandType="0"/>
  </connection>
  <connection id="22" xr16:uid="{F7EF679C-2D7E-46E6-B787-8994004A3DCB}" keepAlive="1" name="Connection117" type="5" refreshedVersion="0" background="1">
    <dbPr connection="Provider=Microsoft.Mashup.OleDb.1;Data Source=$Workbook$;Location=Analysis1;Extended Properties=&quot;&quot;" commandType="0"/>
  </connection>
  <connection id="23" xr16:uid="{83576C54-2923-4049-88C7-BD3E66FC6189}" keepAlive="1" name="Connection118" type="5" refreshedVersion="0" background="1">
    <dbPr connection="Provider=Microsoft.Mashup.OleDb.1;Data Source=$Workbook$;Location=Analysis1;Extended Properties=&quot;&quot;" commandType="0"/>
  </connection>
  <connection id="24" xr16:uid="{250E992B-403B-4CC7-AA89-03104AC358B4}" keepAlive="1" name="Connection119" type="5" refreshedVersion="0" background="1">
    <dbPr connection="Provider=Microsoft.Mashup.OleDb.1;Data Source=$Workbook$;Location=Analysis1;Extended Properties=&quot;&quot;" commandType="0"/>
  </connection>
  <connection id="25" xr16:uid="{DF2DE35A-236B-4EB8-ADDC-F8E8CFEF7B1C}" keepAlive="1" name="Connection12" type="5" refreshedVersion="0" background="1">
    <dbPr connection="Provider=Microsoft.Mashup.OleDb.1;Data Source=$Workbook$;Location=Analysis1;Extended Properties=&quot;&quot;" commandType="0"/>
  </connection>
  <connection id="26" xr16:uid="{089D13E9-9103-4E1C-8004-1FA5684F0413}" keepAlive="1" name="Connection120" type="5" refreshedVersion="0" background="1">
    <dbPr connection="Provider=Microsoft.Mashup.OleDb.1;Data Source=$Workbook$;Location=Analysis1;Extended Properties=&quot;&quot;" commandType="0"/>
  </connection>
  <connection id="27" xr16:uid="{ADFC3DDC-CC8C-4256-A9FA-985B4C51DA1A}" keepAlive="1" name="Connection121" type="5" refreshedVersion="0" background="1">
    <dbPr connection="Provider=Microsoft.Mashup.OleDb.1;Data Source=$Workbook$;Location=Analysis1;Extended Properties=&quot;&quot;" commandType="0"/>
  </connection>
  <connection id="28" xr16:uid="{4C6A5BBC-5FEA-48E0-94F6-5373D0AD7238}" keepAlive="1" name="Connection122" type="5" refreshedVersion="0" background="1">
    <dbPr connection="Provider=Microsoft.Mashup.OleDb.1;Data Source=$Workbook$;Location=Analysis1;Extended Properties=&quot;&quot;" commandType="0"/>
  </connection>
  <connection id="29" xr16:uid="{A127AA8F-689A-43E6-B9EC-EF4E139689E5}" keepAlive="1" name="Connection123" type="5" refreshedVersion="0" background="1">
    <dbPr connection="Provider=Microsoft.Mashup.OleDb.1;Data Source=$Workbook$;Location=Analysis1;Extended Properties=&quot;&quot;" commandType="0"/>
  </connection>
  <connection id="30" xr16:uid="{C9E2D343-3534-4D1A-BC04-FC0FD587649C}" keepAlive="1" name="Connection124" type="5" refreshedVersion="0" background="1">
    <dbPr connection="Provider=Microsoft.Mashup.OleDb.1;Data Source=$Workbook$;Location=Analysis1;Extended Properties=&quot;&quot;" commandType="0"/>
  </connection>
  <connection id="31" xr16:uid="{B7F35F17-2402-4A1D-81B0-749F40B1742E}" keepAlive="1" name="Connection125" type="5" refreshedVersion="0" background="1">
    <dbPr connection="Provider=Microsoft.Mashup.OleDb.1;Data Source=$Workbook$;Location=Analysis1;Extended Properties=&quot;&quot;" commandType="0"/>
  </connection>
  <connection id="32" xr16:uid="{60C9FA8F-CC13-4EFF-AD1B-795BBB3E637A}" keepAlive="1" name="Connection126" type="5" refreshedVersion="0" background="1">
    <dbPr connection="Provider=Microsoft.Mashup.OleDb.1;Data Source=$Workbook$;Location=Analysis1;Extended Properties=&quot;&quot;" commandType="0"/>
  </connection>
  <connection id="33" xr16:uid="{F16A69F1-0B29-4AEB-B638-0FAB270C04B1}" keepAlive="1" name="Connection127" type="5" refreshedVersion="0" background="1">
    <dbPr connection="Provider=Microsoft.Mashup.OleDb.1;Data Source=$Workbook$;Location=Analysis1;Extended Properties=&quot;&quot;" commandType="0"/>
  </connection>
  <connection id="34" xr16:uid="{E11E7F32-0CC7-4710-B8C4-F91A55BEF4D0}" keepAlive="1" name="Connection128" type="5" refreshedVersion="0" background="1">
    <dbPr connection="Provider=Microsoft.Mashup.OleDb.1;Data Source=$Workbook$;Location=Analysis1;Extended Properties=&quot;&quot;" commandType="0"/>
  </connection>
  <connection id="35" xr16:uid="{F651040E-2033-472F-A7C1-78A16089924A}" keepAlive="1" name="Connection129" type="5" refreshedVersion="0" background="1">
    <dbPr connection="Provider=Microsoft.Mashup.OleDb.1;Data Source=$Workbook$;Location=Analysis1;Extended Properties=&quot;&quot;" commandType="0"/>
  </connection>
  <connection id="36" xr16:uid="{3B84FE84-50FB-4068-A72E-3FA2B2AC27AB}" keepAlive="1" name="Connection13" type="5" refreshedVersion="0" background="1">
    <dbPr connection="Provider=Microsoft.Mashup.OleDb.1;Data Source=$Workbook$;Location=Analysis1;Extended Properties=&quot;&quot;" commandType="0"/>
  </connection>
  <connection id="37" xr16:uid="{B2341F1A-DE94-4FCF-A35F-4C4E99C34B02}" keepAlive="1" name="Connection130" type="5" refreshedVersion="0" background="1">
    <dbPr connection="Provider=Microsoft.Mashup.OleDb.1;Data Source=$Workbook$;Location=Analysis1;Extended Properties=&quot;&quot;" commandType="0"/>
  </connection>
  <connection id="38" xr16:uid="{B2F74EB1-96A1-47AC-B226-5F911F99948F}" keepAlive="1" name="Connection131" type="5" refreshedVersion="0" background="1">
    <dbPr connection="Provider=Microsoft.Mashup.OleDb.1;Data Source=$Workbook$;Location=Analysis1;Extended Properties=&quot;&quot;" commandType="0"/>
  </connection>
  <connection id="39" xr16:uid="{8E44B977-95E1-4317-99CA-35E925BCED79}" keepAlive="1" name="Connection132" type="5" refreshedVersion="0" background="1">
    <dbPr connection="Provider=Microsoft.Mashup.OleDb.1;Data Source=$Workbook$;Location=Analysis1;Extended Properties=&quot;&quot;" commandType="0"/>
  </connection>
  <connection id="40" xr16:uid="{2E390332-5779-449B-BF34-B48B3762A66A}" keepAlive="1" name="Connection133" type="5" refreshedVersion="0" background="1">
    <dbPr connection="Provider=Microsoft.Mashup.OleDb.1;Data Source=$Workbook$;Location=Analysis1;Extended Properties=&quot;&quot;" commandType="0"/>
  </connection>
  <connection id="41" xr16:uid="{AB547BAC-A77D-4D6E-BC33-6C46DC5D2118}" keepAlive="1" name="Connection134" type="5" refreshedVersion="0" background="1">
    <dbPr connection="Provider=Microsoft.Mashup.OleDb.1;Data Source=$Workbook$;Location=Analysis1;Extended Properties=&quot;&quot;" commandType="0"/>
  </connection>
  <connection id="42" xr16:uid="{79D6EA92-F203-410C-93C3-CB84A22A3151}" keepAlive="1" name="Connection135" type="5" refreshedVersion="0" background="1">
    <dbPr connection="Provider=Microsoft.Mashup.OleDb.1;Data Source=$Workbook$;Location=Analysis1;Extended Properties=&quot;&quot;" commandType="0"/>
  </connection>
  <connection id="43" xr16:uid="{3B817A93-F13D-4247-BC1F-DEFC4FF4D266}" keepAlive="1" name="Connection136" type="5" refreshedVersion="0" background="1">
    <dbPr connection="Provider=Microsoft.Mashup.OleDb.1;Data Source=$Workbook$;Location=Analysis1;Extended Properties=&quot;&quot;" commandType="0"/>
  </connection>
  <connection id="44" xr16:uid="{C43AD45B-56B3-4497-866A-86420370BD0D}" keepAlive="1" name="Connection137" type="5" refreshedVersion="0" background="1">
    <dbPr connection="Provider=Microsoft.Mashup.OleDb.1;Data Source=$Workbook$;Location=Analysis1;Extended Properties=&quot;&quot;" commandType="0"/>
  </connection>
  <connection id="45" xr16:uid="{026B8922-452F-4ADB-9D8B-38BFA4523B1D}" keepAlive="1" name="Connection138" type="5" refreshedVersion="0" background="1">
    <dbPr connection="Provider=Microsoft.Mashup.OleDb.1;Data Source=$Workbook$;Location=Analysis1;Extended Properties=&quot;&quot;" commandType="0"/>
  </connection>
  <connection id="46" xr16:uid="{5D7ADBC7-4CE2-41D4-92A8-E857201F19CA}" keepAlive="1" name="Connection139" type="5" refreshedVersion="0" background="1">
    <dbPr connection="Provider=Microsoft.Mashup.OleDb.1;Data Source=$Workbook$;Location=Analysis1;Extended Properties=&quot;&quot;" commandType="0"/>
  </connection>
  <connection id="47" xr16:uid="{D13BB7BD-BEE2-4647-9097-FFA6DEFC5AA8}" keepAlive="1" name="Connection14" type="5" refreshedVersion="0" background="1">
    <dbPr connection="Provider=Microsoft.Mashup.OleDb.1;Data Source=$Workbook$;Location=Analysis1;Extended Properties=&quot;&quot;" commandType="0"/>
  </connection>
  <connection id="48" xr16:uid="{DD9A4920-5839-4AE6-867D-CDD3A40A1506}" keepAlive="1" name="Connection140" type="5" refreshedVersion="0" background="1">
    <dbPr connection="Provider=Microsoft.Mashup.OleDb.1;Data Source=$Workbook$;Location=Analysis1;Extended Properties=&quot;&quot;" commandType="0"/>
  </connection>
  <connection id="49" xr16:uid="{D6A139F5-1FA0-4FE6-93B2-F92F5F80BAF7}" keepAlive="1" name="Connection141" type="5" refreshedVersion="0" background="1">
    <dbPr connection="Provider=Microsoft.Mashup.OleDb.1;Data Source=$Workbook$;Location=Analysis1;Extended Properties=&quot;&quot;" commandType="0"/>
  </connection>
  <connection id="50" xr16:uid="{AE9DEE72-2FC0-4532-BCAB-49B42C73EF23}" keepAlive="1" name="Connection142" type="5" refreshedVersion="0" background="1">
    <dbPr connection="Provider=Microsoft.Mashup.OleDb.1;Data Source=$Workbook$;Location=Analysis1;Extended Properties=&quot;&quot;" commandType="0"/>
  </connection>
  <connection id="51" xr16:uid="{F8DF9115-56A4-46B2-BABA-47CE08EFD5D7}" keepAlive="1" name="Connection143" type="5" refreshedVersion="0" background="1">
    <dbPr connection="Provider=Microsoft.Mashup.OleDb.1;Data Source=$Workbook$;Location=Analysis1;Extended Properties=&quot;&quot;" commandType="0"/>
  </connection>
  <connection id="52" xr16:uid="{AC5D1CB0-5F71-4A62-ABE2-3480D39D461D}" keepAlive="1" name="Connection15" type="5" refreshedVersion="0" background="1">
    <dbPr connection="Provider=Microsoft.Mashup.OleDb.1;Data Source=$Workbook$;Location=Analysis1;Extended Properties=&quot;&quot;" commandType="0"/>
  </connection>
  <connection id="53" xr16:uid="{680C322E-6344-4427-90FC-E11C9657E3B1}" keepAlive="1" name="Connection16" type="5" refreshedVersion="0" background="1">
    <dbPr connection="Provider=Microsoft.Mashup.OleDb.1;Data Source=$Workbook$;Location=Analysis1;Extended Properties=&quot;&quot;" commandType="0"/>
  </connection>
  <connection id="54" xr16:uid="{DBF2984F-7073-4117-B90B-13C47706B74F}" keepAlive="1" name="Connection17" type="5" refreshedVersion="0" background="1">
    <dbPr connection="Provider=Microsoft.Mashup.OleDb.1;Data Source=$Workbook$;Location=Analysis1;Extended Properties=&quot;&quot;" commandType="0"/>
  </connection>
  <connection id="55" xr16:uid="{6186CA52-EDAC-495D-AAB2-676E53A0C490}" keepAlive="1" name="Connection18" type="5" refreshedVersion="0" background="1">
    <dbPr connection="Provider=Microsoft.Mashup.OleDb.1;Data Source=$Workbook$;Location=Analysis1;Extended Properties=&quot;&quot;" commandType="0"/>
  </connection>
  <connection id="56" xr16:uid="{4B5C0099-74A0-4642-9608-4381DC878861}" keepAlive="1" name="Connection19" type="5" refreshedVersion="0" background="1">
    <dbPr connection="Provider=Microsoft.Mashup.OleDb.1;Data Source=$Workbook$;Location=Analysis1;Extended Properties=&quot;&quot;" commandType="0"/>
  </connection>
  <connection id="57" xr16:uid="{7248BEAE-58D7-4D29-A875-F4E7B698408F}" keepAlive="1" name="Connection2" type="5" refreshedVersion="0" background="1">
    <dbPr connection="Provider=Microsoft.Mashup.OleDb.1;Data Source=$Workbook$;Location=Analysis1;Extended Properties=&quot;&quot;" commandType="0"/>
  </connection>
  <connection id="58" xr16:uid="{33ADC843-E5BB-49D6-874A-EFAEE85A3E88}" keepAlive="1" name="Connection20" type="5" refreshedVersion="0" background="1">
    <dbPr connection="Provider=Microsoft.Mashup.OleDb.1;Data Source=$Workbook$;Location=Analysis1;Extended Properties=&quot;&quot;" commandType="0"/>
  </connection>
  <connection id="59" xr16:uid="{8A2C2AA7-340A-4C1F-A527-81897EF98622}" keepAlive="1" name="Connection21" type="5" refreshedVersion="0" background="1">
    <dbPr connection="Provider=Microsoft.Mashup.OleDb.1;Data Source=$Workbook$;Location=Analysis1;Extended Properties=&quot;&quot;" commandType="0"/>
  </connection>
  <connection id="60" xr16:uid="{AD79DD56-D87A-4CEB-9D4F-9BCED064D5D5}" keepAlive="1" name="Connection22" type="5" refreshedVersion="0" background="1">
    <dbPr connection="Provider=Microsoft.Mashup.OleDb.1;Data Source=$Workbook$;Location=Analysis1;Extended Properties=&quot;&quot;" commandType="0"/>
  </connection>
  <connection id="61" xr16:uid="{19FFBEBC-FD1E-4C17-BDB1-119EC3F98030}" keepAlive="1" name="Connection23" type="5" refreshedVersion="0" background="1">
    <dbPr connection="Provider=Microsoft.Mashup.OleDb.1;Data Source=$Workbook$;Location=Analysis1;Extended Properties=&quot;&quot;" commandType="0"/>
  </connection>
  <connection id="62" xr16:uid="{EA1375F4-05C0-4092-AC69-8C4C81939D23}" keepAlive="1" name="Connection24" type="5" refreshedVersion="0" background="1">
    <dbPr connection="Provider=Microsoft.Mashup.OleDb.1;Data Source=$Workbook$;Location=Analysis1;Extended Properties=&quot;&quot;" commandType="0"/>
  </connection>
  <connection id="63" xr16:uid="{253A5F40-83D5-48D6-8401-83EE02010FD7}" keepAlive="1" name="Connection25" type="5" refreshedVersion="0" background="1">
    <dbPr connection="Provider=Microsoft.Mashup.OleDb.1;Data Source=$Workbook$;Location=Analysis1;Extended Properties=&quot;&quot;" commandType="0"/>
  </connection>
  <connection id="64" xr16:uid="{19A694D5-ED55-46C2-8C48-5A8738258B8B}" keepAlive="1" name="Connection26" type="5" refreshedVersion="0" background="1">
    <dbPr connection="Provider=Microsoft.Mashup.OleDb.1;Data Source=$Workbook$;Location=Analysis1;Extended Properties=&quot;&quot;" commandType="0"/>
  </connection>
  <connection id="65" xr16:uid="{3FC70E67-5EF6-4095-83B4-8BCF9AE230A8}" keepAlive="1" name="Connection27" type="5" refreshedVersion="0" background="1">
    <dbPr connection="Provider=Microsoft.Mashup.OleDb.1;Data Source=$Workbook$;Location=Analysis1;Extended Properties=&quot;&quot;" commandType="0"/>
  </connection>
  <connection id="66" xr16:uid="{7E31B58D-7590-4855-8A2F-543E344A4A10}" keepAlive="1" name="Connection28" type="5" refreshedVersion="0" background="1">
    <dbPr connection="Provider=Microsoft.Mashup.OleDb.1;Data Source=$Workbook$;Location=Analysis1;Extended Properties=&quot;&quot;" commandType="0"/>
  </connection>
  <connection id="67" xr16:uid="{C19AB98F-E247-4091-AD0C-3D421164513F}" keepAlive="1" name="Connection29" type="5" refreshedVersion="0" background="1">
    <dbPr connection="Provider=Microsoft.Mashup.OleDb.1;Data Source=$Workbook$;Location=Analysis1;Extended Properties=&quot;&quot;" commandType="0"/>
  </connection>
  <connection id="68" xr16:uid="{293004C7-E591-43F6-81E7-01FD3F03FC7F}" keepAlive="1" name="Connection3" type="5" refreshedVersion="0" background="1">
    <dbPr connection="Provider=Microsoft.Mashup.OleDb.1;Data Source=$Workbook$;Location=Analysis1;Extended Properties=&quot;&quot;" commandType="0"/>
  </connection>
  <connection id="69" xr16:uid="{4AEE1004-DC88-42F9-832D-1FE7FD0970ED}" keepAlive="1" name="Connection30" type="5" refreshedVersion="0" background="1">
    <dbPr connection="Provider=Microsoft.Mashup.OleDb.1;Data Source=$Workbook$;Location=Analysis1;Extended Properties=&quot;&quot;" commandType="0"/>
  </connection>
  <connection id="70" xr16:uid="{411E443C-7710-44FF-AF19-946C3597F037}" keepAlive="1" name="Connection31" type="5" refreshedVersion="0" background="1">
    <dbPr connection="Provider=Microsoft.Mashup.OleDb.1;Data Source=$Workbook$;Location=Analysis1;Extended Properties=&quot;&quot;" commandType="0"/>
  </connection>
  <connection id="71" xr16:uid="{B679DBFC-99A0-4F6A-BE79-9C28B2FEB5AA}" keepAlive="1" name="Connection32" type="5" refreshedVersion="0" background="1">
    <dbPr connection="Provider=Microsoft.Mashup.OleDb.1;Data Source=$Workbook$;Location=Analysis1;Extended Properties=&quot;&quot;" commandType="0"/>
  </connection>
  <connection id="72" xr16:uid="{2EE70806-D551-4A82-9FAA-14B3C1819E95}" keepAlive="1" name="Connection33" type="5" refreshedVersion="0" background="1">
    <dbPr connection="Provider=Microsoft.Mashup.OleDb.1;Data Source=$Workbook$;Location=Analysis1;Extended Properties=&quot;&quot;" commandType="0"/>
  </connection>
  <connection id="73" xr16:uid="{5A62C6C6-F84C-43AE-8134-3E514831A1C5}" keepAlive="1" name="Connection34" type="5" refreshedVersion="0" background="1">
    <dbPr connection="Provider=Microsoft.Mashup.OleDb.1;Data Source=$Workbook$;Location=Analysis1;Extended Properties=&quot;&quot;" commandType="0"/>
  </connection>
  <connection id="74" xr16:uid="{B6E81047-8B74-4095-AC82-0E44F2377E9C}" keepAlive="1" name="Connection35" type="5" refreshedVersion="0" background="1">
    <dbPr connection="Provider=Microsoft.Mashup.OleDb.1;Data Source=$Workbook$;Location=Analysis1;Extended Properties=&quot;&quot;" commandType="0"/>
  </connection>
  <connection id="75" xr16:uid="{D48B2D4A-222E-4413-9D49-36C6622084C4}" keepAlive="1" name="Connection36" type="5" refreshedVersion="0" background="1">
    <dbPr connection="Provider=Microsoft.Mashup.OleDb.1;Data Source=$Workbook$;Location=Analysis1;Extended Properties=&quot;&quot;" commandType="0"/>
  </connection>
  <connection id="76" xr16:uid="{7D307287-9BF0-47D4-880E-437082CE4275}" keepAlive="1" name="Connection37" type="5" refreshedVersion="0" background="1">
    <dbPr connection="Provider=Microsoft.Mashup.OleDb.1;Data Source=$Workbook$;Location=Analysis1;Extended Properties=&quot;&quot;" commandType="0"/>
  </connection>
  <connection id="77" xr16:uid="{1298434E-6DE5-4E8C-A2B6-DC3DD8CA0130}" keepAlive="1" name="Connection38" type="5" refreshedVersion="0" background="1">
    <dbPr connection="Provider=Microsoft.Mashup.OleDb.1;Data Source=$Workbook$;Location=Analysis1;Extended Properties=&quot;&quot;" commandType="0"/>
  </connection>
  <connection id="78" xr16:uid="{EBBA9E70-C939-463F-B10A-61C9AAE0FF21}" keepAlive="1" name="Connection39" type="5" refreshedVersion="0" background="1">
    <dbPr connection="Provider=Microsoft.Mashup.OleDb.1;Data Source=$Workbook$;Location=Analysis1;Extended Properties=&quot;&quot;" commandType="0"/>
  </connection>
  <connection id="79" xr16:uid="{5162FBB2-2770-4F40-8C37-B69FE5D5E822}" keepAlive="1" name="Connection4" type="5" refreshedVersion="0" background="1">
    <dbPr connection="Provider=Microsoft.Mashup.OleDb.1;Data Source=$Workbook$;Location=Analysis1;Extended Properties=&quot;&quot;" commandType="0"/>
  </connection>
  <connection id="80" xr16:uid="{3F5BFA60-42E2-4971-B3C9-701A26BAAA7D}" keepAlive="1" name="Connection40" type="5" refreshedVersion="0" background="1">
    <dbPr connection="Provider=Microsoft.Mashup.OleDb.1;Data Source=$Workbook$;Location=Analysis1;Extended Properties=&quot;&quot;" commandType="0"/>
  </connection>
  <connection id="81" xr16:uid="{A679128B-F82A-4F7D-B86B-ABB20728E9B2}" keepAlive="1" name="Connection41" type="5" refreshedVersion="0" background="1">
    <dbPr connection="Provider=Microsoft.Mashup.OleDb.1;Data Source=$Workbook$;Location=Analysis1;Extended Properties=&quot;&quot;" commandType="0"/>
  </connection>
  <connection id="82" xr16:uid="{F38373BC-460D-44E9-BC97-C9EF145D9570}" keepAlive="1" name="Connection42" type="5" refreshedVersion="0" background="1">
    <dbPr connection="Provider=Microsoft.Mashup.OleDb.1;Data Source=$Workbook$;Location=Analysis1;Extended Properties=&quot;&quot;" commandType="0"/>
  </connection>
  <connection id="83" xr16:uid="{F8AF6A63-795D-43AC-80BE-D07A3A5F6C6F}" keepAlive="1" name="Connection43" type="5" refreshedVersion="0" background="1">
    <dbPr connection="Provider=Microsoft.Mashup.OleDb.1;Data Source=$Workbook$;Location=Analysis1;Extended Properties=&quot;&quot;" commandType="0"/>
  </connection>
  <connection id="84" xr16:uid="{71E625E6-6E84-43DE-88D2-B4B551A739F2}" keepAlive="1" name="Connection44" type="5" refreshedVersion="0" background="1">
    <dbPr connection="Provider=Microsoft.Mashup.OleDb.1;Data Source=$Workbook$;Location=Analysis1;Extended Properties=&quot;&quot;" commandType="0"/>
  </connection>
  <connection id="85" xr16:uid="{E0C6BE84-51D7-4A4B-951F-7AAC13B78ACD}" keepAlive="1" name="Connection45" type="5" refreshedVersion="0" background="1">
    <dbPr connection="Provider=Microsoft.Mashup.OleDb.1;Data Source=$Workbook$;Location=Analysis1;Extended Properties=&quot;&quot;" commandType="0"/>
  </connection>
  <connection id="86" xr16:uid="{59963700-CF7C-40A1-A0CE-21ECA4C1F725}" keepAlive="1" name="Connection46" type="5" refreshedVersion="0" background="1">
    <dbPr connection="Provider=Microsoft.Mashup.OleDb.1;Data Source=$Workbook$;Location=Analysis1;Extended Properties=&quot;&quot;" commandType="0"/>
  </connection>
  <connection id="87" xr16:uid="{3A4E3DB0-B68D-4C3A-A764-E362094D0D5A}" keepAlive="1" name="Connection47" type="5" refreshedVersion="0" background="1">
    <dbPr connection="Provider=Microsoft.Mashup.OleDb.1;Data Source=$Workbook$;Location=Analysis1;Extended Properties=&quot;&quot;" commandType="0"/>
  </connection>
  <connection id="88" xr16:uid="{5C60BC89-A307-4C3D-B135-7B4E65F42A9F}" keepAlive="1" name="Connection48" type="5" refreshedVersion="0" background="1">
    <dbPr connection="Provider=Microsoft.Mashup.OleDb.1;Data Source=$Workbook$;Location=Analysis1;Extended Properties=&quot;&quot;" commandType="0"/>
  </connection>
  <connection id="89" xr16:uid="{319B5464-B7B6-4114-BA57-D1E386436BB7}" keepAlive="1" name="Connection49" type="5" refreshedVersion="0" background="1">
    <dbPr connection="Provider=Microsoft.Mashup.OleDb.1;Data Source=$Workbook$;Location=Analysis1;Extended Properties=&quot;&quot;" commandType="0"/>
  </connection>
  <connection id="90" xr16:uid="{D29E84F8-126C-49EF-AF23-90D3968C0C97}" keepAlive="1" name="Connection5" type="5" refreshedVersion="0" background="1">
    <dbPr connection="Provider=Microsoft.Mashup.OleDb.1;Data Source=$Workbook$;Location=Analysis1;Extended Properties=&quot;&quot;" commandType="0"/>
  </connection>
  <connection id="91" xr16:uid="{D8DBBEA7-8D02-49FC-AA97-6E965F3B5AD3}" keepAlive="1" name="Connection50" type="5" refreshedVersion="0" background="1">
    <dbPr connection="Provider=Microsoft.Mashup.OleDb.1;Data Source=$Workbook$;Location=Analysis1;Extended Properties=&quot;&quot;" commandType="0"/>
  </connection>
  <connection id="92" xr16:uid="{F45A81CE-9993-4575-B300-07BE3E2FB95E}" keepAlive="1" name="Connection51" type="5" refreshedVersion="0" background="1">
    <dbPr connection="Provider=Microsoft.Mashup.OleDb.1;Data Source=$Workbook$;Location=Analysis1;Extended Properties=&quot;&quot;" commandType="0"/>
  </connection>
  <connection id="93" xr16:uid="{FE44D1F9-0DA9-4130-A076-D2C71616E7AE}" keepAlive="1" name="Connection52" type="5" refreshedVersion="0" background="1">
    <dbPr connection="Provider=Microsoft.Mashup.OleDb.1;Data Source=$Workbook$;Location=Analysis1;Extended Properties=&quot;&quot;" commandType="0"/>
  </connection>
  <connection id="94" xr16:uid="{6843EA4C-2C9F-4A2D-8232-B9A99BCB7D40}" keepAlive="1" name="Connection53" type="5" refreshedVersion="0" background="1">
    <dbPr connection="Provider=Microsoft.Mashup.OleDb.1;Data Source=$Workbook$;Location=Analysis1;Extended Properties=&quot;&quot;" commandType="0"/>
  </connection>
  <connection id="95" xr16:uid="{C3BA3B25-0CC7-4BE5-8806-6B7EB428772C}" keepAlive="1" name="Connection54" type="5" refreshedVersion="0" background="1">
    <dbPr connection="Provider=Microsoft.Mashup.OleDb.1;Data Source=$Workbook$;Location=Analysis1;Extended Properties=&quot;&quot;" commandType="0"/>
  </connection>
  <connection id="96" xr16:uid="{EBF8FB73-E878-4413-B09F-056266613E50}" keepAlive="1" name="Connection55" type="5" refreshedVersion="0" background="1">
    <dbPr connection="Provider=Microsoft.Mashup.OleDb.1;Data Source=$Workbook$;Location=Analysis1;Extended Properties=&quot;&quot;" commandType="0"/>
  </connection>
  <connection id="97" xr16:uid="{D01581A9-6088-469C-9AE1-44E8F5EB8410}" keepAlive="1" name="Connection56" type="5" refreshedVersion="0" background="1">
    <dbPr connection="Provider=Microsoft.Mashup.OleDb.1;Data Source=$Workbook$;Location=Analysis1;Extended Properties=&quot;&quot;" commandType="0"/>
  </connection>
  <connection id="98" xr16:uid="{5EF159DE-399C-4565-BE43-5D651D28AA8D}" keepAlive="1" name="Connection57" type="5" refreshedVersion="0" background="1">
    <dbPr connection="Provider=Microsoft.Mashup.OleDb.1;Data Source=$Workbook$;Location=Analysis1;Extended Properties=&quot;&quot;" commandType="0"/>
  </connection>
  <connection id="99" xr16:uid="{777CD1EF-EAD5-46A2-8A7F-954B48F23337}" keepAlive="1" name="Connection58" type="5" refreshedVersion="0" background="1">
    <dbPr connection="Provider=Microsoft.Mashup.OleDb.1;Data Source=$Workbook$;Location=Analysis1;Extended Properties=&quot;&quot;" commandType="0"/>
  </connection>
  <connection id="100" xr16:uid="{CFEDD136-4155-43C3-8E1C-B091CB898A39}" keepAlive="1" name="Connection59" type="5" refreshedVersion="0" background="1">
    <dbPr connection="Provider=Microsoft.Mashup.OleDb.1;Data Source=$Workbook$;Location=Analysis1;Extended Properties=&quot;&quot;" commandType="0"/>
  </connection>
  <connection id="101" xr16:uid="{ECC42258-6BEF-4361-9C0F-A2DC3C564B4C}" keepAlive="1" name="Connection6" type="5" refreshedVersion="0" background="1">
    <dbPr connection="Provider=Microsoft.Mashup.OleDb.1;Data Source=$Workbook$;Location=Analysis1;Extended Properties=&quot;&quot;" commandType="0"/>
  </connection>
  <connection id="102" xr16:uid="{F718CD4B-DC96-4EB6-A343-F8D44563F0AC}" keepAlive="1" name="Connection60" type="5" refreshedVersion="0" background="1">
    <dbPr connection="Provider=Microsoft.Mashup.OleDb.1;Data Source=$Workbook$;Location=Analysis1;Extended Properties=&quot;&quot;" commandType="0"/>
  </connection>
  <connection id="103" xr16:uid="{DCF6621F-AB94-4FB7-AFA6-C3C3C663BEB9}" keepAlive="1" name="Connection61" type="5" refreshedVersion="0" background="1">
    <dbPr connection="Provider=Microsoft.Mashup.OleDb.1;Data Source=$Workbook$;Location=Analysis1;Extended Properties=&quot;&quot;" commandType="0"/>
  </connection>
  <connection id="104" xr16:uid="{7B6A1904-8FBE-44C8-BBB5-83E80D296B87}" keepAlive="1" name="Connection62" type="5" refreshedVersion="0" background="1">
    <dbPr connection="Provider=Microsoft.Mashup.OleDb.1;Data Source=$Workbook$;Location=Analysis1;Extended Properties=&quot;&quot;" commandType="0"/>
  </connection>
  <connection id="105" xr16:uid="{4D24481A-C66F-46C1-9BC4-30491B5ACE96}" keepAlive="1" name="Connection63" type="5" refreshedVersion="0" background="1">
    <dbPr connection="Provider=Microsoft.Mashup.OleDb.1;Data Source=$Workbook$;Location=Analysis1;Extended Properties=&quot;&quot;" commandType="0"/>
  </connection>
  <connection id="106" xr16:uid="{DDD4842C-4794-41B5-B998-F72FD703E691}" keepAlive="1" name="Connection64" type="5" refreshedVersion="0" background="1">
    <dbPr connection="Provider=Microsoft.Mashup.OleDb.1;Data Source=$Workbook$;Location=Analysis1;Extended Properties=&quot;&quot;" commandType="0"/>
  </connection>
  <connection id="107" xr16:uid="{661D5618-2342-4A41-BD24-F9A14FAACCE9}" keepAlive="1" name="Connection65" type="5" refreshedVersion="0" background="1">
    <dbPr connection="Provider=Microsoft.Mashup.OleDb.1;Data Source=$Workbook$;Location=Analysis1;Extended Properties=&quot;&quot;" commandType="0"/>
  </connection>
  <connection id="108" xr16:uid="{6DE2C83D-F709-455C-B2A5-B062E136823F}" keepAlive="1" name="Connection66" type="5" refreshedVersion="0" background="1">
    <dbPr connection="Provider=Microsoft.Mashup.OleDb.1;Data Source=$Workbook$;Location=Analysis1;Extended Properties=&quot;&quot;" commandType="0"/>
  </connection>
  <connection id="109" xr16:uid="{0904AEB2-B4F0-4DCA-A197-EE633DE714E0}" keepAlive="1" name="Connection67" type="5" refreshedVersion="0" background="1">
    <dbPr connection="Provider=Microsoft.Mashup.OleDb.1;Data Source=$Workbook$;Location=Analysis1;Extended Properties=&quot;&quot;" commandType="0"/>
  </connection>
  <connection id="110" xr16:uid="{4E4B3729-E1F2-4D5A-A5D4-96B9093E820F}" keepAlive="1" name="Connection68" type="5" refreshedVersion="0" background="1">
    <dbPr connection="Provider=Microsoft.Mashup.OleDb.1;Data Source=$Workbook$;Location=Analysis1;Extended Properties=&quot;&quot;" commandType="0"/>
  </connection>
  <connection id="111" xr16:uid="{F9095BD0-2919-460E-B0C7-37688AE78192}" keepAlive="1" name="Connection69" type="5" refreshedVersion="0" background="1">
    <dbPr connection="Provider=Microsoft.Mashup.OleDb.1;Data Source=$Workbook$;Location=Analysis1;Extended Properties=&quot;&quot;" commandType="0"/>
  </connection>
  <connection id="112" xr16:uid="{E567922D-E53E-4580-8798-0EC8F52CF110}" keepAlive="1" name="Connection7" type="5" refreshedVersion="0" background="1">
    <dbPr connection="Provider=Microsoft.Mashup.OleDb.1;Data Source=$Workbook$;Location=Analysis1;Extended Properties=&quot;&quot;" commandType="0"/>
  </connection>
  <connection id="113" xr16:uid="{656759D7-A5D2-4403-9A67-4EA253081DFB}" keepAlive="1" name="Connection70" type="5" refreshedVersion="0" background="1">
    <dbPr connection="Provider=Microsoft.Mashup.OleDb.1;Data Source=$Workbook$;Location=Analysis1;Extended Properties=&quot;&quot;" commandType="0"/>
  </connection>
  <connection id="114" xr16:uid="{C03727A5-ECCA-42A4-ABE9-128613F6E52F}" keepAlive="1" name="Connection71" type="5" refreshedVersion="0" background="1">
    <dbPr connection="Provider=Microsoft.Mashup.OleDb.1;Data Source=$Workbook$;Location=Analysis1;Extended Properties=&quot;&quot;" commandType="0"/>
  </connection>
  <connection id="115" xr16:uid="{2D07199F-4986-400B-9AAF-6EEE62EFEB54}" keepAlive="1" name="Connection72" type="5" refreshedVersion="0" background="1">
    <dbPr connection="Provider=Microsoft.Mashup.OleDb.1;Data Source=$Workbook$;Location=Analysis1;Extended Properties=&quot;&quot;" commandType="0"/>
  </connection>
  <connection id="116" xr16:uid="{C9CCCAAF-39EB-47C8-B554-F2FEE7D95B39}" keepAlive="1" name="Connection73" type="5" refreshedVersion="0" background="1">
    <dbPr connection="Provider=Microsoft.Mashup.OleDb.1;Data Source=$Workbook$;Location=Analysis1;Extended Properties=&quot;&quot;" commandType="0"/>
  </connection>
  <connection id="117" xr16:uid="{47DE1DD1-1218-4485-88DC-013A8F4EFF2E}" keepAlive="1" name="Connection74" type="5" refreshedVersion="0" background="1">
    <dbPr connection="Provider=Microsoft.Mashup.OleDb.1;Data Source=$Workbook$;Location=Analysis1;Extended Properties=&quot;&quot;" commandType="0"/>
  </connection>
  <connection id="118" xr16:uid="{75E059A1-68F2-41D1-AEF3-4CA08B688F4C}" keepAlive="1" name="Connection75" type="5" refreshedVersion="0" background="1">
    <dbPr connection="Provider=Microsoft.Mashup.OleDb.1;Data Source=$Workbook$;Location=Analysis1;Extended Properties=&quot;&quot;" commandType="0"/>
  </connection>
  <connection id="119" xr16:uid="{86E86CFD-50C6-4C95-8E14-5CAFADFB1098}" keepAlive="1" name="Connection76" type="5" refreshedVersion="0" background="1">
    <dbPr connection="Provider=Microsoft.Mashup.OleDb.1;Data Source=$Workbook$;Location=Analysis1;Extended Properties=&quot;&quot;" commandType="0"/>
  </connection>
  <connection id="120" xr16:uid="{799A112A-8177-4AE6-BB3A-19A6A89EA89B}" keepAlive="1" name="Connection77" type="5" refreshedVersion="0" background="1">
    <dbPr connection="Provider=Microsoft.Mashup.OleDb.1;Data Source=$Workbook$;Location=Analysis1;Extended Properties=&quot;&quot;" commandType="0"/>
  </connection>
  <connection id="121" xr16:uid="{0A7937D1-B053-4A03-816E-3453888DF487}" keepAlive="1" name="Connection78" type="5" refreshedVersion="0" background="1">
    <dbPr connection="Provider=Microsoft.Mashup.OleDb.1;Data Source=$Workbook$;Location=Analysis1;Extended Properties=&quot;&quot;" commandType="0"/>
  </connection>
  <connection id="122" xr16:uid="{8853F6CF-5E8C-4E68-8E2C-351D4EBFA1F1}" keepAlive="1" name="Connection79" type="5" refreshedVersion="0" background="1">
    <dbPr connection="Provider=Microsoft.Mashup.OleDb.1;Data Source=$Workbook$;Location=Analysis1;Extended Properties=&quot;&quot;" commandType="0"/>
  </connection>
  <connection id="123" xr16:uid="{36C7D95D-F647-4DB8-B586-73E7ECA2DF1A}" keepAlive="1" name="Connection8" type="5" refreshedVersion="0" background="1">
    <dbPr connection="Provider=Microsoft.Mashup.OleDb.1;Data Source=$Workbook$;Location=Analysis1;Extended Properties=&quot;&quot;" commandType="0"/>
  </connection>
  <connection id="124" xr16:uid="{2B513369-6429-44CD-9150-3DD3C5096D37}" keepAlive="1" name="Connection80" type="5" refreshedVersion="0" background="1">
    <dbPr connection="Provider=Microsoft.Mashup.OleDb.1;Data Source=$Workbook$;Location=Analysis1;Extended Properties=&quot;&quot;" commandType="0"/>
  </connection>
  <connection id="125" xr16:uid="{0D7514B1-CD78-4529-B233-669C0CDF7188}" keepAlive="1" name="Connection81" type="5" refreshedVersion="0" background="1">
    <dbPr connection="Provider=Microsoft.Mashup.OleDb.1;Data Source=$Workbook$;Location=Analysis1;Extended Properties=&quot;&quot;" commandType="0"/>
  </connection>
  <connection id="126" xr16:uid="{E6D389C3-E0F5-4414-94AF-E4E9112A70D1}" keepAlive="1" name="Connection82" type="5" refreshedVersion="0" background="1">
    <dbPr connection="Provider=Microsoft.Mashup.OleDb.1;Data Source=$Workbook$;Location=Analysis1;Extended Properties=&quot;&quot;" commandType="0"/>
  </connection>
  <connection id="127" xr16:uid="{C419C34A-1375-440C-8F4B-80F0E14CBD9F}" keepAlive="1" name="Connection83" type="5" refreshedVersion="0" background="1">
    <dbPr connection="Provider=Microsoft.Mashup.OleDb.1;Data Source=$Workbook$;Location=Analysis1;Extended Properties=&quot;&quot;" commandType="0"/>
  </connection>
  <connection id="128" xr16:uid="{74DF75E2-B9A5-4AF7-9E46-8E8CD191DA5A}" keepAlive="1" name="Connection84" type="5" refreshedVersion="0" background="1">
    <dbPr connection="Provider=Microsoft.Mashup.OleDb.1;Data Source=$Workbook$;Location=Analysis1;Extended Properties=&quot;&quot;" commandType="0"/>
  </connection>
  <connection id="129" xr16:uid="{4A7AFC4A-F132-4943-8E9E-260DB35A46A0}" keepAlive="1" name="Connection85" type="5" refreshedVersion="0" background="1">
    <dbPr connection="Provider=Microsoft.Mashup.OleDb.1;Data Source=$Workbook$;Location=Analysis1;Extended Properties=&quot;&quot;" commandType="0"/>
  </connection>
  <connection id="130" xr16:uid="{998441C4-B538-4436-BA41-3B87CAACA3AC}" keepAlive="1" name="Connection86" type="5" refreshedVersion="0" background="1">
    <dbPr connection="Provider=Microsoft.Mashup.OleDb.1;Data Source=$Workbook$;Location=Analysis1;Extended Properties=&quot;&quot;" commandType="0"/>
  </connection>
  <connection id="131" xr16:uid="{30C3E036-6EAA-4DCE-B444-5BD0B6933A71}" keepAlive="1" name="Connection87" type="5" refreshedVersion="0" background="1">
    <dbPr connection="Provider=Microsoft.Mashup.OleDb.1;Data Source=$Workbook$;Location=Analysis1;Extended Properties=&quot;&quot;" commandType="0"/>
  </connection>
  <connection id="132" xr16:uid="{0EAD837F-97AF-4286-A03E-57649D59949C}" keepAlive="1" name="Connection88" type="5" refreshedVersion="0" background="1">
    <dbPr connection="Provider=Microsoft.Mashup.OleDb.1;Data Source=$Workbook$;Location=Analysis1;Extended Properties=&quot;&quot;" commandType="0"/>
  </connection>
  <connection id="133" xr16:uid="{42498D58-8258-43EE-8E3C-347E9D4125DA}" keepAlive="1" name="Connection89" type="5" refreshedVersion="0" background="1">
    <dbPr connection="Provider=Microsoft.Mashup.OleDb.1;Data Source=$Workbook$;Location=Analysis1;Extended Properties=&quot;&quot;" commandType="0"/>
  </connection>
  <connection id="134" xr16:uid="{227256E2-686C-44E8-88B6-9DE1A3F8585B}" keepAlive="1" name="Connection9" type="5" refreshedVersion="0" background="1">
    <dbPr connection="Provider=Microsoft.Mashup.OleDb.1;Data Source=$Workbook$;Location=Analysis1;Extended Properties=&quot;&quot;" commandType="0"/>
  </connection>
  <connection id="135" xr16:uid="{95E3EC6B-2127-4480-BCB5-34C9D6073AD8}" keepAlive="1" name="Connection90" type="5" refreshedVersion="0" background="1">
    <dbPr connection="Provider=Microsoft.Mashup.OleDb.1;Data Source=$Workbook$;Location=Analysis1;Extended Properties=&quot;&quot;" commandType="0"/>
  </connection>
  <connection id="136" xr16:uid="{4E0A9CC0-FFB1-4FA7-8FE7-90D19D433C56}" keepAlive="1" name="Connection91" type="5" refreshedVersion="0" background="1">
    <dbPr connection="Provider=Microsoft.Mashup.OleDb.1;Data Source=$Workbook$;Location=Analysis1;Extended Properties=&quot;&quot;" commandType="0"/>
  </connection>
  <connection id="137" xr16:uid="{2978C050-8AB7-41F8-BF2C-4AA04FADE415}" keepAlive="1" name="Connection92" type="5" refreshedVersion="0" background="1">
    <dbPr connection="Provider=Microsoft.Mashup.OleDb.1;Data Source=$Workbook$;Location=Analysis1;Extended Properties=&quot;&quot;" commandType="0"/>
  </connection>
  <connection id="138" xr16:uid="{2D73655E-2CF8-41CA-991C-6F6E29750AD7}" keepAlive="1" name="Connection93" type="5" refreshedVersion="0" background="1">
    <dbPr connection="Provider=Microsoft.Mashup.OleDb.1;Data Source=$Workbook$;Location=Analysis1;Extended Properties=&quot;&quot;" commandType="0"/>
  </connection>
  <connection id="139" xr16:uid="{387DA792-6423-41F7-B082-65DCA9648E4E}" keepAlive="1" name="Connection94" type="5" refreshedVersion="0" background="1">
    <dbPr connection="Provider=Microsoft.Mashup.OleDb.1;Data Source=$Workbook$;Location=Analysis1;Extended Properties=&quot;&quot;" commandType="0"/>
  </connection>
  <connection id="140" xr16:uid="{2636E13B-9E76-4E7A-93DD-CA18EFE7B2F0}" keepAlive="1" name="Connection95" type="5" refreshedVersion="0" background="1">
    <dbPr connection="Provider=Microsoft.Mashup.OleDb.1;Data Source=$Workbook$;Location=Analysis1;Extended Properties=&quot;&quot;" commandType="0"/>
  </connection>
  <connection id="141" xr16:uid="{9E4D58D8-4FB9-4DD0-8584-D45B2BFC35E2}" keepAlive="1" name="Connection96" type="5" refreshedVersion="0" background="1">
    <dbPr connection="Provider=Microsoft.Mashup.OleDb.1;Data Source=$Workbook$;Location=Analysis1;Extended Properties=&quot;&quot;" commandType="0"/>
  </connection>
  <connection id="142" xr16:uid="{AF572E81-73E3-4619-B615-3193F3D512ED}" keepAlive="1" name="Connection97" type="5" refreshedVersion="0" background="1">
    <dbPr connection="Provider=Microsoft.Mashup.OleDb.1;Data Source=$Workbook$;Location=Analysis1;Extended Properties=&quot;&quot;" commandType="0"/>
  </connection>
  <connection id="143" xr16:uid="{16609A40-8C3E-4B1B-9F7E-B28E465DF371}" keepAlive="1" name="Connection98" type="5" refreshedVersion="0" background="1">
    <dbPr connection="Provider=Microsoft.Mashup.OleDb.1;Data Source=$Workbook$;Location=Analysis1;Extended Properties=&quot;&quot;" commandType="0"/>
  </connection>
  <connection id="144" xr16:uid="{B27009A2-88C1-446C-BB47-48EB10A7350D}" keepAlive="1" name="Connection99" type="5" refreshedVersion="0" background="1">
    <dbPr connection="Provider=Microsoft.Mashup.OleDb.1;Data Source=$Workbook$;Location=Analysis1;Extended Properties=&quot;&quot;" commandType="0"/>
  </connection>
  <connection id="145" xr16:uid="{C77761A1-7904-475F-A389-F31B34CB0AA2}" keepAlive="1" name="Query - TestFrame" description="Connection to the 'TestFrame' query in the workbook." type="5" refreshedVersion="6" background="1">
    <dbPr connection="Provider=Microsoft.Mashup.OleDb.1;Data Source=$Workbook$;Location=TestFrame;Extended Properties=&quot;&quot;" command="SELECT * FROM [TestFrame]"/>
  </connection>
</connections>
</file>

<file path=xl/sharedStrings.xml><?xml version="1.0" encoding="utf-8"?>
<sst xmlns="http://schemas.openxmlformats.org/spreadsheetml/2006/main" count="732" uniqueCount="213">
  <si>
    <t>Nodal Coordinates</t>
  </si>
  <si>
    <t>Node No.</t>
  </si>
  <si>
    <t>X</t>
  </si>
  <si>
    <t>Y</t>
  </si>
  <si>
    <t>Fx</t>
  </si>
  <si>
    <t>Fy</t>
  </si>
  <si>
    <t>Mz</t>
  </si>
  <si>
    <t>Boundary Conditions                                   (1 - Restrained, 0 - Free)</t>
  </si>
  <si>
    <t>Member No.</t>
  </si>
  <si>
    <t>iNode</t>
  </si>
  <si>
    <t>jNode</t>
  </si>
  <si>
    <t>Connectivity</t>
  </si>
  <si>
    <t>Tx</t>
  </si>
  <si>
    <t>Ty</t>
  </si>
  <si>
    <t>Rz</t>
  </si>
  <si>
    <t>Load Data</t>
  </si>
  <si>
    <t>Model Tag:</t>
  </si>
  <si>
    <t>USE CONSISTENT UNITS!!!!!!!</t>
  </si>
  <si>
    <t>TYP</t>
  </si>
  <si>
    <t>E</t>
  </si>
  <si>
    <t>A</t>
  </si>
  <si>
    <t>I</t>
  </si>
  <si>
    <t>=</t>
  </si>
  <si>
    <t>E                   (ksi)</t>
  </si>
  <si>
    <r>
      <t>A                    (in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</si>
  <si>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I                      (in</t>
    </r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>)</t>
    </r>
  </si>
  <si>
    <t>*Horizontal load at half girder</t>
  </si>
  <si>
    <t>*Overturning at top of flange</t>
  </si>
  <si>
    <t>*Unit torque at bottom node</t>
  </si>
  <si>
    <t>xSlope</t>
  </si>
  <si>
    <t>Analysis tag</t>
  </si>
  <si>
    <t>MB 8'-14'</t>
  </si>
  <si>
    <t>MB 5'-8'</t>
  </si>
  <si>
    <t>HDPB 22'-35'</t>
  </si>
  <si>
    <t>HDPB 15'-26'</t>
  </si>
  <si>
    <t>HDPB 12'-20'</t>
  </si>
  <si>
    <t>HDPB 10'-15'</t>
  </si>
  <si>
    <t>HDPB 7'-11'</t>
  </si>
  <si>
    <t>HDPB 5'-9'</t>
  </si>
  <si>
    <t>Member 3</t>
  </si>
  <si>
    <t>Member 2</t>
  </si>
  <si>
    <t>Member 1</t>
  </si>
  <si>
    <t>Angle(deg)</t>
  </si>
  <si>
    <r>
      <t xml:space="preserve">Design Tensile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</si>
  <si>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</si>
  <si>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 xml:space="preserve">Design Compressive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</si>
  <si>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</si>
  <si>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Length(ft)</t>
  </si>
  <si>
    <t>stiffness</t>
  </si>
  <si>
    <t>Member forces</t>
  </si>
  <si>
    <t>Analysis#</t>
  </si>
  <si>
    <t>Analysis Tag</t>
  </si>
  <si>
    <t>Stiffness</t>
  </si>
  <si>
    <t>Design Compressive Strg of Brace., ΦPn (kip)</t>
  </si>
  <si>
    <t>Design Tensile Strg of Brace., ΦPn (kip)</t>
  </si>
  <si>
    <t>Design Load:</t>
  </si>
  <si>
    <t>Num Horizontal</t>
  </si>
  <si>
    <t>Num    Diag</t>
  </si>
  <si>
    <t>H1 [in]</t>
  </si>
  <si>
    <t>dt1 [in]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</si>
  <si>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t1</t>
    </r>
    <r>
      <rPr>
        <b/>
        <sz val="11"/>
        <color theme="1"/>
        <rFont val="Calibri"/>
        <family val="2"/>
        <scheme val="minor"/>
      </rPr>
      <t xml:space="preserve"> [in]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</si>
  <si>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b1</t>
    </r>
    <r>
      <rPr>
        <b/>
        <sz val="11"/>
        <color theme="1"/>
        <rFont val="Calibri"/>
        <family val="2"/>
        <scheme val="minor"/>
      </rPr>
      <t xml:space="preserve"> [in]</t>
    </r>
  </si>
  <si>
    <t>OM [ft*kip]</t>
  </si>
  <si>
    <t>H (kip)</t>
  </si>
  <si>
    <t>H2 [in]</t>
  </si>
  <si>
    <t>Description</t>
  </si>
  <si>
    <t>Brace Type</t>
  </si>
  <si>
    <t>db1 [in]</t>
  </si>
  <si>
    <t>H [kip]</t>
  </si>
  <si>
    <t>E [ksi]</t>
  </si>
  <si>
    <r>
      <t>A [in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</si>
  <si>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I [in4]</t>
  </si>
  <si>
    <t>Num Diag</t>
  </si>
  <si>
    <t>S [ft]</t>
  </si>
  <si>
    <t>[in]</t>
  </si>
  <si>
    <t>[kip*in]</t>
  </si>
  <si>
    <t>[kip]</t>
  </si>
  <si>
    <t>[ksi]</t>
  </si>
  <si>
    <t>[in2]</t>
  </si>
  <si>
    <t>[in4]</t>
  </si>
  <si>
    <t>[in/in]</t>
  </si>
  <si>
    <t>-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</si>
  <si>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t2</t>
    </r>
    <r>
      <rPr>
        <b/>
        <sz val="11"/>
        <color theme="1"/>
        <rFont val="Calibri"/>
        <family val="2"/>
        <scheme val="minor"/>
      </rPr>
      <t xml:space="preserve"> [in]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</si>
  <si>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b2</t>
    </r>
    <r>
      <rPr>
        <b/>
        <sz val="11"/>
        <color theme="1"/>
        <rFont val="Calibri"/>
        <family val="2"/>
        <scheme val="minor"/>
      </rPr>
      <t xml:space="preserve"> [in]</t>
    </r>
  </si>
  <si>
    <t>dt2 [in]</t>
  </si>
  <si>
    <t>db2 [in]</t>
  </si>
  <si>
    <t>*Positive Cross-Slope</t>
  </si>
  <si>
    <t>Analysis No. =</t>
  </si>
  <si>
    <t>Description =</t>
  </si>
  <si>
    <t>Left Girder Height =</t>
  </si>
  <si>
    <t>Right Girder Height =</t>
  </si>
  <si>
    <t>Girder Spacing =</t>
  </si>
  <si>
    <t>[ft]</t>
  </si>
  <si>
    <t>Distance from top of left girder to bracing =</t>
  </si>
  <si>
    <t>Distance from bot. of left girder to bracing =</t>
  </si>
  <si>
    <t>Distance from bot. of right girder to bracing =</t>
  </si>
  <si>
    <t>Overturning Moment =</t>
  </si>
  <si>
    <t>[ft*kip]</t>
  </si>
  <si>
    <t>Horizontal Force =</t>
  </si>
  <si>
    <t>Brace E =</t>
  </si>
  <si>
    <t>Brace A =</t>
  </si>
  <si>
    <t>Brace I =</t>
  </si>
  <si>
    <t>Lines of horizontal Bracing per brace line =</t>
  </si>
  <si>
    <t>Lines of diagonal bracing per brace line =</t>
  </si>
  <si>
    <t>Brace Type =</t>
  </si>
  <si>
    <t>Member</t>
  </si>
  <si>
    <t>Max Tension</t>
  </si>
  <si>
    <t>Max Compression</t>
  </si>
  <si>
    <t>Tensile Strength</t>
  </si>
  <si>
    <t>Compressive Strength</t>
  </si>
  <si>
    <t>Stiffness =</t>
  </si>
  <si>
    <t>Check =</t>
  </si>
  <si>
    <t>Lines Required</t>
  </si>
  <si>
    <t>Span Length</t>
  </si>
  <si>
    <t>Bracing Point Type</t>
  </si>
  <si>
    <t>End Points only</t>
  </si>
  <si>
    <t>Mid-Span Bracing</t>
  </si>
  <si>
    <t>Quarter Points</t>
  </si>
  <si>
    <t>Empirical Scale Factor</t>
  </si>
  <si>
    <t>Pu</t>
  </si>
  <si>
    <t>Pavg</t>
  </si>
  <si>
    <t>Beam Weight</t>
  </si>
  <si>
    <t>A                    (in2)</t>
  </si>
  <si>
    <t>I                      (in4)</t>
  </si>
  <si>
    <t>Span Length =</t>
  </si>
  <si>
    <t>Bracing Point Type =</t>
  </si>
  <si>
    <t>Empirical Scale Factor =</t>
  </si>
  <si>
    <t>Pu =</t>
  </si>
  <si>
    <t>Pavg =</t>
  </si>
  <si>
    <t>Beam Weight =</t>
  </si>
  <si>
    <t>[psf]</t>
  </si>
  <si>
    <t>[plf]</t>
  </si>
  <si>
    <t>C0 =</t>
  </si>
  <si>
    <t>C =</t>
  </si>
  <si>
    <t>[kip-ft/rad]</t>
  </si>
  <si>
    <t>&gt;1</t>
  </si>
  <si>
    <t>deg</t>
  </si>
  <si>
    <t>slope</t>
  </si>
  <si>
    <t>low L</t>
  </si>
  <si>
    <t>High L</t>
  </si>
  <si>
    <t>base</t>
  </si>
  <si>
    <t>interp</t>
  </si>
  <si>
    <t>total</t>
  </si>
  <si>
    <t>Compression</t>
  </si>
  <si>
    <t>round</t>
  </si>
  <si>
    <t>Tension</t>
  </si>
  <si>
    <t>Total</t>
  </si>
  <si>
    <t>Shoe Tension</t>
  </si>
  <si>
    <t>Shoe Comp</t>
  </si>
  <si>
    <t>&lt;- Length</t>
  </si>
  <si>
    <t>&lt;- Angle</t>
  </si>
  <si>
    <t>length</t>
  </si>
  <si>
    <t>angle</t>
  </si>
  <si>
    <t>Comp</t>
  </si>
  <si>
    <t>Ten</t>
  </si>
  <si>
    <t>(min)</t>
  </si>
  <si>
    <r>
      <t>[in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</si>
  <si>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r>
      <t>[in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]</t>
    </r>
  </si>
  <si>
    <t>Cross Slope =</t>
  </si>
  <si>
    <t>CALCULATION NOTEBOOK</t>
  </si>
  <si>
    <t>GIRDER BRACING</t>
  </si>
  <si>
    <t>SR 408 / SR 417 ULTIMATE INTERCHANGE IMPROVMENTS</t>
  </si>
  <si>
    <t>PHASE - 2</t>
  </si>
  <si>
    <t>Orange County, Florida</t>
  </si>
  <si>
    <t>Financial Project ID. #####</t>
  </si>
  <si>
    <t>Prepared for:</t>
  </si>
  <si>
    <t xml:space="preserve">SEMA Construction, Inc. </t>
  </si>
  <si>
    <t>Streed Address</t>
  </si>
  <si>
    <t>City, FL #####</t>
  </si>
  <si>
    <t>(###) ###-####</t>
  </si>
  <si>
    <t>Prepared by:</t>
  </si>
  <si>
    <t>A2B Engineering, LLC.</t>
  </si>
  <si>
    <t>5406 N. Hoover Blvd., Ste. 12</t>
  </si>
  <si>
    <t>Tampa, FL 33634</t>
  </si>
  <si>
    <t>(813) 249-2220</t>
  </si>
  <si>
    <t>September, 2018</t>
  </si>
  <si>
    <t>A2B Engineering, LLC • 5406 N. Hoover Blvd, Ste. 12 • Tampa, Florida  33634 • Tel (813) 249-2220</t>
  </si>
  <si>
    <t>Table of Contents</t>
  </si>
  <si>
    <t>L</t>
  </si>
  <si>
    <t>V</t>
  </si>
  <si>
    <t>W</t>
  </si>
  <si>
    <t>Member1</t>
  </si>
  <si>
    <t>Member2</t>
  </si>
  <si>
    <t>Member3</t>
  </si>
  <si>
    <t>Mem 1 H</t>
  </si>
  <si>
    <t>Mem 2 H</t>
  </si>
  <si>
    <t>Mem 3 H</t>
  </si>
  <si>
    <t>Mem 1 OM</t>
  </si>
  <si>
    <t>Mem 2 OM</t>
  </si>
  <si>
    <t>Mem 3 OM</t>
  </si>
  <si>
    <t>Compressive Strenght</t>
  </si>
  <si>
    <t>Member Force (Stage 2 H)</t>
  </si>
  <si>
    <t>Member Force (Stage 3 OM)</t>
  </si>
  <si>
    <t>Member Force Per Brace (Stage 2 H)</t>
  </si>
  <si>
    <t>Member Force Per Brace (Stage 3 OM)</t>
  </si>
  <si>
    <t>Bracing lines Multiplier (stage 2 H)</t>
  </si>
  <si>
    <t>Bracing Lines Multiplier (Stage 3 OM)</t>
  </si>
  <si>
    <t>Bracing Lines Multiplier Required =</t>
  </si>
  <si>
    <t>B</t>
  </si>
  <si>
    <t>C</t>
  </si>
  <si>
    <t>D</t>
  </si>
  <si>
    <t>C:\Users\Michael Work\Desktop\BBRS\130-17\FEM\Design1Horizontal.csv</t>
  </si>
  <si>
    <t>C:\Users\Michael Work\Desktop\BBRS\130-17\FEM\Design1Overturning.csv</t>
  </si>
  <si>
    <t>C:\Users\Michael Work\Desktop\BBRS\130-17\FEM\Design1Stiffness.csv</t>
  </si>
  <si>
    <t>C:\Users\Michael Work\Desktop\BBRS\130-17\FEM\Design2Horizontal.csv</t>
  </si>
  <si>
    <t>C:\Users\Michael Work\Desktop\BBRS\130-17\FEM\Design2Overturning.csv</t>
  </si>
  <si>
    <t>C:\Users\Michael Work\Desktop\BBRS\130-17\FEM\Design2Stiffness.csv</t>
  </si>
  <si>
    <t>C:\Users\Michael Work\Desktop\BBRS\130-17\FEM\Design3Horizontal.csv</t>
  </si>
  <si>
    <t>C:\Users\Michael Work\Desktop\BBRS\130-17\FEM\Design3Overturning.csv</t>
  </si>
  <si>
    <t>C:\Users\Michael Work\Desktop\BBRS\130-17\FEM\Design3Stiffness.csv</t>
  </si>
  <si>
    <t>C:\Users\Michael Work\Desktop\BBRS\130-17\FEM\Design4Horizontal.csv</t>
  </si>
  <si>
    <t>C:\Users\Michael Work\Desktop\BBRS\130-17\FEM\Design4Overturning.csv</t>
  </si>
  <si>
    <t>C:\Users\Michael Work\Desktop\BBRS\130-17\FEM\Design4Stiffness.csv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</si>
</sst>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9"/>
      <color theme="1"/>
      <name val="Times New Roman"/>
      <family val="1"/>
    </font>
    <font>
      <b/>
      <sz val="16"/>
      <color theme="1"/>
      <name val="Times New Roman"/>
      <family val="1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8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2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2" fontId="6" fillId="0" borderId="3" xfId="0" applyNumberFormat="1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2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15" xfId="0" applyBorder="1" applyAlignment="1"/>
    <xf numFmtId="0" fontId="0" fillId="0" borderId="14" xfId="0" applyBorder="1" applyAlignment="1"/>
    <xf numFmtId="0" fontId="0" fillId="0" borderId="13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8" fillId="2" borderId="0" xfId="0" applyFont="1" applyFill="1"/>
    <xf numFmtId="0" fontId="9" fillId="2" borderId="0" xfId="0" applyFont="1" applyFill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Alignment="1">
      <alignment horizontal="center" wrapText="1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" fontId="8" fillId="0" borderId="0" xfId="0" applyNumberFormat="1" applyFont="1" applyAlignment="1">
      <alignment horizontal="center"/>
    </xf>
    <xf numFmtId="1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2" fontId="8" fillId="0" borderId="1" xfId="0" applyNumberFormat="1" applyFont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0" borderId="0" xfId="0" applyFont="1" applyAlignment="1">
      <alignment horizontal="center"/>
    </xf>
    <xf numFmtId="0" fontId="0" fillId="0" borderId="20" xfId="0" applyFont="1" applyBorder="1" applyAlignment="1">
      <alignment horizontal="right"/>
    </xf>
    <xf numFmtId="0" fontId="0" fillId="0" borderId="29" xfId="0" applyFont="1" applyBorder="1" applyAlignment="1">
      <alignment horizontal="center"/>
    </xf>
    <xf numFmtId="0" fontId="0" fillId="0" borderId="21" xfId="0" applyFont="1" applyBorder="1" applyAlignment="1"/>
    <xf numFmtId="0" fontId="0" fillId="0" borderId="26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165" fontId="0" fillId="0" borderId="22" xfId="0" applyNumberFormat="1" applyFont="1" applyBorder="1" applyAlignment="1">
      <alignment horizontal="center"/>
    </xf>
    <xf numFmtId="165" fontId="0" fillId="0" borderId="23" xfId="0" applyNumberFormat="1" applyFont="1" applyBorder="1" applyAlignment="1">
      <alignment horizontal="center"/>
    </xf>
    <xf numFmtId="165" fontId="0" fillId="0" borderId="24" xfId="0" applyNumberFormat="1" applyFont="1" applyBorder="1" applyAlignment="1">
      <alignment horizontal="center"/>
    </xf>
    <xf numFmtId="165" fontId="0" fillId="0" borderId="5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165" fontId="0" fillId="0" borderId="4" xfId="0" applyNumberFormat="1" applyFont="1" applyBorder="1" applyAlignment="1">
      <alignment horizontal="center"/>
    </xf>
    <xf numFmtId="1" fontId="0" fillId="0" borderId="3" xfId="0" applyNumberFormat="1" applyFont="1" applyBorder="1" applyAlignment="1">
      <alignment horizontal="center"/>
    </xf>
    <xf numFmtId="1" fontId="0" fillId="0" borderId="25" xfId="0" applyNumberFormat="1" applyFont="1" applyBorder="1" applyAlignment="1">
      <alignment horizontal="center"/>
    </xf>
    <xf numFmtId="1" fontId="0" fillId="0" borderId="2" xfId="0" applyNumberFormat="1" applyFont="1" applyBorder="1" applyAlignment="1">
      <alignment horizontal="center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quotePrefix="1" applyFont="1"/>
    <xf numFmtId="0" fontId="15" fillId="0" borderId="36" xfId="0" applyFont="1" applyBorder="1" applyAlignment="1"/>
    <xf numFmtId="0" fontId="15" fillId="0" borderId="0" xfId="0" applyFont="1" applyBorder="1" applyAlignment="1"/>
    <xf numFmtId="0" fontId="0" fillId="0" borderId="36" xfId="0" applyBorder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39" xfId="0" applyBorder="1" applyAlignment="1">
      <alignment horizontal="right"/>
    </xf>
    <xf numFmtId="0" fontId="0" fillId="0" borderId="39" xfId="0" applyBorder="1" applyAlignment="1">
      <alignment horizontal="center"/>
    </xf>
    <xf numFmtId="0" fontId="0" fillId="0" borderId="40" xfId="0" applyBorder="1"/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Font="1" applyAlignment="1">
      <alignment vertical="center"/>
    </xf>
    <xf numFmtId="0" fontId="14" fillId="0" borderId="36" xfId="0" applyFont="1" applyBorder="1" applyAlignment="1">
      <alignment vertical="center"/>
    </xf>
    <xf numFmtId="0" fontId="14" fillId="0" borderId="37" xfId="0" applyFont="1" applyBorder="1" applyAlignment="1">
      <alignment vertical="center"/>
    </xf>
    <xf numFmtId="0" fontId="14" fillId="0" borderId="38" xfId="0" applyFont="1" applyBorder="1" applyAlignment="1">
      <alignment vertical="center"/>
    </xf>
    <xf numFmtId="0" fontId="14" fillId="0" borderId="40" xfId="0" applyFont="1" applyBorder="1" applyAlignment="1">
      <alignment vertical="center"/>
    </xf>
    <xf numFmtId="0" fontId="14" fillId="0" borderId="33" xfId="0" applyFont="1" applyBorder="1" applyAlignment="1">
      <alignment vertical="center"/>
    </xf>
    <xf numFmtId="0" fontId="14" fillId="0" borderId="34" xfId="0" applyFont="1" applyBorder="1" applyAlignment="1">
      <alignment vertical="center"/>
    </xf>
    <xf numFmtId="0" fontId="14" fillId="0" borderId="35" xfId="0" applyFont="1" applyBorder="1" applyAlignment="1">
      <alignment vertical="center"/>
    </xf>
    <xf numFmtId="0" fontId="0" fillId="0" borderId="0" xfId="0" applyAlignment="1">
      <alignment horizontal="center"/>
    </xf>
    <xf numFmtId="0" fontId="14" fillId="0" borderId="37" xfId="0" applyFont="1" applyBorder="1" applyAlignment="1">
      <alignment horizontal="left" vertical="center"/>
    </xf>
    <xf numFmtId="165" fontId="0" fillId="0" borderId="3" xfId="0" applyNumberFormat="1" applyFont="1" applyBorder="1" applyAlignment="1">
      <alignment horizontal="center"/>
    </xf>
    <xf numFmtId="165" fontId="0" fillId="0" borderId="25" xfId="0" applyNumberFormat="1" applyFont="1" applyBorder="1" applyAlignment="1">
      <alignment horizontal="center"/>
    </xf>
    <xf numFmtId="165" fontId="0" fillId="0" borderId="2" xfId="0" applyNumberFormat="1" applyFont="1" applyBorder="1" applyAlignment="1">
      <alignment horizontal="center"/>
    </xf>
    <xf numFmtId="0" fontId="0" fillId="0" borderId="34" xfId="0" applyFont="1" applyBorder="1" applyAlignment="1">
      <alignment horizontal="center"/>
    </xf>
    <xf numFmtId="0" fontId="0" fillId="0" borderId="33" xfId="0" applyFont="1" applyBorder="1" applyAlignment="1">
      <alignment horizontal="right"/>
    </xf>
    <xf numFmtId="0" fontId="0" fillId="0" borderId="35" xfId="0" applyFont="1" applyBorder="1" applyAlignment="1"/>
    <xf numFmtId="0" fontId="0" fillId="0" borderId="22" xfId="0" applyFont="1" applyBorder="1" applyAlignment="1">
      <alignment horizontal="center"/>
    </xf>
    <xf numFmtId="0" fontId="0" fillId="0" borderId="23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41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165" fontId="0" fillId="0" borderId="42" xfId="0" applyNumberFormat="1" applyFont="1" applyBorder="1" applyAlignment="1">
      <alignment horizontal="center"/>
    </xf>
    <xf numFmtId="165" fontId="0" fillId="0" borderId="43" xfId="0" applyNumberFormat="1" applyFont="1" applyBorder="1" applyAlignment="1">
      <alignment horizontal="center"/>
    </xf>
    <xf numFmtId="165" fontId="0" fillId="0" borderId="44" xfId="0" applyNumberFormat="1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7" fillId="0" borderId="38" xfId="0" applyFont="1" applyBorder="1" applyAlignment="1">
      <alignment horizontal="center"/>
    </xf>
    <xf numFmtId="0" fontId="17" fillId="0" borderId="39" xfId="0" applyFont="1" applyBorder="1" applyAlignment="1">
      <alignment horizontal="center"/>
    </xf>
    <xf numFmtId="0" fontId="17" fillId="0" borderId="40" xfId="0" applyFont="1" applyBorder="1" applyAlignment="1">
      <alignment horizontal="center"/>
    </xf>
    <xf numFmtId="0" fontId="15" fillId="0" borderId="36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37" xfId="0" applyFont="1" applyBorder="1" applyAlignment="1">
      <alignment horizontal="center"/>
    </xf>
    <xf numFmtId="0" fontId="18" fillId="0" borderId="36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8" fillId="0" borderId="37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14" fillId="0" borderId="0" xfId="0" applyFont="1" applyBorder="1" applyAlignment="1">
      <alignment horizontal="left" vertical="center"/>
    </xf>
    <xf numFmtId="0" fontId="14" fillId="0" borderId="0" xfId="0" applyFont="1" applyBorder="1" applyAlignment="1">
      <alignment horizontal="right" vertical="center"/>
    </xf>
    <xf numFmtId="0" fontId="14" fillId="0" borderId="39" xfId="0" applyFont="1" applyBorder="1" applyAlignment="1">
      <alignment horizontal="left" vertical="center"/>
    </xf>
    <xf numFmtId="0" fontId="18" fillId="0" borderId="0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0" fontId="9" fillId="2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37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CFD67F.DBD42DA0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182880</xdr:colOff>
      <xdr:row>22</xdr:row>
      <xdr:rowOff>60960</xdr:rowOff>
    </xdr:from>
    <xdr:to>
      <xdr:col>7</xdr:col>
      <xdr:colOff>32385</xdr:colOff>
      <xdr:row>25</xdr:row>
      <xdr:rowOff>109220</xdr:rowOff>
    </xdr:to>
    <xdr:pic>
      <xdr:nvPicPr>
        <xdr:cNvPr id="3" name="Picture 2" descr="Description: Email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960" y="4023360"/>
          <a:ext cx="2226945" cy="64262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167640</xdr:colOff>
          <xdr:row>1</xdr:row>
          <xdr:rowOff>45720</xdr:rowOff>
        </xdr:from>
        <xdr:to>
          <xdr:col>13</xdr:col>
          <xdr:colOff>480060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228600</xdr:colOff>
          <xdr:row>0</xdr:row>
          <xdr:rowOff>38100</xdr:rowOff>
        </xdr:from>
        <xdr:to>
          <xdr:col>25</xdr:col>
          <xdr:colOff>739140</xdr:colOff>
          <xdr:row>0</xdr:row>
          <xdr:rowOff>624840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320040</xdr:colOff>
      <xdr:row>10</xdr:row>
      <xdr:rowOff>167640</xdr:rowOff>
    </xdr:from>
    <xdr:to>
      <xdr:col>31</xdr:col>
      <xdr:colOff>94531</xdr:colOff>
      <xdr:row>24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82160" y="2491740"/>
          <a:ext cx="4216951" cy="2472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2</xdr:row>
          <xdr:rowOff>38100</xdr:rowOff>
        </xdr:from>
        <xdr:to>
          <xdr:col>14</xdr:col>
          <xdr:colOff>327660</xdr:colOff>
          <xdr:row>4</xdr:row>
          <xdr:rowOff>228600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60960</xdr:rowOff>
        </xdr:from>
        <xdr:to>
          <xdr:col>0</xdr:col>
          <xdr:colOff>861060</xdr:colOff>
          <xdr:row>1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0</xdr:row>
          <xdr:rowOff>152400</xdr:rowOff>
        </xdr:from>
        <xdr:to>
          <xdr:col>11</xdr:col>
          <xdr:colOff>274320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</xdr:row>
          <xdr:rowOff>129540</xdr:rowOff>
        </xdr:from>
        <xdr:to>
          <xdr:col>12</xdr:col>
          <xdr:colOff>228600</xdr:colOff>
          <xdr:row>5</xdr:row>
          <xdr:rowOff>137160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Notebook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54</xdr:row>
          <xdr:rowOff>99060</xdr:rowOff>
        </xdr:from>
        <xdr:to>
          <xdr:col>8</xdr:col>
          <xdr:colOff>708660</xdr:colOff>
          <xdr:row>60</xdr:row>
          <xdr:rowOff>45720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249726</xdr:colOff>
      <xdr:row>61</xdr:row>
      <xdr:rowOff>18820</xdr:rowOff>
    </xdr:from>
    <xdr:to>
      <xdr:col>7</xdr:col>
      <xdr:colOff>175253</xdr:colOff>
      <xdr:row>74</xdr:row>
      <xdr:rowOff>168464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8526" y="1314220"/>
          <a:ext cx="4326621" cy="2563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oleObject" Target="../embeddings/Microsoft_Excel_97-2003_Worksheet.xls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DFEA2-2ACF-4181-B516-A5E3987077F3}">
  <sheetPr codeName="Sheet12"/>
  <dimension ref="A1:K48"/>
  <sheetViews>
    <sheetView view="pageBreakPreview" zoomScale="115" zoomScaleNormal="55" zoomScaleSheetLayoutView="115" zoomScalePageLayoutView="55" workbookViewId="0">
      <selection activeCell="N20" sqref="N20"/>
    </sheetView>
  </sheetViews>
  <sheetFormatPr defaultColWidth="8.6640625" defaultRowHeight="14.4" x14ac:dyDescent="0.3"/>
  <sheetData>
    <row r="1" spans="1:11" ht="16.2" thickBo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</row>
    <row r="2" spans="1:11" x14ac:dyDescent="0.3">
      <c r="A2" s="150"/>
      <c r="B2" s="151"/>
      <c r="C2" s="151"/>
      <c r="D2" s="151"/>
      <c r="E2" s="151"/>
      <c r="F2" s="151"/>
      <c r="G2" s="151"/>
      <c r="H2" s="151"/>
      <c r="I2" s="151"/>
      <c r="J2" s="151"/>
      <c r="K2" s="152"/>
    </row>
    <row r="3" spans="1:11" ht="20.399999999999999" x14ac:dyDescent="0.35">
      <c r="A3" s="144" t="s">
        <v>160</v>
      </c>
      <c r="B3" s="145"/>
      <c r="C3" s="145"/>
      <c r="D3" s="145"/>
      <c r="E3" s="145"/>
      <c r="F3" s="145"/>
      <c r="G3" s="145"/>
      <c r="H3" s="145"/>
      <c r="I3" s="145"/>
      <c r="J3" s="145"/>
      <c r="K3" s="146"/>
    </row>
    <row r="4" spans="1:11" ht="20.399999999999999" x14ac:dyDescent="0.35">
      <c r="A4" s="144" t="s">
        <v>159</v>
      </c>
      <c r="B4" s="145"/>
      <c r="C4" s="145"/>
      <c r="D4" s="145"/>
      <c r="E4" s="145"/>
      <c r="F4" s="145"/>
      <c r="G4" s="145"/>
      <c r="H4" s="145"/>
      <c r="I4" s="145"/>
      <c r="J4" s="145"/>
      <c r="K4" s="146"/>
    </row>
    <row r="5" spans="1:11" ht="15.6" x14ac:dyDescent="0.3">
      <c r="A5" s="141"/>
      <c r="B5" s="142"/>
      <c r="C5" s="142"/>
      <c r="D5" s="142"/>
      <c r="E5" s="142"/>
      <c r="F5" s="142"/>
      <c r="G5" s="142"/>
      <c r="H5" s="142"/>
      <c r="I5" s="142"/>
      <c r="J5" s="142"/>
      <c r="K5" s="143"/>
    </row>
    <row r="6" spans="1:11" ht="18" x14ac:dyDescent="0.35">
      <c r="A6" s="147" t="s">
        <v>161</v>
      </c>
      <c r="B6" s="148"/>
      <c r="C6" s="148"/>
      <c r="D6" s="148"/>
      <c r="E6" s="148"/>
      <c r="F6" s="148"/>
      <c r="G6" s="148"/>
      <c r="H6" s="148"/>
      <c r="I6" s="148"/>
      <c r="J6" s="148"/>
      <c r="K6" s="149"/>
    </row>
    <row r="7" spans="1:11" ht="18" x14ac:dyDescent="0.35">
      <c r="A7" s="147" t="s">
        <v>162</v>
      </c>
      <c r="B7" s="148"/>
      <c r="C7" s="148"/>
      <c r="D7" s="148"/>
      <c r="E7" s="148"/>
      <c r="F7" s="148"/>
      <c r="G7" s="148"/>
      <c r="H7" s="148"/>
      <c r="I7" s="148"/>
      <c r="J7" s="148"/>
      <c r="K7" s="149"/>
    </row>
    <row r="8" spans="1:11" ht="15.6" x14ac:dyDescent="0.3">
      <c r="A8" s="141"/>
      <c r="B8" s="142"/>
      <c r="C8" s="142"/>
      <c r="D8" s="142"/>
      <c r="E8" s="142"/>
      <c r="F8" s="142"/>
      <c r="G8" s="142"/>
      <c r="H8" s="142"/>
      <c r="I8" s="142"/>
      <c r="J8" s="142"/>
      <c r="K8" s="143"/>
    </row>
    <row r="9" spans="1:11" ht="15.6" x14ac:dyDescent="0.3">
      <c r="A9" s="141" t="s">
        <v>163</v>
      </c>
      <c r="B9" s="142"/>
      <c r="C9" s="142"/>
      <c r="D9" s="142"/>
      <c r="E9" s="142"/>
      <c r="F9" s="142"/>
      <c r="G9" s="142"/>
      <c r="H9" s="142"/>
      <c r="I9" s="142"/>
      <c r="J9" s="142"/>
      <c r="K9" s="143"/>
    </row>
    <row r="10" spans="1:11" ht="15.6" x14ac:dyDescent="0.3">
      <c r="A10" s="141" t="s">
        <v>164</v>
      </c>
      <c r="B10" s="142"/>
      <c r="C10" s="142"/>
      <c r="D10" s="142"/>
      <c r="E10" s="142"/>
      <c r="F10" s="142"/>
      <c r="G10" s="142"/>
      <c r="H10" s="142"/>
      <c r="I10" s="142"/>
      <c r="J10" s="142"/>
      <c r="K10" s="143"/>
    </row>
    <row r="11" spans="1:11" ht="15.6" x14ac:dyDescent="0.3">
      <c r="A11" s="141"/>
      <c r="B11" s="142"/>
      <c r="C11" s="142"/>
      <c r="D11" s="142"/>
      <c r="E11" s="142"/>
      <c r="F11" s="142"/>
      <c r="G11" s="142"/>
      <c r="H11" s="142"/>
      <c r="I11" s="142"/>
      <c r="J11" s="142"/>
      <c r="K11" s="143"/>
    </row>
    <row r="12" spans="1:11" ht="15.6" x14ac:dyDescent="0.3">
      <c r="A12" s="141"/>
      <c r="B12" s="142"/>
      <c r="C12" s="142"/>
      <c r="D12" s="142"/>
      <c r="E12" s="142"/>
      <c r="F12" s="142"/>
      <c r="G12" s="142"/>
      <c r="H12" s="142"/>
      <c r="I12" s="142"/>
      <c r="J12" s="142"/>
      <c r="K12" s="143"/>
    </row>
    <row r="13" spans="1:11" ht="15.6" x14ac:dyDescent="0.3">
      <c r="A13" s="141" t="s">
        <v>165</v>
      </c>
      <c r="B13" s="142"/>
      <c r="C13" s="142"/>
      <c r="D13" s="142"/>
      <c r="E13" s="142"/>
      <c r="F13" s="142"/>
      <c r="G13" s="142"/>
      <c r="H13" s="142"/>
      <c r="I13" s="142"/>
      <c r="J13" s="142"/>
      <c r="K13" s="143"/>
    </row>
    <row r="14" spans="1:11" ht="15.6" x14ac:dyDescent="0.3">
      <c r="A14" s="141"/>
      <c r="B14" s="142"/>
      <c r="C14" s="142"/>
      <c r="D14" s="142"/>
      <c r="E14" s="142"/>
      <c r="F14" s="142"/>
      <c r="G14" s="142"/>
      <c r="H14" s="142"/>
      <c r="I14" s="142"/>
      <c r="J14" s="142"/>
      <c r="K14" s="143"/>
    </row>
    <row r="15" spans="1:11" ht="15.6" x14ac:dyDescent="0.3">
      <c r="A15" s="141" t="s">
        <v>166</v>
      </c>
      <c r="B15" s="142"/>
      <c r="C15" s="142"/>
      <c r="D15" s="142"/>
      <c r="E15" s="142"/>
      <c r="F15" s="142"/>
      <c r="G15" s="142"/>
      <c r="H15" s="142"/>
      <c r="I15" s="142"/>
      <c r="J15" s="142"/>
      <c r="K15" s="143"/>
    </row>
    <row r="16" spans="1:11" ht="15.6" x14ac:dyDescent="0.3">
      <c r="A16" s="141" t="s">
        <v>167</v>
      </c>
      <c r="B16" s="142"/>
      <c r="C16" s="142"/>
      <c r="D16" s="142"/>
      <c r="E16" s="142"/>
      <c r="F16" s="142"/>
      <c r="G16" s="142"/>
      <c r="H16" s="142"/>
      <c r="I16" s="142"/>
      <c r="J16" s="142"/>
      <c r="K16" s="143"/>
    </row>
    <row r="17" spans="1:11" ht="15.6" x14ac:dyDescent="0.3">
      <c r="A17" s="141" t="s">
        <v>168</v>
      </c>
      <c r="B17" s="142"/>
      <c r="C17" s="142"/>
      <c r="D17" s="142"/>
      <c r="E17" s="142"/>
      <c r="F17" s="142"/>
      <c r="G17" s="142"/>
      <c r="H17" s="142"/>
      <c r="I17" s="142"/>
      <c r="J17" s="142"/>
      <c r="K17" s="143"/>
    </row>
    <row r="18" spans="1:11" ht="15.6" x14ac:dyDescent="0.3">
      <c r="A18" s="141" t="s">
        <v>169</v>
      </c>
      <c r="B18" s="142"/>
      <c r="C18" s="142"/>
      <c r="D18" s="142"/>
      <c r="E18" s="142"/>
      <c r="F18" s="142"/>
      <c r="G18" s="142"/>
      <c r="H18" s="142"/>
      <c r="I18" s="142"/>
      <c r="J18" s="142"/>
      <c r="K18" s="143"/>
    </row>
    <row r="19" spans="1:11" ht="15.6" x14ac:dyDescent="0.3">
      <c r="A19" s="141"/>
      <c r="B19" s="142"/>
      <c r="C19" s="142"/>
      <c r="D19" s="142"/>
      <c r="E19" s="142"/>
      <c r="F19" s="142"/>
      <c r="G19" s="142"/>
      <c r="H19" s="142"/>
      <c r="I19" s="142"/>
      <c r="J19" s="142"/>
      <c r="K19" s="143"/>
    </row>
    <row r="20" spans="1:11" ht="15.6" x14ac:dyDescent="0.3">
      <c r="A20" s="141"/>
      <c r="B20" s="142"/>
      <c r="C20" s="142"/>
      <c r="D20" s="142"/>
      <c r="E20" s="142"/>
      <c r="F20" s="142"/>
      <c r="G20" s="142"/>
      <c r="H20" s="142"/>
      <c r="I20" s="142"/>
      <c r="J20" s="142"/>
      <c r="K20" s="143"/>
    </row>
    <row r="21" spans="1:11" ht="15.6" x14ac:dyDescent="0.3">
      <c r="A21" s="141"/>
      <c r="B21" s="142"/>
      <c r="C21" s="142"/>
      <c r="D21" s="142"/>
      <c r="E21" s="142"/>
      <c r="F21" s="142"/>
      <c r="G21" s="142"/>
      <c r="H21" s="142"/>
      <c r="I21" s="142"/>
      <c r="J21" s="142"/>
      <c r="K21" s="143"/>
    </row>
    <row r="22" spans="1:11" ht="15.6" x14ac:dyDescent="0.3">
      <c r="A22" s="141" t="s">
        <v>170</v>
      </c>
      <c r="B22" s="142"/>
      <c r="C22" s="142"/>
      <c r="D22" s="142"/>
      <c r="E22" s="142"/>
      <c r="F22" s="142"/>
      <c r="G22" s="142"/>
      <c r="H22" s="142"/>
      <c r="I22" s="142"/>
      <c r="J22" s="142"/>
      <c r="K22" s="143"/>
    </row>
    <row r="23" spans="1:11" ht="15.6" x14ac:dyDescent="0.3">
      <c r="A23" s="141"/>
      <c r="B23" s="142"/>
      <c r="C23" s="142"/>
      <c r="D23" s="142"/>
      <c r="E23" s="142"/>
      <c r="F23" s="142"/>
      <c r="G23" s="142"/>
      <c r="H23" s="142"/>
      <c r="I23" s="142"/>
      <c r="J23" s="142"/>
      <c r="K23" s="143"/>
    </row>
    <row r="24" spans="1:11" ht="15.6" x14ac:dyDescent="0.3">
      <c r="A24" s="141"/>
      <c r="B24" s="142"/>
      <c r="C24" s="142"/>
      <c r="D24" s="142"/>
      <c r="E24" s="142"/>
      <c r="F24" s="142"/>
      <c r="G24" s="142"/>
      <c r="H24" s="142"/>
      <c r="I24" s="142"/>
      <c r="J24" s="142"/>
      <c r="K24" s="143"/>
    </row>
    <row r="25" spans="1:11" ht="15.6" x14ac:dyDescent="0.3">
      <c r="A25" s="141"/>
      <c r="B25" s="142"/>
      <c r="C25" s="142"/>
      <c r="D25" s="142"/>
      <c r="E25" s="142"/>
      <c r="F25" s="142"/>
      <c r="G25" s="142"/>
      <c r="H25" s="142"/>
      <c r="I25" s="142"/>
      <c r="J25" s="142"/>
      <c r="K25" s="143"/>
    </row>
    <row r="26" spans="1:11" ht="15.6" x14ac:dyDescent="0.3">
      <c r="A26" s="141"/>
      <c r="B26" s="142"/>
      <c r="C26" s="142"/>
      <c r="D26" s="142"/>
      <c r="E26" s="142"/>
      <c r="F26" s="142"/>
      <c r="G26" s="142"/>
      <c r="H26" s="142"/>
      <c r="I26" s="142"/>
      <c r="J26" s="142"/>
      <c r="K26" s="143"/>
    </row>
    <row r="27" spans="1:11" ht="15.6" x14ac:dyDescent="0.3">
      <c r="A27" s="141"/>
      <c r="B27" s="142"/>
      <c r="C27" s="142"/>
      <c r="D27" s="142"/>
      <c r="E27" s="142"/>
      <c r="F27" s="142"/>
      <c r="G27" s="142"/>
      <c r="H27" s="142"/>
      <c r="I27" s="142"/>
      <c r="J27" s="142"/>
      <c r="K27" s="143"/>
    </row>
    <row r="28" spans="1:11" ht="15.6" x14ac:dyDescent="0.3">
      <c r="A28" s="141"/>
      <c r="B28" s="142"/>
      <c r="C28" s="142"/>
      <c r="D28" s="142"/>
      <c r="E28" s="142"/>
      <c r="F28" s="142"/>
      <c r="G28" s="142"/>
      <c r="H28" s="142"/>
      <c r="I28" s="142"/>
      <c r="J28" s="142"/>
      <c r="K28" s="143"/>
    </row>
    <row r="29" spans="1:11" ht="15.6" x14ac:dyDescent="0.3">
      <c r="A29" s="141"/>
      <c r="B29" s="142"/>
      <c r="C29" s="142"/>
      <c r="D29" s="142"/>
      <c r="E29" s="142"/>
      <c r="F29" s="142"/>
      <c r="G29" s="142"/>
      <c r="H29" s="142"/>
      <c r="I29" s="142"/>
      <c r="J29" s="142"/>
      <c r="K29" s="143"/>
    </row>
    <row r="30" spans="1:11" ht="15.6" x14ac:dyDescent="0.3">
      <c r="A30" s="141" t="s">
        <v>171</v>
      </c>
      <c r="B30" s="142"/>
      <c r="C30" s="142"/>
      <c r="D30" s="142"/>
      <c r="E30" s="142"/>
      <c r="F30" s="142"/>
      <c r="G30" s="142"/>
      <c r="H30" s="142"/>
      <c r="I30" s="142"/>
      <c r="J30" s="142"/>
      <c r="K30" s="143"/>
    </row>
    <row r="31" spans="1:11" ht="15.6" x14ac:dyDescent="0.3">
      <c r="A31" s="141" t="s">
        <v>172</v>
      </c>
      <c r="B31" s="142"/>
      <c r="C31" s="142"/>
      <c r="D31" s="142"/>
      <c r="E31" s="142"/>
      <c r="F31" s="142"/>
      <c r="G31" s="142"/>
      <c r="H31" s="142"/>
      <c r="I31" s="142"/>
      <c r="J31" s="142"/>
      <c r="K31" s="143"/>
    </row>
    <row r="32" spans="1:11" ht="15.6" x14ac:dyDescent="0.3">
      <c r="A32" s="141" t="s">
        <v>173</v>
      </c>
      <c r="B32" s="142"/>
      <c r="C32" s="142"/>
      <c r="D32" s="142"/>
      <c r="E32" s="142"/>
      <c r="F32" s="142"/>
      <c r="G32" s="142"/>
      <c r="H32" s="142"/>
      <c r="I32" s="142"/>
      <c r="J32" s="142"/>
      <c r="K32" s="143"/>
    </row>
    <row r="33" spans="1:11" ht="15.6" x14ac:dyDescent="0.3">
      <c r="A33" s="141" t="s">
        <v>174</v>
      </c>
      <c r="B33" s="142"/>
      <c r="C33" s="142"/>
      <c r="D33" s="142"/>
      <c r="E33" s="142"/>
      <c r="F33" s="142"/>
      <c r="G33" s="142"/>
      <c r="H33" s="142"/>
      <c r="I33" s="142"/>
      <c r="J33" s="142"/>
      <c r="K33" s="143"/>
    </row>
    <row r="34" spans="1:11" ht="15.6" x14ac:dyDescent="0.3">
      <c r="A34" s="141"/>
      <c r="B34" s="142"/>
      <c r="C34" s="142"/>
      <c r="D34" s="142"/>
      <c r="E34" s="142"/>
      <c r="F34" s="142"/>
      <c r="G34" s="142"/>
      <c r="H34" s="142"/>
      <c r="I34" s="142"/>
      <c r="J34" s="142"/>
      <c r="K34" s="143"/>
    </row>
    <row r="35" spans="1:11" ht="15.6" x14ac:dyDescent="0.3">
      <c r="A35" s="141"/>
      <c r="B35" s="142"/>
      <c r="C35" s="142"/>
      <c r="D35" s="142"/>
      <c r="E35" s="142"/>
      <c r="F35" s="142"/>
      <c r="G35" s="142"/>
      <c r="H35" s="142"/>
      <c r="I35" s="142"/>
      <c r="J35" s="142"/>
      <c r="K35" s="143"/>
    </row>
    <row r="36" spans="1:11" ht="15.6" x14ac:dyDescent="0.3">
      <c r="A36" s="141" t="s">
        <v>175</v>
      </c>
      <c r="B36" s="142"/>
      <c r="C36" s="142"/>
      <c r="D36" s="142"/>
      <c r="E36" s="142"/>
      <c r="F36" s="142"/>
      <c r="G36" s="142"/>
      <c r="H36" s="142"/>
      <c r="I36" s="142"/>
      <c r="J36" s="142"/>
      <c r="K36" s="143"/>
    </row>
    <row r="37" spans="1:11" ht="15.6" x14ac:dyDescent="0.3">
      <c r="A37" s="141"/>
      <c r="B37" s="142"/>
      <c r="C37" s="142"/>
      <c r="D37" s="142"/>
      <c r="E37" s="142"/>
      <c r="F37" s="142"/>
      <c r="G37" s="142"/>
      <c r="H37" s="142"/>
      <c r="I37" s="142"/>
      <c r="J37" s="142"/>
      <c r="K37" s="143"/>
    </row>
    <row r="38" spans="1:11" ht="15.6" x14ac:dyDescent="0.3">
      <c r="A38" s="141"/>
      <c r="B38" s="142"/>
      <c r="C38" s="142"/>
      <c r="D38" s="142"/>
      <c r="E38" s="142"/>
      <c r="F38" s="142"/>
      <c r="G38" s="142"/>
      <c r="H38" s="142"/>
      <c r="I38" s="142"/>
      <c r="J38" s="142"/>
      <c r="K38" s="143"/>
    </row>
    <row r="39" spans="1:11" ht="15.6" x14ac:dyDescent="0.3">
      <c r="A39" s="141"/>
      <c r="B39" s="142"/>
      <c r="C39" s="142"/>
      <c r="D39" s="142"/>
      <c r="E39" s="142"/>
      <c r="F39" s="142"/>
      <c r="G39" s="142"/>
      <c r="H39" s="142"/>
      <c r="I39" s="142"/>
      <c r="J39" s="142"/>
      <c r="K39" s="143"/>
    </row>
    <row r="40" spans="1:11" ht="15.6" x14ac:dyDescent="0.3">
      <c r="A40" s="141"/>
      <c r="B40" s="142"/>
      <c r="C40" s="142"/>
      <c r="D40" s="142"/>
      <c r="E40" s="142"/>
      <c r="F40" s="142"/>
      <c r="G40" s="142"/>
      <c r="H40" s="142"/>
      <c r="I40" s="142"/>
      <c r="J40" s="142"/>
      <c r="K40" s="143"/>
    </row>
    <row r="41" spans="1:11" ht="15.6" x14ac:dyDescent="0.3">
      <c r="A41" s="141"/>
      <c r="B41" s="142"/>
      <c r="C41" s="142"/>
      <c r="D41" s="142"/>
      <c r="E41" s="142"/>
      <c r="F41" s="142"/>
      <c r="G41" s="142"/>
      <c r="H41" s="142"/>
      <c r="I41" s="142"/>
      <c r="J41" s="142"/>
      <c r="K41" s="143"/>
    </row>
    <row r="42" spans="1:11" ht="15.6" x14ac:dyDescent="0.3">
      <c r="A42" s="141"/>
      <c r="B42" s="142"/>
      <c r="C42" s="142"/>
      <c r="D42" s="142"/>
      <c r="E42" s="142"/>
      <c r="F42" s="142"/>
      <c r="G42" s="142"/>
      <c r="H42" s="142"/>
      <c r="I42" s="142"/>
      <c r="J42" s="142"/>
      <c r="K42" s="143"/>
    </row>
    <row r="43" spans="1:11" ht="15.6" x14ac:dyDescent="0.3">
      <c r="A43" s="141"/>
      <c r="B43" s="142"/>
      <c r="C43" s="142"/>
      <c r="D43" s="142"/>
      <c r="E43" s="142"/>
      <c r="F43" s="142"/>
      <c r="G43" s="142"/>
      <c r="H43" s="142"/>
      <c r="I43" s="142"/>
      <c r="J43" s="142"/>
      <c r="K43" s="143"/>
    </row>
    <row r="44" spans="1:11" ht="15.6" x14ac:dyDescent="0.3">
      <c r="A44" s="141"/>
      <c r="B44" s="142"/>
      <c r="C44" s="142"/>
      <c r="D44" s="142"/>
      <c r="E44" s="142"/>
      <c r="F44" s="142"/>
      <c r="G44" s="142"/>
      <c r="H44" s="142"/>
      <c r="I44" s="142"/>
      <c r="J44" s="142"/>
      <c r="K44" s="143"/>
    </row>
    <row r="45" spans="1:11" ht="15.6" x14ac:dyDescent="0.3">
      <c r="A45" s="141"/>
      <c r="B45" s="142"/>
      <c r="C45" s="142"/>
      <c r="D45" s="142"/>
      <c r="E45" s="142"/>
      <c r="F45" s="142"/>
      <c r="G45" s="142"/>
      <c r="H45" s="142"/>
      <c r="I45" s="142"/>
      <c r="J45" s="142"/>
      <c r="K45" s="143"/>
    </row>
    <row r="46" spans="1:11" ht="15.6" customHeight="1" x14ac:dyDescent="0.3">
      <c r="A46" s="141"/>
      <c r="B46" s="142"/>
      <c r="C46" s="142"/>
      <c r="D46" s="142"/>
      <c r="E46" s="142"/>
      <c r="F46" s="142"/>
      <c r="G46" s="142"/>
      <c r="H46" s="142"/>
      <c r="I46" s="142"/>
      <c r="J46" s="142"/>
      <c r="K46" s="143"/>
    </row>
    <row r="47" spans="1:11" ht="14.4" customHeight="1" thickBot="1" x14ac:dyDescent="0.35">
      <c r="A47" s="138" t="s">
        <v>176</v>
      </c>
      <c r="B47" s="139"/>
      <c r="C47" s="139"/>
      <c r="D47" s="139"/>
      <c r="E47" s="139"/>
      <c r="F47" s="139"/>
      <c r="G47" s="139"/>
      <c r="H47" s="139"/>
      <c r="I47" s="139"/>
      <c r="J47" s="139"/>
      <c r="K47" s="140"/>
    </row>
    <row r="48" spans="1:11" ht="15.6" x14ac:dyDescent="0.3">
      <c r="A48" s="94"/>
      <c r="B48" s="95"/>
      <c r="C48" s="95"/>
      <c r="D48" s="95"/>
      <c r="E48" s="95"/>
      <c r="F48" s="95"/>
      <c r="G48" s="95"/>
      <c r="H48" s="95"/>
      <c r="I48" s="95"/>
      <c r="J48" s="95"/>
      <c r="K48" s="95"/>
    </row>
  </sheetData>
  <mergeCells count="47">
    <mergeCell ref="A1:K1"/>
    <mergeCell ref="A2:K2"/>
    <mergeCell ref="A43:K43"/>
    <mergeCell ref="A30:K30"/>
    <mergeCell ref="A8:K8"/>
    <mergeCell ref="A9:K9"/>
    <mergeCell ref="A10:K10"/>
    <mergeCell ref="A29:K29"/>
    <mergeCell ref="A15:K15"/>
    <mergeCell ref="A16:K16"/>
    <mergeCell ref="A17:K17"/>
    <mergeCell ref="A18:K18"/>
    <mergeCell ref="A11:K11"/>
    <mergeCell ref="A12:K12"/>
    <mergeCell ref="A13:K13"/>
    <mergeCell ref="A14:K14"/>
    <mergeCell ref="A3:K3"/>
    <mergeCell ref="A4:K4"/>
    <mergeCell ref="A5:K5"/>
    <mergeCell ref="A6:K6"/>
    <mergeCell ref="A7:K7"/>
    <mergeCell ref="A36:K36"/>
    <mergeCell ref="A19:K19"/>
    <mergeCell ref="A22:K22"/>
    <mergeCell ref="A23:K23"/>
    <mergeCell ref="A20:K20"/>
    <mergeCell ref="A21:K21"/>
    <mergeCell ref="A31:K31"/>
    <mergeCell ref="A32:K32"/>
    <mergeCell ref="A33:K33"/>
    <mergeCell ref="A34:K34"/>
    <mergeCell ref="A35:K35"/>
    <mergeCell ref="A24:K24"/>
    <mergeCell ref="A25:K25"/>
    <mergeCell ref="A26:K26"/>
    <mergeCell ref="A27:K27"/>
    <mergeCell ref="A28:K28"/>
    <mergeCell ref="A37:K37"/>
    <mergeCell ref="A38:K38"/>
    <mergeCell ref="A39:K39"/>
    <mergeCell ref="A40:K40"/>
    <mergeCell ref="A41:K41"/>
    <mergeCell ref="A47:K47"/>
    <mergeCell ref="A44:K44"/>
    <mergeCell ref="A45:K45"/>
    <mergeCell ref="A46:K46"/>
    <mergeCell ref="A42:K42"/>
  </mergeCells>
  <pageMargins left="0.7" right="0" top="0" bottom="0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Cover">
                <anchor moveWithCells="1" sizeWithCells="1">
                  <from>
                    <xdr:col>11</xdr:col>
                    <xdr:colOff>167640</xdr:colOff>
                    <xdr:row>1</xdr:row>
                    <xdr:rowOff>45720</xdr:rowOff>
                  </from>
                  <to>
                    <xdr:col>13</xdr:col>
                    <xdr:colOff>480060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E4E62-BC57-45E8-B632-86FC7A75E3B9}">
  <sheetPr codeName="Sheet3"/>
  <dimension ref="A1:AF239"/>
  <sheetViews>
    <sheetView zoomScale="160" zoomScaleNormal="160" workbookViewId="0">
      <selection activeCell="A6" sqref="A6"/>
    </sheetView>
  </sheetViews>
  <sheetFormatPr defaultRowHeight="14.4" x14ac:dyDescent="0.3"/>
  <cols>
    <col min="1" max="1" width="8.88671875" style="9"/>
    <col min="2" max="2" width="22" style="9" customWidth="1"/>
    <col min="3" max="5" width="8.88671875" style="9"/>
    <col min="6" max="6" width="6.5546875" style="9" bestFit="1" customWidth="1"/>
    <col min="7" max="7" width="6.77734375" style="9" bestFit="1" customWidth="1"/>
    <col min="8" max="8" width="6.5546875" style="9" bestFit="1" customWidth="1"/>
    <col min="9" max="9" width="6.77734375" style="9" bestFit="1" customWidth="1"/>
    <col min="10" max="10" width="10.77734375" style="9" bestFit="1" customWidth="1"/>
    <col min="11" max="11" width="10.44140625" customWidth="1"/>
    <col min="12" max="14" width="8.88671875" style="9"/>
    <col min="15" max="15" width="9.109375" style="9"/>
    <col min="16" max="16" width="12" customWidth="1"/>
    <col min="18" max="18" width="14.109375" customWidth="1"/>
    <col min="20" max="20" width="13.88671875" customWidth="1"/>
    <col min="26" max="26" width="13.88671875" customWidth="1"/>
    <col min="31" max="31" width="15.33203125" customWidth="1"/>
  </cols>
  <sheetData>
    <row r="1" spans="1:32" s="8" customFormat="1" ht="53.4" customHeight="1" x14ac:dyDescent="0.3">
      <c r="A1" s="7" t="s">
        <v>30</v>
      </c>
      <c r="B1" s="40" t="s">
        <v>65</v>
      </c>
      <c r="C1" s="7" t="s">
        <v>58</v>
      </c>
      <c r="D1" s="40" t="s">
        <v>64</v>
      </c>
      <c r="E1" s="7" t="s">
        <v>73</v>
      </c>
      <c r="F1" s="7" t="s">
        <v>60</v>
      </c>
      <c r="G1" s="7" t="s">
        <v>61</v>
      </c>
      <c r="H1" s="42" t="s">
        <v>82</v>
      </c>
      <c r="I1" s="42" t="s">
        <v>83</v>
      </c>
      <c r="J1" s="7" t="s">
        <v>62</v>
      </c>
      <c r="K1" s="12" t="s">
        <v>63</v>
      </c>
      <c r="L1" s="7" t="s">
        <v>23</v>
      </c>
      <c r="M1" s="7" t="s">
        <v>24</v>
      </c>
      <c r="N1" s="7" t="s">
        <v>25</v>
      </c>
      <c r="O1" s="12" t="s">
        <v>29</v>
      </c>
      <c r="P1" s="39" t="s">
        <v>56</v>
      </c>
      <c r="Q1" s="39" t="s">
        <v>57</v>
      </c>
      <c r="R1" s="39" t="s">
        <v>66</v>
      </c>
      <c r="S1" s="48" t="s">
        <v>113</v>
      </c>
      <c r="T1" s="48" t="s">
        <v>114</v>
      </c>
      <c r="U1" s="48" t="s">
        <v>118</v>
      </c>
      <c r="V1" s="48" t="s">
        <v>119</v>
      </c>
      <c r="W1" s="48" t="s">
        <v>120</v>
      </c>
      <c r="X1" s="48" t="s">
        <v>121</v>
      </c>
      <c r="Y1" s="50"/>
      <c r="AA1" s="8" t="s">
        <v>19</v>
      </c>
      <c r="AB1" s="8" t="s">
        <v>20</v>
      </c>
      <c r="AC1" s="8" t="s">
        <v>21</v>
      </c>
    </row>
    <row r="2" spans="1:32" s="49" customFormat="1" x14ac:dyDescent="0.3">
      <c r="A2" s="53">
        <v>1</v>
      </c>
      <c r="B2" s="53" t="s">
        <v>198</v>
      </c>
      <c r="C2" s="53">
        <v>78</v>
      </c>
      <c r="D2" s="53">
        <v>78</v>
      </c>
      <c r="E2" s="53">
        <v>10.73</v>
      </c>
      <c r="F2" s="53">
        <f>1.08*12</f>
        <v>12.96</v>
      </c>
      <c r="G2" s="53">
        <f>2.13*12</f>
        <v>25.56</v>
      </c>
      <c r="H2" s="53">
        <f>F2</f>
        <v>12.96</v>
      </c>
      <c r="I2" s="53">
        <f>G2</f>
        <v>25.56</v>
      </c>
      <c r="J2" s="53">
        <v>98.7</v>
      </c>
      <c r="K2" s="53">
        <v>17.8</v>
      </c>
      <c r="L2" s="135">
        <f>VLOOKUP($R2,$Z$2:$AC$9,2,FALSE)</f>
        <v>29000</v>
      </c>
      <c r="M2" s="135">
        <f>VLOOKUP($R2,$Z$2:$AC$9,3,FALSE)</f>
        <v>1.4630000000000001</v>
      </c>
      <c r="N2" s="135">
        <f>VLOOKUP($R2,$Z$2:$AC$9,4,FALSE)</f>
        <v>2.7549999999999999</v>
      </c>
      <c r="O2" s="53">
        <v>0</v>
      </c>
      <c r="P2" s="53">
        <v>8</v>
      </c>
      <c r="Q2" s="53">
        <v>8</v>
      </c>
      <c r="R2" s="53" t="s">
        <v>31</v>
      </c>
      <c r="S2" s="53">
        <v>163</v>
      </c>
      <c r="T2" s="53" t="s">
        <v>116</v>
      </c>
      <c r="U2" s="135">
        <f>VLOOKUP(T2,$AE$2:$AF$4,2,FALSE)</f>
        <v>1.4</v>
      </c>
      <c r="V2" s="53">
        <f>1.5*50</f>
        <v>75</v>
      </c>
      <c r="W2" s="53">
        <f>V2/2</f>
        <v>37.5</v>
      </c>
      <c r="X2">
        <v>1146.44</v>
      </c>
      <c r="Z2" s="49" t="s">
        <v>38</v>
      </c>
      <c r="AA2" s="41">
        <v>29000</v>
      </c>
      <c r="AB2" s="41">
        <v>2</v>
      </c>
      <c r="AC2" s="41">
        <v>2.85</v>
      </c>
      <c r="AE2" s="49" t="s">
        <v>115</v>
      </c>
      <c r="AF2" s="47">
        <v>1</v>
      </c>
    </row>
    <row r="3" spans="1:32" x14ac:dyDescent="0.3">
      <c r="A3" s="53">
        <v>2</v>
      </c>
      <c r="B3" s="53" t="s">
        <v>199</v>
      </c>
      <c r="C3" s="53">
        <v>78</v>
      </c>
      <c r="D3" s="53">
        <v>54</v>
      </c>
      <c r="E3" s="53">
        <v>10.72</v>
      </c>
      <c r="F3" s="53">
        <f>1.08*12</f>
        <v>12.96</v>
      </c>
      <c r="G3" s="53">
        <f>2.13*12</f>
        <v>25.56</v>
      </c>
      <c r="H3" s="53">
        <f>F3</f>
        <v>12.96</v>
      </c>
      <c r="I3" s="53">
        <f>G3</f>
        <v>25.56</v>
      </c>
      <c r="J3" s="53">
        <v>97.3</v>
      </c>
      <c r="K3" s="53">
        <v>20.100000000000001</v>
      </c>
      <c r="L3" s="135">
        <f>VLOOKUP($R3,$Z$2:$AC$9,2,FALSE)</f>
        <v>29000</v>
      </c>
      <c r="M3" s="135">
        <f>VLOOKUP($R3,$Z$2:$AC$9,3,FALSE)</f>
        <v>1.4630000000000001</v>
      </c>
      <c r="N3" s="135">
        <f>VLOOKUP($R3,$Z$2:$AC$9,4,FALSE)</f>
        <v>2.7549999999999999</v>
      </c>
      <c r="O3" s="53">
        <v>0</v>
      </c>
      <c r="P3" s="53">
        <v>1</v>
      </c>
      <c r="Q3" s="53">
        <v>3</v>
      </c>
      <c r="R3" s="53" t="s">
        <v>31</v>
      </c>
      <c r="S3" s="53">
        <v>109</v>
      </c>
      <c r="T3" s="53" t="s">
        <v>116</v>
      </c>
      <c r="U3" s="135">
        <f>VLOOKUP(T3,$AE$2:$AF$4,2,FALSE)</f>
        <v>1.4</v>
      </c>
      <c r="V3" s="53">
        <f>1.5*50</f>
        <v>75</v>
      </c>
      <c r="W3" s="53">
        <f>V3/2</f>
        <v>37.5</v>
      </c>
      <c r="X3">
        <v>1146.44</v>
      </c>
      <c r="Z3" s="9" t="s">
        <v>37</v>
      </c>
      <c r="AA3" s="41">
        <v>29000</v>
      </c>
      <c r="AB3" s="41">
        <v>2</v>
      </c>
      <c r="AC3" s="41">
        <v>2.85</v>
      </c>
      <c r="AE3" t="s">
        <v>116</v>
      </c>
      <c r="AF3" s="47">
        <v>1.4</v>
      </c>
    </row>
    <row r="4" spans="1:32" x14ac:dyDescent="0.3">
      <c r="A4" s="53">
        <v>3</v>
      </c>
      <c r="B4" s="53" t="s">
        <v>200</v>
      </c>
      <c r="C4" s="53">
        <v>54</v>
      </c>
      <c r="D4" s="53">
        <v>54</v>
      </c>
      <c r="E4" s="53">
        <v>9</v>
      </c>
      <c r="F4" s="53">
        <f t="shared" ref="F4:F5" si="0">1.08*12</f>
        <v>12.96</v>
      </c>
      <c r="G4" s="53">
        <f t="shared" ref="G4:G5" si="1">2.13*12</f>
        <v>25.56</v>
      </c>
      <c r="H4" s="53">
        <f t="shared" ref="H4:I5" si="2">F4</f>
        <v>12.96</v>
      </c>
      <c r="I4" s="53">
        <f t="shared" si="2"/>
        <v>25.56</v>
      </c>
      <c r="J4" s="53">
        <v>85.8</v>
      </c>
      <c r="K4" s="53">
        <v>16.5</v>
      </c>
      <c r="L4" s="135">
        <f>VLOOKUP($R4,$Z$2:$AC$9,2,FALSE)</f>
        <v>29000</v>
      </c>
      <c r="M4" s="135">
        <f>VLOOKUP($R4,$Z$2:$AC$9,3,FALSE)</f>
        <v>1.4630000000000001</v>
      </c>
      <c r="N4" s="135">
        <f>VLOOKUP($R4,$Z$2:$AC$9,4,FALSE)</f>
        <v>2.7549999999999999</v>
      </c>
      <c r="O4" s="53">
        <v>0</v>
      </c>
      <c r="P4" s="53">
        <v>3</v>
      </c>
      <c r="Q4" s="53">
        <v>5</v>
      </c>
      <c r="R4" s="53" t="s">
        <v>31</v>
      </c>
      <c r="S4" s="53">
        <v>131</v>
      </c>
      <c r="T4" s="53" t="s">
        <v>115</v>
      </c>
      <c r="U4" s="135">
        <f t="shared" ref="U4:U5" si="3">VLOOKUP(T4,$AE$2:$AF$4,2,FALSE)</f>
        <v>1</v>
      </c>
      <c r="V4" s="53">
        <f t="shared" ref="V4:V5" si="4">1.5*50</f>
        <v>75</v>
      </c>
      <c r="W4" s="53">
        <f t="shared" ref="W4:W5" si="5">V4/2</f>
        <v>37.5</v>
      </c>
      <c r="X4">
        <v>971.4375</v>
      </c>
      <c r="Z4" s="9" t="s">
        <v>36</v>
      </c>
      <c r="AA4" s="41">
        <v>29000</v>
      </c>
      <c r="AB4" s="41">
        <v>2</v>
      </c>
      <c r="AC4" s="41">
        <v>2.85</v>
      </c>
      <c r="AE4" t="s">
        <v>117</v>
      </c>
      <c r="AF4" s="47">
        <v>1.7</v>
      </c>
    </row>
    <row r="5" spans="1:32" x14ac:dyDescent="0.3">
      <c r="A5" s="53">
        <v>4</v>
      </c>
      <c r="B5" s="53" t="s">
        <v>19</v>
      </c>
      <c r="C5" s="53">
        <v>54</v>
      </c>
      <c r="D5" s="53">
        <v>54</v>
      </c>
      <c r="E5" s="53">
        <v>9</v>
      </c>
      <c r="F5" s="53">
        <f t="shared" si="0"/>
        <v>12.96</v>
      </c>
      <c r="G5" s="53">
        <f t="shared" si="1"/>
        <v>25.56</v>
      </c>
      <c r="H5" s="53">
        <f t="shared" si="2"/>
        <v>12.96</v>
      </c>
      <c r="I5" s="53">
        <f t="shared" si="2"/>
        <v>25.56</v>
      </c>
      <c r="J5" s="53">
        <v>85.8</v>
      </c>
      <c r="K5" s="53">
        <v>18.899999999999999</v>
      </c>
      <c r="L5" s="135">
        <f>VLOOKUP($R5,$Z$2:$AC$9,2,FALSE)</f>
        <v>29000</v>
      </c>
      <c r="M5" s="135">
        <f>VLOOKUP($R5,$Z$2:$AC$9,3,FALSE)</f>
        <v>1.4630000000000001</v>
      </c>
      <c r="N5" s="135">
        <f>VLOOKUP($R5,$Z$2:$AC$9,4,FALSE)</f>
        <v>2.7549999999999999</v>
      </c>
      <c r="O5" s="53">
        <v>0</v>
      </c>
      <c r="P5" s="53">
        <v>3</v>
      </c>
      <c r="Q5" s="53">
        <v>5</v>
      </c>
      <c r="R5" s="53" t="s">
        <v>31</v>
      </c>
      <c r="S5" s="53">
        <v>131</v>
      </c>
      <c r="T5" s="53" t="s">
        <v>116</v>
      </c>
      <c r="U5" s="135">
        <f t="shared" si="3"/>
        <v>1.4</v>
      </c>
      <c r="V5" s="53">
        <f t="shared" si="4"/>
        <v>75</v>
      </c>
      <c r="W5" s="53">
        <f t="shared" si="5"/>
        <v>37.5</v>
      </c>
      <c r="X5">
        <v>971.4375</v>
      </c>
      <c r="Z5" s="9" t="s">
        <v>35</v>
      </c>
      <c r="AA5" s="41">
        <v>29000</v>
      </c>
      <c r="AB5" s="41">
        <v>2</v>
      </c>
      <c r="AC5" s="41">
        <v>2.85</v>
      </c>
    </row>
    <row r="6" spans="1:32" x14ac:dyDescent="0.3">
      <c r="Z6" s="9" t="s">
        <v>34</v>
      </c>
      <c r="AA6" s="41">
        <v>29000</v>
      </c>
      <c r="AB6" s="41">
        <v>2</v>
      </c>
      <c r="AC6" s="41">
        <v>2.85</v>
      </c>
    </row>
    <row r="7" spans="1:32" x14ac:dyDescent="0.3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49"/>
      <c r="M7" s="49"/>
      <c r="N7" s="49"/>
      <c r="O7" s="53"/>
      <c r="P7" s="53"/>
      <c r="Q7" s="53"/>
      <c r="R7" s="53"/>
      <c r="S7" s="53"/>
      <c r="T7" s="53"/>
      <c r="U7" s="49"/>
      <c r="V7" s="53"/>
      <c r="W7" s="53"/>
      <c r="X7" s="53"/>
      <c r="Z7" s="9" t="s">
        <v>33</v>
      </c>
      <c r="AA7" s="41">
        <v>29000</v>
      </c>
      <c r="AB7" s="41">
        <v>2</v>
      </c>
      <c r="AC7" s="41">
        <v>2.85</v>
      </c>
    </row>
    <row r="8" spans="1:32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49"/>
      <c r="M8" s="49"/>
      <c r="N8" s="49"/>
      <c r="O8" s="53"/>
      <c r="P8" s="53"/>
      <c r="Q8" s="53"/>
      <c r="R8" s="53"/>
      <c r="S8" s="53"/>
      <c r="T8" s="53"/>
      <c r="U8" s="49"/>
      <c r="V8" s="53"/>
      <c r="W8" s="53"/>
      <c r="X8" s="53"/>
      <c r="Z8" s="9" t="s">
        <v>32</v>
      </c>
      <c r="AA8" s="41">
        <v>29000</v>
      </c>
      <c r="AB8" s="41">
        <v>1.4630000000000001</v>
      </c>
      <c r="AC8" s="41">
        <v>2.7549999999999999</v>
      </c>
    </row>
    <row r="9" spans="1:32" x14ac:dyDescent="0.3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49"/>
      <c r="M9" s="49"/>
      <c r="N9" s="49"/>
      <c r="O9" s="53"/>
      <c r="P9" s="53"/>
      <c r="Q9" s="53"/>
      <c r="R9" s="53"/>
      <c r="S9" s="53"/>
      <c r="T9" s="53"/>
      <c r="U9" s="49"/>
      <c r="V9" s="53"/>
      <c r="W9" s="53"/>
      <c r="X9" s="53"/>
      <c r="Z9" s="9" t="s">
        <v>31</v>
      </c>
      <c r="AA9" s="41">
        <v>29000</v>
      </c>
      <c r="AB9" s="41">
        <v>1.4630000000000001</v>
      </c>
      <c r="AC9" s="41">
        <v>2.7549999999999999</v>
      </c>
    </row>
    <row r="10" spans="1:32" x14ac:dyDescent="0.3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49"/>
      <c r="M10" s="49"/>
      <c r="N10" s="49"/>
      <c r="O10" s="53"/>
      <c r="P10" s="53"/>
      <c r="Q10" s="53"/>
      <c r="R10" s="53"/>
      <c r="S10" s="53"/>
      <c r="T10" s="53"/>
      <c r="U10" s="49"/>
      <c r="V10" s="53"/>
      <c r="W10" s="53"/>
      <c r="X10" s="53"/>
    </row>
    <row r="11" spans="1:32" x14ac:dyDescent="0.3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49"/>
      <c r="M11" s="49"/>
      <c r="N11" s="49"/>
      <c r="O11" s="53"/>
      <c r="P11" s="53"/>
      <c r="Q11" s="53"/>
      <c r="R11" s="53"/>
      <c r="S11" s="53"/>
      <c r="T11" s="53"/>
      <c r="U11" s="49"/>
      <c r="W11" s="53"/>
      <c r="X11" s="53"/>
    </row>
    <row r="12" spans="1:32" x14ac:dyDescent="0.3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49"/>
      <c r="M12" s="49"/>
      <c r="N12" s="49"/>
      <c r="O12" s="53"/>
      <c r="P12" s="53"/>
      <c r="Q12" s="53"/>
      <c r="R12" s="53"/>
      <c r="S12" s="53"/>
      <c r="T12" s="53"/>
      <c r="U12" s="49"/>
      <c r="W12" s="53"/>
      <c r="X12" s="53"/>
    </row>
    <row r="13" spans="1:32" x14ac:dyDescent="0.3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49"/>
      <c r="M13" s="49"/>
      <c r="N13" s="49"/>
      <c r="O13" s="53"/>
      <c r="P13" s="53"/>
      <c r="Q13" s="53"/>
      <c r="R13" s="53"/>
      <c r="S13" s="53"/>
      <c r="T13" s="53"/>
      <c r="U13" s="49"/>
      <c r="W13" s="53"/>
      <c r="X13" s="53"/>
    </row>
    <row r="14" spans="1:32" x14ac:dyDescent="0.3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49"/>
      <c r="M14" s="49"/>
      <c r="N14" s="49"/>
      <c r="O14" s="53"/>
      <c r="P14" s="53"/>
      <c r="Q14" s="53"/>
      <c r="R14" s="53"/>
      <c r="S14" s="53"/>
      <c r="T14" s="53"/>
      <c r="U14" s="49"/>
      <c r="V14" s="53"/>
      <c r="W14" s="53"/>
      <c r="X14" s="53"/>
    </row>
    <row r="15" spans="1:32" x14ac:dyDescent="0.3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49"/>
      <c r="M15" s="49"/>
      <c r="N15" s="49"/>
      <c r="O15" s="53"/>
      <c r="P15" s="53"/>
      <c r="Q15" s="53"/>
      <c r="R15" s="53"/>
      <c r="S15" s="53"/>
      <c r="T15" s="53"/>
      <c r="U15" s="49"/>
      <c r="V15" s="53"/>
      <c r="W15" s="53"/>
      <c r="X15" s="53"/>
    </row>
    <row r="16" spans="1:32" x14ac:dyDescent="0.3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49"/>
      <c r="M16" s="49"/>
      <c r="N16" s="49"/>
      <c r="O16" s="53"/>
      <c r="P16" s="53"/>
      <c r="Q16" s="53"/>
      <c r="R16" s="53"/>
      <c r="S16" s="53"/>
      <c r="T16" s="53"/>
      <c r="U16" s="49"/>
      <c r="V16" s="53"/>
      <c r="W16" s="53"/>
      <c r="X16" s="53"/>
    </row>
    <row r="17" spans="1:29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49"/>
      <c r="M17" s="49"/>
      <c r="N17" s="49"/>
      <c r="O17" s="53"/>
      <c r="P17" s="53"/>
      <c r="Q17" s="53"/>
      <c r="R17" s="53"/>
      <c r="S17" s="53"/>
      <c r="T17" s="53"/>
      <c r="U17" s="49"/>
      <c r="V17" s="53"/>
      <c r="W17" s="53"/>
      <c r="X17" s="53"/>
    </row>
    <row r="18" spans="1:29" x14ac:dyDescent="0.3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49"/>
      <c r="M18" s="49"/>
      <c r="N18" s="49"/>
      <c r="O18" s="53"/>
      <c r="P18" s="53"/>
      <c r="Q18" s="53"/>
      <c r="R18" s="53"/>
      <c r="S18" s="53"/>
      <c r="T18" s="53"/>
      <c r="U18" s="49"/>
      <c r="V18" s="53"/>
      <c r="W18" s="53"/>
      <c r="X18" s="53"/>
    </row>
    <row r="19" spans="1:29" x14ac:dyDescent="0.3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49"/>
      <c r="M19" s="49"/>
      <c r="N19" s="49"/>
      <c r="O19" s="53"/>
      <c r="P19" s="53"/>
      <c r="Q19" s="53"/>
      <c r="R19" s="53"/>
      <c r="S19" s="53"/>
      <c r="T19" s="53"/>
      <c r="U19" s="49"/>
      <c r="V19" s="53"/>
      <c r="W19" s="53"/>
      <c r="X19" s="53"/>
    </row>
    <row r="20" spans="1:29" x14ac:dyDescent="0.3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49"/>
      <c r="M20" s="49"/>
      <c r="N20" s="49"/>
      <c r="O20" s="53"/>
      <c r="P20" s="53"/>
      <c r="Q20" s="53"/>
      <c r="R20" s="53"/>
      <c r="S20" s="53"/>
      <c r="T20" s="53"/>
      <c r="U20" s="49"/>
      <c r="V20" s="53"/>
      <c r="W20" s="53"/>
      <c r="X20" s="53"/>
    </row>
    <row r="21" spans="1:29" x14ac:dyDescent="0.3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49"/>
      <c r="M21" s="49"/>
      <c r="N21" s="49"/>
      <c r="O21" s="53"/>
      <c r="P21" s="53"/>
      <c r="Q21" s="53"/>
      <c r="R21" s="53"/>
      <c r="S21" s="53"/>
      <c r="T21" s="53"/>
      <c r="U21" s="49"/>
      <c r="V21" s="53"/>
      <c r="W21" s="53"/>
      <c r="X21" s="53"/>
    </row>
    <row r="22" spans="1:29" x14ac:dyDescent="0.3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49"/>
      <c r="M22" s="49"/>
      <c r="N22" s="49"/>
      <c r="O22" s="53"/>
      <c r="P22" s="53"/>
      <c r="Q22" s="53"/>
      <c r="R22" s="53"/>
      <c r="S22" s="53"/>
      <c r="T22" s="53"/>
      <c r="U22" s="49"/>
      <c r="V22" s="53"/>
      <c r="W22" s="53"/>
      <c r="X22" s="53"/>
    </row>
    <row r="23" spans="1:29" x14ac:dyDescent="0.3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49"/>
      <c r="M23" s="49"/>
      <c r="N23" s="49"/>
      <c r="O23" s="53"/>
      <c r="P23" s="53"/>
      <c r="Q23" s="53"/>
      <c r="R23" s="53"/>
      <c r="S23" s="53"/>
      <c r="T23" s="53"/>
      <c r="U23" s="49"/>
      <c r="V23" s="53"/>
      <c r="W23" s="53"/>
      <c r="X23" s="53"/>
    </row>
    <row r="24" spans="1:29" x14ac:dyDescent="0.3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49"/>
      <c r="M24" s="49"/>
      <c r="N24" s="49"/>
      <c r="O24" s="53"/>
      <c r="P24" s="53"/>
      <c r="Q24" s="53"/>
      <c r="R24" s="53"/>
      <c r="S24" s="53"/>
      <c r="T24" s="53"/>
      <c r="U24" s="49"/>
      <c r="V24" s="53"/>
      <c r="W24" s="53"/>
      <c r="X24" s="53"/>
    </row>
    <row r="25" spans="1:29" x14ac:dyDescent="0.3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49"/>
      <c r="M25" s="49"/>
      <c r="N25" s="49"/>
      <c r="O25" s="53"/>
      <c r="P25" s="53"/>
      <c r="Q25" s="53"/>
      <c r="R25" s="53"/>
      <c r="S25" s="53"/>
      <c r="T25" s="53"/>
      <c r="U25" s="49"/>
      <c r="V25" s="53"/>
      <c r="W25" s="53"/>
      <c r="X25" s="53"/>
      <c r="AA25" t="s">
        <v>86</v>
      </c>
    </row>
    <row r="26" spans="1:29" x14ac:dyDescent="0.3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49"/>
      <c r="M26" s="49"/>
      <c r="N26" s="49"/>
      <c r="O26" s="53"/>
      <c r="P26" s="53"/>
      <c r="Q26" s="53"/>
      <c r="R26" s="53"/>
      <c r="S26" s="53"/>
      <c r="T26" s="53"/>
      <c r="U26" s="49"/>
      <c r="V26" s="53"/>
      <c r="W26" s="53"/>
      <c r="X26" s="53"/>
    </row>
    <row r="27" spans="1:29" x14ac:dyDescent="0.3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49"/>
      <c r="M27" s="49"/>
      <c r="N27" s="49"/>
      <c r="O27" s="53"/>
      <c r="P27" s="53"/>
      <c r="Q27" s="53"/>
      <c r="R27" s="53"/>
      <c r="S27" s="53"/>
      <c r="T27" s="53"/>
      <c r="U27" s="49"/>
      <c r="V27" s="53"/>
      <c r="W27" s="53"/>
      <c r="X27" s="53"/>
    </row>
    <row r="28" spans="1:29" x14ac:dyDescent="0.3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49"/>
      <c r="M28" s="49"/>
      <c r="N28" s="49"/>
      <c r="O28" s="53"/>
      <c r="P28" s="53"/>
      <c r="Q28" s="53"/>
      <c r="R28" s="53"/>
      <c r="S28" s="53"/>
      <c r="T28" s="53"/>
      <c r="U28" s="49"/>
      <c r="V28" s="53"/>
      <c r="W28" s="53"/>
      <c r="X28" s="53"/>
    </row>
    <row r="29" spans="1:29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49"/>
      <c r="M29" s="49"/>
      <c r="N29" s="49"/>
      <c r="O29" s="53"/>
      <c r="P29" s="53"/>
      <c r="Q29" s="53"/>
      <c r="R29" s="53"/>
      <c r="S29" s="53"/>
      <c r="T29" s="53"/>
      <c r="U29" s="49"/>
      <c r="V29" s="53"/>
      <c r="W29" s="53"/>
      <c r="X29" s="53"/>
      <c r="AA29" t="s">
        <v>20</v>
      </c>
      <c r="AB29">
        <v>1226.58</v>
      </c>
      <c r="AC29">
        <f>AB29/144</f>
        <v>8.5179166666666664</v>
      </c>
    </row>
    <row r="30" spans="1:29" x14ac:dyDescent="0.3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49"/>
      <c r="M30" s="49"/>
      <c r="N30" s="49"/>
      <c r="O30" s="53"/>
      <c r="P30" s="53"/>
      <c r="Q30" s="53"/>
      <c r="R30" s="53"/>
      <c r="S30" s="53"/>
      <c r="T30" s="53"/>
      <c r="U30" s="49"/>
      <c r="V30" s="53"/>
      <c r="W30" s="53"/>
      <c r="X30" s="53"/>
      <c r="AA30" t="s">
        <v>178</v>
      </c>
      <c r="AB30">
        <v>37.75</v>
      </c>
    </row>
    <row r="31" spans="1:29" x14ac:dyDescent="0.3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49"/>
      <c r="M31" s="49"/>
      <c r="N31" s="49"/>
      <c r="O31" s="53"/>
      <c r="P31" s="53"/>
      <c r="Q31" s="53"/>
      <c r="R31" s="53"/>
      <c r="S31" s="53"/>
      <c r="T31" s="53"/>
      <c r="U31" s="49"/>
      <c r="V31" s="53"/>
      <c r="W31" s="53"/>
      <c r="X31" s="53"/>
      <c r="AA31" t="s">
        <v>179</v>
      </c>
      <c r="AB31">
        <f>1*AC29</f>
        <v>8.5179166666666664</v>
      </c>
    </row>
    <row r="32" spans="1:29" x14ac:dyDescent="0.3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49"/>
      <c r="M32" s="49"/>
      <c r="N32" s="49"/>
      <c r="O32" s="53"/>
      <c r="P32" s="53"/>
      <c r="Q32" s="53"/>
      <c r="R32" s="53"/>
      <c r="S32" s="53"/>
      <c r="T32" s="53"/>
      <c r="U32" s="49"/>
      <c r="V32" s="53"/>
      <c r="W32" s="53"/>
      <c r="X32" s="53"/>
      <c r="AA32" t="s">
        <v>180</v>
      </c>
      <c r="AB32">
        <f>AB31*150</f>
        <v>1277.6875</v>
      </c>
    </row>
    <row r="33" spans="1:24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49"/>
      <c r="M33" s="49"/>
      <c r="N33" s="49"/>
      <c r="O33" s="53"/>
      <c r="P33" s="53"/>
      <c r="Q33" s="53"/>
      <c r="R33" s="53"/>
      <c r="S33" s="53"/>
      <c r="T33" s="53"/>
      <c r="U33" s="49"/>
      <c r="V33" s="53"/>
      <c r="W33" s="53"/>
      <c r="X33" s="53"/>
    </row>
    <row r="34" spans="1:24" x14ac:dyDescent="0.3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49"/>
      <c r="M34" s="49"/>
      <c r="N34" s="49"/>
      <c r="O34" s="53"/>
      <c r="P34" s="53"/>
      <c r="Q34" s="53"/>
      <c r="R34" s="53"/>
      <c r="S34" s="53"/>
      <c r="T34" s="53"/>
      <c r="U34" s="49"/>
      <c r="V34" s="53"/>
      <c r="W34" s="53"/>
      <c r="X34" s="53"/>
    </row>
    <row r="35" spans="1:24" x14ac:dyDescent="0.3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49"/>
      <c r="M35" s="49"/>
      <c r="N35" s="49"/>
      <c r="O35" s="53"/>
      <c r="P35" s="53"/>
      <c r="Q35" s="53"/>
      <c r="R35" s="53"/>
      <c r="S35" s="53"/>
      <c r="T35" s="53"/>
      <c r="U35" s="49"/>
      <c r="V35" s="53"/>
      <c r="W35" s="53"/>
      <c r="X35" s="53"/>
    </row>
    <row r="36" spans="1:24" x14ac:dyDescent="0.3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49"/>
      <c r="M36" s="49"/>
      <c r="N36" s="49"/>
      <c r="O36" s="53"/>
      <c r="P36" s="53"/>
      <c r="Q36" s="53"/>
      <c r="R36" s="53"/>
      <c r="S36" s="53"/>
      <c r="T36" s="53"/>
      <c r="U36" s="49"/>
      <c r="V36" s="53"/>
      <c r="W36" s="53"/>
      <c r="X36" s="53"/>
    </row>
    <row r="37" spans="1:24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49"/>
      <c r="M37" s="49"/>
      <c r="N37" s="49"/>
      <c r="O37" s="53"/>
      <c r="P37" s="53"/>
      <c r="Q37" s="53"/>
      <c r="R37" s="53"/>
      <c r="S37" s="53"/>
      <c r="T37" s="53"/>
      <c r="U37" s="49"/>
      <c r="V37" s="53"/>
      <c r="W37" s="53"/>
      <c r="X37" s="53"/>
    </row>
    <row r="38" spans="1:24" x14ac:dyDescent="0.3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49"/>
      <c r="M38" s="49"/>
      <c r="N38" s="49"/>
      <c r="O38" s="53"/>
      <c r="P38" s="53"/>
      <c r="Q38" s="53"/>
      <c r="R38" s="53"/>
      <c r="S38" s="53"/>
      <c r="T38" s="53"/>
      <c r="U38" s="49"/>
      <c r="V38" s="53"/>
      <c r="W38" s="53"/>
      <c r="X38" s="53"/>
    </row>
    <row r="39" spans="1:24" x14ac:dyDescent="0.3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49"/>
      <c r="M39" s="49"/>
      <c r="N39" s="49"/>
      <c r="O39" s="53"/>
      <c r="P39" s="53"/>
      <c r="Q39" s="53"/>
      <c r="R39" s="53"/>
      <c r="S39" s="53"/>
      <c r="T39" s="53"/>
      <c r="U39" s="49"/>
      <c r="V39" s="53"/>
      <c r="W39" s="53"/>
      <c r="X39" s="53"/>
    </row>
    <row r="40" spans="1:24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49"/>
      <c r="M40" s="49"/>
      <c r="N40" s="49"/>
      <c r="O40" s="53"/>
      <c r="P40" s="53"/>
      <c r="Q40" s="53"/>
      <c r="R40" s="53"/>
      <c r="S40" s="53"/>
      <c r="T40" s="53"/>
      <c r="U40" s="49"/>
      <c r="V40" s="53"/>
      <c r="W40" s="53"/>
      <c r="X40" s="53"/>
    </row>
    <row r="41" spans="1:24" x14ac:dyDescent="0.3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49"/>
      <c r="M41" s="49"/>
      <c r="N41" s="49"/>
      <c r="O41" s="53"/>
      <c r="P41" s="53"/>
      <c r="Q41" s="53"/>
      <c r="R41" s="53"/>
      <c r="S41" s="53"/>
      <c r="T41" s="53"/>
      <c r="U41" s="49"/>
      <c r="V41" s="53"/>
      <c r="W41" s="53"/>
      <c r="X41" s="53"/>
    </row>
    <row r="42" spans="1:24" x14ac:dyDescent="0.3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49"/>
      <c r="M42" s="49"/>
      <c r="N42" s="49"/>
      <c r="O42" s="53"/>
      <c r="P42" s="53"/>
      <c r="Q42" s="53"/>
      <c r="R42" s="53"/>
      <c r="S42" s="53"/>
      <c r="T42" s="53"/>
      <c r="U42" s="49"/>
      <c r="V42" s="53"/>
      <c r="W42" s="53"/>
      <c r="X42" s="53"/>
    </row>
    <row r="43" spans="1:24" x14ac:dyDescent="0.3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49"/>
      <c r="M43" s="49"/>
      <c r="N43" s="49"/>
      <c r="O43" s="53"/>
      <c r="P43" s="53"/>
      <c r="Q43" s="53"/>
      <c r="R43" s="53"/>
      <c r="S43" s="53"/>
      <c r="T43" s="53"/>
      <c r="U43" s="49"/>
      <c r="V43" s="53"/>
      <c r="W43" s="53"/>
      <c r="X43" s="53"/>
    </row>
    <row r="44" spans="1:24" x14ac:dyDescent="0.3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49"/>
      <c r="M44" s="49"/>
      <c r="N44" s="49"/>
      <c r="O44" s="53"/>
      <c r="P44" s="53"/>
      <c r="Q44" s="53"/>
      <c r="R44" s="53"/>
      <c r="S44" s="53"/>
      <c r="T44" s="53"/>
      <c r="U44" s="49"/>
      <c r="V44" s="53"/>
      <c r="W44" s="53"/>
      <c r="X44" s="53"/>
    </row>
    <row r="45" spans="1:24" x14ac:dyDescent="0.3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49"/>
      <c r="M45" s="49"/>
      <c r="N45" s="49"/>
      <c r="O45" s="53"/>
      <c r="P45" s="53"/>
      <c r="Q45" s="53"/>
      <c r="R45" s="53"/>
      <c r="S45" s="53"/>
      <c r="T45" s="53"/>
      <c r="U45" s="49"/>
      <c r="V45" s="53"/>
      <c r="W45" s="53"/>
      <c r="X45" s="53"/>
    </row>
    <row r="46" spans="1:24" x14ac:dyDescent="0.3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49"/>
      <c r="M46" s="49"/>
      <c r="N46" s="49"/>
      <c r="O46" s="53"/>
      <c r="P46" s="53"/>
      <c r="Q46" s="53"/>
      <c r="R46" s="53"/>
      <c r="S46" s="53"/>
      <c r="T46" s="53"/>
      <c r="U46" s="49"/>
      <c r="V46" s="53"/>
      <c r="W46" s="53"/>
      <c r="X46" s="53"/>
    </row>
    <row r="47" spans="1:24" x14ac:dyDescent="0.3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49"/>
      <c r="M47" s="49"/>
      <c r="N47" s="49"/>
      <c r="O47" s="53"/>
      <c r="P47" s="53"/>
      <c r="Q47" s="53"/>
      <c r="R47" s="53"/>
      <c r="S47" s="53"/>
      <c r="T47" s="53"/>
      <c r="U47" s="49"/>
      <c r="V47" s="53"/>
      <c r="W47" s="53"/>
      <c r="X47" s="53"/>
    </row>
    <row r="48" spans="1:24" x14ac:dyDescent="0.3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49"/>
      <c r="M48" s="49"/>
      <c r="N48" s="49"/>
      <c r="O48" s="53"/>
      <c r="P48" s="53"/>
      <c r="Q48" s="53"/>
      <c r="R48" s="53"/>
      <c r="S48" s="53"/>
      <c r="T48" s="53"/>
      <c r="U48" s="49"/>
      <c r="V48" s="53"/>
      <c r="W48" s="53"/>
      <c r="X48" s="53"/>
    </row>
    <row r="49" spans="1:24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49"/>
      <c r="M49" s="49"/>
      <c r="N49" s="49"/>
      <c r="O49" s="53"/>
      <c r="P49" s="53"/>
      <c r="Q49" s="53"/>
      <c r="R49" s="53"/>
      <c r="S49" s="53"/>
      <c r="T49" s="53"/>
      <c r="U49" s="49"/>
      <c r="V49" s="53"/>
      <c r="W49" s="53"/>
      <c r="X49" s="53"/>
    </row>
    <row r="50" spans="1:24" x14ac:dyDescent="0.3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49"/>
      <c r="M50" s="49"/>
      <c r="N50" s="49"/>
      <c r="O50" s="53"/>
      <c r="P50" s="53"/>
      <c r="Q50" s="53"/>
      <c r="R50" s="53"/>
      <c r="S50" s="53"/>
      <c r="T50" s="53"/>
      <c r="U50" s="49"/>
      <c r="V50" s="53"/>
      <c r="W50" s="53"/>
      <c r="X50" s="53"/>
    </row>
    <row r="51" spans="1:24" x14ac:dyDescent="0.3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49"/>
      <c r="M51" s="49"/>
      <c r="N51" s="49"/>
      <c r="O51" s="53"/>
      <c r="P51" s="53"/>
      <c r="Q51" s="53"/>
      <c r="R51" s="53"/>
      <c r="S51" s="53"/>
      <c r="T51" s="53"/>
      <c r="U51" s="49"/>
      <c r="V51" s="53"/>
      <c r="W51" s="53"/>
      <c r="X51" s="53"/>
    </row>
    <row r="52" spans="1:24" x14ac:dyDescent="0.3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49"/>
      <c r="M52" s="49"/>
      <c r="N52" s="49"/>
      <c r="O52" s="53"/>
      <c r="P52" s="53"/>
      <c r="Q52" s="53"/>
      <c r="R52" s="53"/>
      <c r="S52" s="53"/>
      <c r="T52" s="53"/>
      <c r="U52" s="49"/>
      <c r="V52" s="53"/>
      <c r="W52" s="53"/>
      <c r="X52" s="53"/>
    </row>
    <row r="53" spans="1:24" x14ac:dyDescent="0.3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49"/>
      <c r="M53" s="49"/>
      <c r="N53" s="49"/>
      <c r="O53" s="53"/>
      <c r="P53" s="53"/>
      <c r="Q53" s="53"/>
      <c r="R53" s="53"/>
      <c r="S53" s="53"/>
      <c r="T53" s="53"/>
      <c r="U53" s="49"/>
      <c r="V53" s="53"/>
      <c r="W53" s="53"/>
      <c r="X53" s="53"/>
    </row>
    <row r="54" spans="1:24" x14ac:dyDescent="0.3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49"/>
      <c r="M54" s="49"/>
      <c r="N54" s="49"/>
      <c r="O54" s="53"/>
      <c r="P54" s="53"/>
      <c r="Q54" s="53"/>
      <c r="R54" s="53"/>
      <c r="S54" s="53"/>
      <c r="T54" s="53"/>
      <c r="U54" s="49"/>
      <c r="V54" s="53"/>
      <c r="W54" s="53"/>
      <c r="X54" s="53"/>
    </row>
    <row r="55" spans="1:24" x14ac:dyDescent="0.3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49"/>
      <c r="M55" s="49"/>
      <c r="N55" s="49"/>
      <c r="O55" s="53"/>
      <c r="P55" s="53"/>
      <c r="Q55" s="53"/>
      <c r="R55" s="53"/>
      <c r="S55" s="53"/>
      <c r="T55" s="53"/>
      <c r="U55" s="49"/>
      <c r="V55" s="53"/>
      <c r="W55" s="53"/>
      <c r="X55" s="53"/>
    </row>
    <row r="56" spans="1:24" x14ac:dyDescent="0.3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49"/>
      <c r="M56" s="49"/>
      <c r="N56" s="49"/>
      <c r="O56" s="53"/>
      <c r="P56" s="53"/>
      <c r="Q56" s="53"/>
      <c r="R56" s="53"/>
      <c r="S56" s="53"/>
      <c r="T56" s="53"/>
      <c r="U56" s="49"/>
      <c r="V56" s="53"/>
      <c r="W56" s="53"/>
      <c r="X56" s="53"/>
    </row>
    <row r="57" spans="1:24" x14ac:dyDescent="0.3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49"/>
      <c r="M57" s="49"/>
      <c r="N57" s="49"/>
      <c r="O57" s="53"/>
      <c r="P57" s="53"/>
      <c r="Q57" s="53"/>
      <c r="R57" s="53"/>
      <c r="S57" s="53"/>
      <c r="T57" s="53"/>
      <c r="U57" s="49"/>
      <c r="V57" s="53"/>
      <c r="W57" s="53"/>
      <c r="X57" s="53"/>
    </row>
    <row r="58" spans="1:24" x14ac:dyDescent="0.3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49"/>
      <c r="M58" s="49"/>
      <c r="N58" s="49"/>
      <c r="O58" s="53"/>
      <c r="P58" s="53"/>
      <c r="Q58" s="53"/>
      <c r="R58" s="53"/>
      <c r="S58" s="53"/>
      <c r="T58" s="53"/>
      <c r="U58" s="49"/>
      <c r="V58" s="53"/>
      <c r="W58" s="53"/>
      <c r="X58" s="53"/>
    </row>
    <row r="59" spans="1:24" x14ac:dyDescent="0.3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49"/>
      <c r="M59" s="49"/>
      <c r="N59" s="49"/>
      <c r="O59" s="53"/>
      <c r="P59" s="53"/>
      <c r="Q59" s="53"/>
      <c r="R59" s="53"/>
      <c r="S59" s="53"/>
      <c r="T59" s="53"/>
      <c r="U59" s="49"/>
      <c r="V59" s="53"/>
      <c r="W59" s="53"/>
      <c r="X59" s="53"/>
    </row>
    <row r="60" spans="1:24" x14ac:dyDescent="0.3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49"/>
      <c r="M60" s="49"/>
      <c r="N60" s="49"/>
      <c r="O60" s="53"/>
      <c r="P60" s="53"/>
      <c r="Q60" s="53"/>
      <c r="R60" s="53"/>
      <c r="S60" s="53"/>
      <c r="T60" s="53"/>
      <c r="U60" s="49"/>
      <c r="V60" s="53"/>
      <c r="W60" s="53"/>
      <c r="X60" s="53"/>
    </row>
    <row r="61" spans="1:24" x14ac:dyDescent="0.3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49"/>
      <c r="M61" s="49"/>
      <c r="N61" s="49"/>
      <c r="O61" s="53"/>
      <c r="P61" s="53"/>
      <c r="Q61" s="53"/>
      <c r="R61" s="53"/>
      <c r="S61" s="53"/>
      <c r="T61" s="53"/>
      <c r="U61" s="49"/>
      <c r="V61" s="53"/>
      <c r="W61" s="53"/>
      <c r="X61" s="53"/>
    </row>
    <row r="62" spans="1:24" x14ac:dyDescent="0.3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49"/>
      <c r="M62" s="49"/>
      <c r="N62" s="49"/>
      <c r="O62" s="53"/>
      <c r="P62" s="53"/>
      <c r="Q62" s="53"/>
      <c r="R62" s="53"/>
      <c r="S62" s="53"/>
      <c r="T62" s="53"/>
      <c r="U62" s="49"/>
      <c r="V62" s="53"/>
      <c r="W62" s="53"/>
      <c r="X62" s="53"/>
    </row>
    <row r="63" spans="1:24" x14ac:dyDescent="0.3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49"/>
      <c r="M63" s="49"/>
      <c r="N63" s="49"/>
      <c r="O63" s="53"/>
      <c r="P63" s="53"/>
      <c r="Q63" s="53"/>
      <c r="R63" s="53"/>
      <c r="S63" s="53"/>
      <c r="T63" s="53"/>
      <c r="U63" s="49"/>
      <c r="V63" s="53"/>
      <c r="W63" s="53"/>
      <c r="X63" s="53"/>
    </row>
    <row r="64" spans="1:24" x14ac:dyDescent="0.3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49"/>
      <c r="M64" s="49"/>
      <c r="N64" s="49"/>
      <c r="O64" s="53"/>
      <c r="P64" s="53"/>
      <c r="Q64" s="53"/>
      <c r="R64" s="53"/>
      <c r="S64" s="53"/>
      <c r="T64" s="53"/>
      <c r="U64" s="49"/>
      <c r="V64" s="53"/>
      <c r="W64" s="53"/>
      <c r="X64" s="53"/>
    </row>
    <row r="65" spans="1:24" x14ac:dyDescent="0.3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49"/>
      <c r="M65" s="49"/>
      <c r="N65" s="49"/>
      <c r="O65" s="53"/>
      <c r="P65" s="53"/>
      <c r="Q65" s="53"/>
      <c r="R65" s="53"/>
      <c r="S65" s="53"/>
      <c r="T65" s="53"/>
      <c r="U65" s="49"/>
      <c r="V65" s="53"/>
      <c r="W65" s="53"/>
      <c r="X65" s="53"/>
    </row>
    <row r="66" spans="1:24" x14ac:dyDescent="0.3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49"/>
      <c r="M66" s="49"/>
      <c r="N66" s="49"/>
      <c r="O66" s="53"/>
      <c r="P66" s="53"/>
      <c r="Q66" s="53"/>
      <c r="R66" s="53"/>
      <c r="S66" s="53"/>
      <c r="T66" s="53"/>
      <c r="U66" s="49"/>
      <c r="V66" s="53"/>
      <c r="W66" s="53"/>
      <c r="X66" s="53"/>
    </row>
    <row r="67" spans="1:24" x14ac:dyDescent="0.3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49"/>
      <c r="M67" s="49"/>
      <c r="N67" s="49"/>
      <c r="O67" s="53"/>
      <c r="P67" s="53"/>
      <c r="Q67" s="53"/>
      <c r="R67" s="53"/>
      <c r="S67" s="53"/>
      <c r="T67" s="53"/>
      <c r="U67" s="49"/>
      <c r="V67" s="53"/>
      <c r="W67" s="53"/>
      <c r="X67" s="53"/>
    </row>
    <row r="68" spans="1:24" x14ac:dyDescent="0.3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49"/>
      <c r="M68" s="49"/>
      <c r="N68" s="49"/>
      <c r="O68" s="53"/>
      <c r="P68" s="53"/>
      <c r="Q68" s="53"/>
      <c r="R68" s="53"/>
      <c r="S68" s="53"/>
      <c r="T68" s="53"/>
      <c r="U68" s="49"/>
      <c r="V68" s="53"/>
      <c r="W68" s="53"/>
      <c r="X68" s="53"/>
    </row>
    <row r="69" spans="1:24" x14ac:dyDescent="0.3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49"/>
      <c r="M69" s="49"/>
      <c r="N69" s="49"/>
      <c r="O69" s="53"/>
      <c r="P69" s="53"/>
      <c r="Q69" s="53"/>
      <c r="R69" s="53"/>
      <c r="S69" s="53"/>
      <c r="T69" s="53"/>
      <c r="U69" s="49"/>
      <c r="V69" s="53"/>
      <c r="W69" s="53"/>
      <c r="X69" s="53"/>
    </row>
    <row r="70" spans="1:24" x14ac:dyDescent="0.3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49"/>
      <c r="M70" s="49"/>
      <c r="N70" s="49"/>
      <c r="O70" s="53"/>
      <c r="P70" s="53"/>
      <c r="Q70" s="53"/>
      <c r="R70" s="53"/>
      <c r="S70" s="53"/>
      <c r="T70" s="53"/>
      <c r="U70" s="49"/>
      <c r="V70" s="53"/>
      <c r="W70" s="53"/>
      <c r="X70" s="53"/>
    </row>
    <row r="71" spans="1:24" x14ac:dyDescent="0.3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49"/>
      <c r="M71" s="49"/>
      <c r="N71" s="49"/>
      <c r="O71" s="53"/>
      <c r="P71" s="53"/>
      <c r="Q71" s="53"/>
      <c r="R71" s="53"/>
      <c r="S71" s="53"/>
      <c r="T71" s="53"/>
      <c r="U71" s="49"/>
      <c r="V71" s="53"/>
      <c r="W71" s="53"/>
      <c r="X71" s="53"/>
    </row>
    <row r="72" spans="1:24" x14ac:dyDescent="0.3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49"/>
      <c r="M72" s="49"/>
      <c r="N72" s="49"/>
      <c r="O72" s="53"/>
      <c r="P72" s="53"/>
      <c r="Q72" s="53"/>
      <c r="R72" s="53"/>
      <c r="S72" s="53"/>
      <c r="T72" s="53"/>
      <c r="U72" s="49"/>
      <c r="V72" s="53"/>
      <c r="W72" s="53"/>
      <c r="X72" s="53"/>
    </row>
    <row r="73" spans="1:24" x14ac:dyDescent="0.3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49"/>
      <c r="M73" s="49"/>
      <c r="N73" s="49"/>
      <c r="O73" s="53"/>
      <c r="P73" s="53"/>
      <c r="Q73" s="53"/>
      <c r="R73" s="53"/>
      <c r="S73" s="53"/>
      <c r="T73" s="53"/>
      <c r="U73" s="49"/>
      <c r="V73" s="53"/>
      <c r="W73" s="53"/>
      <c r="X73" s="53"/>
    </row>
    <row r="74" spans="1:24" x14ac:dyDescent="0.3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49"/>
      <c r="M74" s="49"/>
      <c r="N74" s="49"/>
      <c r="O74" s="53"/>
      <c r="P74" s="53"/>
      <c r="Q74" s="53"/>
      <c r="R74" s="53"/>
      <c r="S74" s="53"/>
      <c r="T74" s="53"/>
      <c r="U74" s="49"/>
      <c r="V74" s="53"/>
      <c r="W74" s="53"/>
      <c r="X74" s="53"/>
    </row>
    <row r="75" spans="1:24" x14ac:dyDescent="0.3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49"/>
      <c r="M75" s="49"/>
      <c r="N75" s="49"/>
      <c r="O75" s="53"/>
      <c r="P75" s="53"/>
      <c r="Q75" s="53"/>
      <c r="R75" s="53"/>
      <c r="S75" s="53"/>
      <c r="T75" s="53"/>
      <c r="U75" s="49"/>
      <c r="V75" s="53"/>
      <c r="W75" s="53"/>
      <c r="X75" s="53"/>
    </row>
    <row r="76" spans="1:24" x14ac:dyDescent="0.3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49"/>
      <c r="M76" s="49"/>
      <c r="N76" s="49"/>
      <c r="O76" s="53"/>
      <c r="P76" s="53"/>
      <c r="Q76" s="53"/>
      <c r="R76" s="53"/>
      <c r="S76" s="53"/>
      <c r="T76" s="53"/>
      <c r="U76" s="49"/>
      <c r="V76" s="53"/>
      <c r="W76" s="53"/>
      <c r="X76" s="53"/>
    </row>
    <row r="77" spans="1:24" x14ac:dyDescent="0.3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49"/>
      <c r="M77" s="49"/>
      <c r="N77" s="49"/>
      <c r="O77" s="53"/>
      <c r="P77" s="53"/>
      <c r="Q77" s="53"/>
      <c r="R77" s="53"/>
      <c r="S77" s="53"/>
      <c r="T77" s="53"/>
      <c r="U77" s="49"/>
      <c r="V77" s="53"/>
      <c r="W77" s="53"/>
      <c r="X77" s="53"/>
    </row>
    <row r="78" spans="1:24" x14ac:dyDescent="0.3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49"/>
      <c r="M78" s="49"/>
      <c r="N78" s="49"/>
      <c r="O78" s="53"/>
      <c r="P78" s="53"/>
      <c r="Q78" s="53"/>
      <c r="R78" s="53"/>
      <c r="S78" s="53"/>
      <c r="T78" s="53"/>
      <c r="U78" s="49"/>
      <c r="V78" s="53"/>
      <c r="W78" s="53"/>
      <c r="X78" s="53"/>
    </row>
    <row r="79" spans="1:24" x14ac:dyDescent="0.3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49"/>
      <c r="M79" s="49"/>
      <c r="N79" s="49"/>
      <c r="O79" s="53"/>
      <c r="P79" s="53"/>
      <c r="Q79" s="53"/>
      <c r="R79" s="53"/>
      <c r="S79" s="53"/>
      <c r="T79" s="53"/>
      <c r="U79" s="49"/>
      <c r="V79" s="53"/>
      <c r="W79" s="53"/>
      <c r="X79" s="53"/>
    </row>
    <row r="80" spans="1:24" x14ac:dyDescent="0.3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49"/>
      <c r="M80" s="49"/>
      <c r="N80" s="49"/>
      <c r="O80" s="53"/>
      <c r="P80" s="53"/>
      <c r="Q80" s="53"/>
      <c r="R80" s="53"/>
      <c r="S80" s="53"/>
      <c r="T80" s="53"/>
      <c r="U80" s="49"/>
      <c r="V80" s="53"/>
      <c r="W80" s="53"/>
      <c r="X80" s="53"/>
    </row>
    <row r="81" spans="1:24" x14ac:dyDescent="0.3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49"/>
      <c r="M81" s="49"/>
      <c r="N81" s="49"/>
      <c r="O81" s="53"/>
      <c r="P81" s="53"/>
      <c r="Q81" s="53"/>
      <c r="R81" s="53"/>
      <c r="S81" s="53"/>
      <c r="T81" s="53"/>
      <c r="U81" s="49"/>
      <c r="V81" s="53"/>
      <c r="W81" s="53"/>
      <c r="X81" s="53"/>
    </row>
    <row r="82" spans="1:24" x14ac:dyDescent="0.3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49"/>
      <c r="M82" s="49"/>
      <c r="N82" s="49"/>
      <c r="O82" s="53"/>
      <c r="P82" s="53"/>
      <c r="Q82" s="53"/>
      <c r="R82" s="53"/>
      <c r="S82" s="53"/>
      <c r="T82" s="53"/>
      <c r="U82" s="49"/>
      <c r="V82" s="53"/>
      <c r="W82" s="53"/>
      <c r="X82" s="53"/>
    </row>
    <row r="83" spans="1:24" x14ac:dyDescent="0.3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49"/>
      <c r="M83" s="49"/>
      <c r="N83" s="49"/>
      <c r="O83" s="53"/>
      <c r="P83" s="53"/>
      <c r="Q83" s="53"/>
      <c r="R83" s="53"/>
      <c r="S83" s="53"/>
      <c r="T83" s="53"/>
      <c r="U83" s="49"/>
      <c r="V83" s="53"/>
      <c r="W83" s="53"/>
      <c r="X83" s="53"/>
    </row>
    <row r="84" spans="1:24" x14ac:dyDescent="0.3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49"/>
      <c r="M84" s="49"/>
      <c r="N84" s="49"/>
      <c r="O84" s="53"/>
      <c r="P84" s="53"/>
      <c r="Q84" s="53"/>
      <c r="R84" s="53"/>
      <c r="S84" s="53"/>
      <c r="T84" s="53"/>
      <c r="U84" s="49"/>
      <c r="V84" s="53"/>
      <c r="W84" s="53"/>
      <c r="X84" s="53"/>
    </row>
    <row r="85" spans="1:24" x14ac:dyDescent="0.3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49"/>
      <c r="M85" s="49"/>
      <c r="N85" s="49"/>
      <c r="O85" s="53"/>
      <c r="P85" s="53"/>
      <c r="Q85" s="53"/>
      <c r="R85" s="53"/>
      <c r="S85" s="53"/>
      <c r="T85" s="53"/>
      <c r="U85" s="49"/>
      <c r="V85" s="53"/>
      <c r="W85" s="53"/>
      <c r="X85" s="53"/>
    </row>
    <row r="86" spans="1:24" x14ac:dyDescent="0.3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49"/>
      <c r="M86" s="49"/>
      <c r="N86" s="49"/>
      <c r="O86" s="53"/>
      <c r="P86" s="53"/>
      <c r="Q86" s="53"/>
      <c r="R86" s="53"/>
      <c r="S86" s="53"/>
      <c r="T86" s="53"/>
      <c r="U86" s="49"/>
      <c r="V86" s="53"/>
      <c r="W86" s="53"/>
      <c r="X86" s="53"/>
    </row>
    <row r="87" spans="1:24" x14ac:dyDescent="0.3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49"/>
      <c r="M87" s="49"/>
      <c r="N87" s="49"/>
      <c r="O87" s="53"/>
      <c r="P87" s="53"/>
      <c r="Q87" s="53"/>
      <c r="R87" s="53"/>
      <c r="S87" s="53"/>
      <c r="T87" s="53"/>
      <c r="U87" s="49"/>
      <c r="V87" s="53"/>
      <c r="W87" s="53"/>
      <c r="X87" s="53"/>
    </row>
    <row r="88" spans="1:24" x14ac:dyDescent="0.3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49"/>
      <c r="M88" s="49"/>
      <c r="N88" s="49"/>
      <c r="O88" s="53"/>
      <c r="P88" s="53"/>
      <c r="Q88" s="53"/>
      <c r="R88" s="53"/>
      <c r="S88" s="53"/>
      <c r="T88" s="53"/>
      <c r="U88" s="49"/>
      <c r="V88" s="53"/>
      <c r="W88" s="53"/>
      <c r="X88" s="53"/>
    </row>
    <row r="89" spans="1:24" x14ac:dyDescent="0.3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49"/>
      <c r="M89" s="49"/>
      <c r="N89" s="49"/>
      <c r="O89" s="53"/>
      <c r="P89" s="53"/>
      <c r="Q89" s="53"/>
      <c r="R89" s="53"/>
      <c r="S89" s="53"/>
      <c r="T89" s="53"/>
      <c r="U89" s="49"/>
      <c r="V89" s="53"/>
      <c r="W89" s="53"/>
      <c r="X89" s="53"/>
    </row>
    <row r="90" spans="1:24" x14ac:dyDescent="0.3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49"/>
      <c r="M90" s="49"/>
      <c r="N90" s="49"/>
      <c r="O90" s="53"/>
      <c r="P90" s="53"/>
      <c r="Q90" s="53"/>
      <c r="R90" s="53"/>
      <c r="S90" s="53"/>
      <c r="T90" s="53"/>
      <c r="U90" s="49"/>
      <c r="V90" s="53"/>
      <c r="W90" s="53"/>
      <c r="X90" s="53"/>
    </row>
    <row r="91" spans="1:24" x14ac:dyDescent="0.3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49"/>
      <c r="M91" s="49"/>
      <c r="N91" s="49"/>
      <c r="O91" s="53"/>
      <c r="P91" s="53"/>
      <c r="Q91" s="53"/>
      <c r="R91" s="53"/>
      <c r="S91" s="53"/>
      <c r="T91" s="53"/>
      <c r="U91" s="49"/>
      <c r="V91" s="53"/>
      <c r="W91" s="53"/>
      <c r="X91" s="53"/>
    </row>
    <row r="92" spans="1:24" x14ac:dyDescent="0.3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49"/>
      <c r="M92" s="49"/>
      <c r="N92" s="49"/>
      <c r="O92" s="53"/>
      <c r="P92" s="53"/>
      <c r="Q92" s="53"/>
      <c r="R92" s="53"/>
      <c r="S92" s="53"/>
      <c r="T92" s="53"/>
      <c r="U92" s="49"/>
      <c r="V92" s="53"/>
      <c r="W92" s="53"/>
      <c r="X92" s="53"/>
    </row>
    <row r="93" spans="1:24" x14ac:dyDescent="0.3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49"/>
      <c r="M93" s="49"/>
      <c r="N93" s="49"/>
      <c r="O93" s="53"/>
      <c r="P93" s="53"/>
      <c r="Q93" s="53"/>
      <c r="R93" s="53"/>
      <c r="S93" s="53"/>
      <c r="T93" s="53"/>
      <c r="U93" s="49"/>
      <c r="V93" s="53"/>
      <c r="W93" s="53"/>
      <c r="X93" s="53"/>
    </row>
    <row r="94" spans="1:24" x14ac:dyDescent="0.3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49"/>
      <c r="M94" s="49"/>
      <c r="N94" s="49"/>
      <c r="O94" s="53"/>
      <c r="P94" s="53"/>
      <c r="Q94" s="53"/>
      <c r="R94" s="53"/>
      <c r="S94" s="53"/>
      <c r="T94" s="53"/>
      <c r="U94" s="49"/>
      <c r="V94" s="53"/>
      <c r="W94" s="53"/>
      <c r="X94" s="53"/>
    </row>
    <row r="95" spans="1:24" x14ac:dyDescent="0.3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49"/>
      <c r="M95" s="49"/>
      <c r="N95" s="49"/>
      <c r="O95" s="53"/>
      <c r="P95" s="53"/>
      <c r="Q95" s="53"/>
      <c r="R95" s="53"/>
      <c r="S95" s="53"/>
      <c r="T95" s="53"/>
      <c r="U95" s="49"/>
      <c r="V95" s="53"/>
      <c r="W95" s="53"/>
      <c r="X95" s="53"/>
    </row>
    <row r="96" spans="1:24" x14ac:dyDescent="0.3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49"/>
      <c r="M96" s="49"/>
      <c r="N96" s="49"/>
      <c r="O96" s="53"/>
      <c r="P96" s="53"/>
      <c r="Q96" s="53"/>
      <c r="R96" s="53"/>
      <c r="S96" s="53"/>
      <c r="T96" s="53"/>
      <c r="U96" s="49"/>
      <c r="V96" s="53"/>
      <c r="W96" s="53"/>
      <c r="X96" s="53"/>
    </row>
    <row r="97" spans="1:24" x14ac:dyDescent="0.3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49"/>
      <c r="M97" s="49"/>
      <c r="N97" s="49"/>
      <c r="O97" s="53"/>
      <c r="P97" s="53"/>
      <c r="Q97" s="53"/>
      <c r="R97" s="53"/>
      <c r="S97" s="53"/>
      <c r="T97" s="53"/>
      <c r="U97" s="49"/>
      <c r="V97" s="53"/>
      <c r="W97" s="53"/>
      <c r="X97" s="53"/>
    </row>
    <row r="98" spans="1:24" x14ac:dyDescent="0.3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49"/>
      <c r="M98" s="49"/>
      <c r="N98" s="49"/>
      <c r="O98" s="53"/>
      <c r="P98" s="53"/>
      <c r="Q98" s="53"/>
      <c r="R98" s="53"/>
      <c r="S98" s="53"/>
      <c r="T98" s="53"/>
      <c r="U98" s="49"/>
      <c r="V98" s="53"/>
      <c r="W98" s="53"/>
      <c r="X98" s="53"/>
    </row>
    <row r="99" spans="1:24" x14ac:dyDescent="0.3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49"/>
      <c r="M99" s="49"/>
      <c r="N99" s="49"/>
      <c r="O99" s="53"/>
      <c r="P99" s="53"/>
      <c r="Q99" s="53"/>
      <c r="R99" s="53"/>
      <c r="S99" s="53"/>
      <c r="T99" s="53"/>
      <c r="U99" s="49"/>
      <c r="V99" s="53"/>
      <c r="W99" s="53"/>
      <c r="X99" s="53"/>
    </row>
    <row r="100" spans="1:24" x14ac:dyDescent="0.3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49"/>
      <c r="M100" s="49"/>
      <c r="N100" s="49"/>
      <c r="O100" s="53"/>
      <c r="P100" s="53"/>
      <c r="Q100" s="53"/>
      <c r="R100" s="53"/>
      <c r="S100" s="53"/>
      <c r="T100" s="53"/>
      <c r="U100" s="49"/>
      <c r="V100" s="53"/>
      <c r="W100" s="53"/>
      <c r="X100" s="53"/>
    </row>
    <row r="101" spans="1:24" x14ac:dyDescent="0.3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49"/>
      <c r="M101" s="49"/>
      <c r="N101" s="49"/>
      <c r="O101" s="53"/>
      <c r="P101" s="53"/>
      <c r="Q101" s="53"/>
      <c r="R101" s="53"/>
      <c r="S101" s="53"/>
      <c r="T101" s="53"/>
      <c r="U101" s="49"/>
      <c r="V101" s="53"/>
      <c r="W101" s="53"/>
      <c r="X101" s="53"/>
    </row>
    <row r="102" spans="1:24" x14ac:dyDescent="0.3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49"/>
      <c r="M102" s="49"/>
      <c r="N102" s="49"/>
      <c r="O102" s="53"/>
      <c r="P102" s="53"/>
      <c r="Q102" s="53"/>
      <c r="R102" s="53"/>
      <c r="S102" s="53"/>
      <c r="T102" s="53"/>
      <c r="U102" s="49"/>
      <c r="V102" s="53"/>
      <c r="W102" s="53"/>
      <c r="X102" s="53"/>
    </row>
    <row r="103" spans="1:24" x14ac:dyDescent="0.3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49"/>
      <c r="M103" s="49"/>
      <c r="N103" s="49"/>
      <c r="O103" s="53"/>
      <c r="P103" s="53"/>
      <c r="Q103" s="53"/>
      <c r="R103" s="53"/>
      <c r="S103" s="53"/>
      <c r="T103" s="53"/>
      <c r="U103" s="49"/>
      <c r="V103" s="53"/>
      <c r="W103" s="53"/>
      <c r="X103" s="53"/>
    </row>
    <row r="104" spans="1:24" x14ac:dyDescent="0.3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49"/>
      <c r="M104" s="49"/>
      <c r="N104" s="49"/>
      <c r="O104" s="53"/>
      <c r="P104" s="53"/>
      <c r="Q104" s="53"/>
      <c r="R104" s="53"/>
      <c r="S104" s="53"/>
      <c r="T104" s="53"/>
      <c r="U104" s="49"/>
      <c r="V104" s="53"/>
      <c r="W104" s="53"/>
      <c r="X104" s="53"/>
    </row>
    <row r="105" spans="1:24" x14ac:dyDescent="0.3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49"/>
      <c r="M105" s="49"/>
      <c r="N105" s="49"/>
      <c r="O105" s="53"/>
      <c r="P105" s="53"/>
      <c r="Q105" s="53"/>
      <c r="R105" s="53"/>
      <c r="S105" s="53"/>
      <c r="T105" s="53"/>
      <c r="U105" s="49"/>
      <c r="V105" s="53"/>
      <c r="W105" s="53"/>
      <c r="X105" s="53"/>
    </row>
    <row r="106" spans="1:24" x14ac:dyDescent="0.3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49"/>
      <c r="M106" s="49"/>
      <c r="N106" s="49"/>
      <c r="O106" s="53"/>
      <c r="P106" s="53"/>
      <c r="Q106" s="53"/>
      <c r="R106" s="53"/>
      <c r="S106" s="53"/>
      <c r="T106" s="53"/>
      <c r="U106" s="49"/>
      <c r="V106" s="53"/>
      <c r="W106" s="53"/>
      <c r="X106" s="53"/>
    </row>
    <row r="107" spans="1:24" x14ac:dyDescent="0.3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49"/>
      <c r="M107" s="49"/>
      <c r="N107" s="49"/>
      <c r="O107" s="53"/>
      <c r="P107" s="53"/>
      <c r="Q107" s="53"/>
      <c r="R107" s="53"/>
      <c r="S107" s="53"/>
      <c r="T107" s="53"/>
      <c r="U107" s="49"/>
      <c r="V107" s="53"/>
      <c r="W107" s="53"/>
      <c r="X107" s="53"/>
    </row>
    <row r="108" spans="1:24" x14ac:dyDescent="0.3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49"/>
      <c r="M108" s="49"/>
      <c r="N108" s="49"/>
      <c r="O108" s="53"/>
      <c r="P108" s="53"/>
      <c r="Q108" s="53"/>
      <c r="R108" s="53"/>
      <c r="S108" s="53"/>
      <c r="T108" s="53"/>
      <c r="U108" s="49"/>
      <c r="V108" s="53"/>
      <c r="W108" s="53"/>
      <c r="X108" s="53"/>
    </row>
    <row r="109" spans="1:24" x14ac:dyDescent="0.3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49"/>
      <c r="M109" s="49"/>
      <c r="N109" s="49"/>
      <c r="O109" s="53"/>
      <c r="P109" s="53"/>
      <c r="Q109" s="53"/>
      <c r="R109" s="53"/>
      <c r="S109" s="53"/>
      <c r="T109" s="53"/>
      <c r="U109" s="49"/>
      <c r="V109" s="53"/>
      <c r="W109" s="53"/>
      <c r="X109" s="53"/>
    </row>
    <row r="110" spans="1:24" x14ac:dyDescent="0.3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49"/>
      <c r="M110" s="49"/>
      <c r="N110" s="49"/>
      <c r="O110" s="53"/>
      <c r="P110" s="53"/>
      <c r="Q110" s="53"/>
      <c r="R110" s="53"/>
      <c r="S110" s="53"/>
      <c r="T110" s="53"/>
      <c r="U110" s="49"/>
      <c r="V110" s="53"/>
      <c r="W110" s="53"/>
      <c r="X110" s="53"/>
    </row>
    <row r="111" spans="1:24" x14ac:dyDescent="0.3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49"/>
      <c r="M111" s="49"/>
      <c r="N111" s="49"/>
      <c r="O111" s="53"/>
      <c r="P111" s="53"/>
      <c r="Q111" s="53"/>
      <c r="R111" s="53"/>
      <c r="S111" s="53"/>
      <c r="T111" s="53"/>
      <c r="U111" s="49"/>
      <c r="V111" s="53"/>
      <c r="W111" s="53"/>
      <c r="X111" s="53"/>
    </row>
    <row r="112" spans="1:24" x14ac:dyDescent="0.3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49"/>
      <c r="M112" s="49"/>
      <c r="N112" s="49"/>
      <c r="O112" s="53"/>
      <c r="P112" s="53"/>
      <c r="Q112" s="53"/>
      <c r="R112" s="53"/>
      <c r="S112" s="53"/>
      <c r="T112" s="53"/>
      <c r="U112" s="49"/>
      <c r="V112" s="53"/>
      <c r="W112" s="53"/>
      <c r="X112" s="53"/>
    </row>
    <row r="113" spans="1:24" x14ac:dyDescent="0.3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49"/>
      <c r="M113" s="49"/>
      <c r="N113" s="49"/>
      <c r="O113" s="53"/>
      <c r="P113" s="53"/>
      <c r="Q113" s="53"/>
      <c r="R113" s="53"/>
      <c r="S113" s="53"/>
      <c r="T113" s="53"/>
      <c r="U113" s="49"/>
      <c r="V113" s="53"/>
      <c r="W113" s="53"/>
      <c r="X113" s="53"/>
    </row>
    <row r="114" spans="1:24" x14ac:dyDescent="0.3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49"/>
      <c r="M114" s="49"/>
      <c r="N114" s="49"/>
      <c r="O114" s="53"/>
      <c r="P114" s="53"/>
      <c r="Q114" s="53"/>
      <c r="R114" s="53"/>
      <c r="S114" s="53"/>
      <c r="T114" s="53"/>
      <c r="U114" s="49"/>
      <c r="V114" s="53"/>
      <c r="W114" s="53"/>
      <c r="X114" s="53"/>
    </row>
    <row r="115" spans="1:24" x14ac:dyDescent="0.3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49"/>
      <c r="M115" s="49"/>
      <c r="N115" s="49"/>
      <c r="O115" s="53"/>
      <c r="P115" s="53"/>
      <c r="Q115" s="53"/>
      <c r="R115" s="53"/>
      <c r="S115" s="53"/>
      <c r="T115" s="53"/>
      <c r="U115" s="49"/>
      <c r="V115" s="53"/>
      <c r="W115" s="53"/>
      <c r="X115" s="53"/>
    </row>
    <row r="116" spans="1:24" x14ac:dyDescent="0.3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49"/>
      <c r="M116" s="49"/>
      <c r="N116" s="49"/>
      <c r="O116" s="53"/>
      <c r="P116" s="53"/>
      <c r="Q116" s="53"/>
      <c r="R116" s="53"/>
      <c r="S116" s="53"/>
      <c r="T116" s="53"/>
      <c r="U116" s="49"/>
      <c r="V116" s="53"/>
      <c r="W116" s="53"/>
      <c r="X116" s="53"/>
    </row>
    <row r="117" spans="1:24" x14ac:dyDescent="0.3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49"/>
      <c r="M117" s="49"/>
      <c r="N117" s="49"/>
      <c r="O117" s="53"/>
      <c r="P117" s="53"/>
      <c r="Q117" s="53"/>
      <c r="R117" s="53"/>
      <c r="S117" s="53"/>
      <c r="T117" s="53"/>
      <c r="U117" s="49"/>
      <c r="V117" s="53"/>
      <c r="W117" s="53"/>
      <c r="X117" s="53"/>
    </row>
    <row r="118" spans="1:24" x14ac:dyDescent="0.3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49"/>
      <c r="M118" s="49"/>
      <c r="N118" s="49"/>
      <c r="O118" s="53"/>
      <c r="P118" s="53"/>
      <c r="Q118" s="53"/>
      <c r="R118" s="53"/>
      <c r="S118" s="53"/>
      <c r="T118" s="53"/>
      <c r="U118" s="49"/>
      <c r="V118" s="53"/>
      <c r="W118" s="53"/>
      <c r="X118" s="53"/>
    </row>
    <row r="119" spans="1:24" x14ac:dyDescent="0.3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49"/>
      <c r="M119" s="49"/>
      <c r="N119" s="49"/>
      <c r="O119" s="53"/>
      <c r="P119" s="53"/>
      <c r="Q119" s="53"/>
      <c r="R119" s="53"/>
      <c r="S119" s="53"/>
      <c r="T119" s="53"/>
      <c r="U119" s="49"/>
      <c r="V119" s="53"/>
      <c r="W119" s="53"/>
      <c r="X119" s="53"/>
    </row>
    <row r="120" spans="1:24" x14ac:dyDescent="0.3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49"/>
      <c r="M120" s="49"/>
      <c r="N120" s="49"/>
      <c r="O120" s="53"/>
      <c r="P120" s="53"/>
      <c r="Q120" s="53"/>
      <c r="R120" s="53"/>
      <c r="S120" s="53"/>
      <c r="T120" s="53"/>
      <c r="U120" s="49"/>
      <c r="V120" s="53"/>
      <c r="W120" s="53"/>
      <c r="X120" s="53"/>
    </row>
    <row r="121" spans="1:24" x14ac:dyDescent="0.3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49"/>
      <c r="M121" s="49"/>
      <c r="N121" s="49"/>
      <c r="O121" s="53"/>
      <c r="P121" s="53"/>
      <c r="Q121" s="53"/>
      <c r="R121" s="53"/>
      <c r="S121" s="53"/>
      <c r="T121" s="53"/>
      <c r="U121" s="49"/>
      <c r="V121" s="53"/>
      <c r="W121" s="53"/>
      <c r="X121" s="53"/>
    </row>
    <row r="122" spans="1:24" x14ac:dyDescent="0.3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49"/>
      <c r="M122" s="49"/>
      <c r="N122" s="49"/>
      <c r="O122" s="53"/>
      <c r="P122" s="53"/>
      <c r="Q122" s="53"/>
      <c r="R122" s="53"/>
      <c r="S122" s="53"/>
      <c r="T122" s="53"/>
      <c r="U122" s="49"/>
      <c r="V122" s="53"/>
      <c r="W122" s="53"/>
      <c r="X122" s="53"/>
    </row>
    <row r="123" spans="1:24" x14ac:dyDescent="0.3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49"/>
      <c r="M123" s="49"/>
      <c r="N123" s="49"/>
      <c r="O123" s="53"/>
      <c r="P123" s="53"/>
      <c r="Q123" s="53"/>
      <c r="R123" s="53"/>
      <c r="S123" s="53"/>
      <c r="T123" s="53"/>
      <c r="U123" s="49"/>
      <c r="V123" s="53"/>
      <c r="W123" s="53"/>
      <c r="X123" s="53"/>
    </row>
    <row r="124" spans="1:24" x14ac:dyDescent="0.3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49"/>
      <c r="M124" s="49"/>
      <c r="N124" s="49"/>
      <c r="O124" s="53"/>
      <c r="P124" s="53"/>
      <c r="Q124" s="53"/>
      <c r="R124" s="53"/>
      <c r="S124" s="53"/>
      <c r="T124" s="53"/>
      <c r="U124" s="49"/>
      <c r="V124" s="53"/>
      <c r="W124" s="53"/>
      <c r="X124" s="53"/>
    </row>
    <row r="125" spans="1:24" x14ac:dyDescent="0.3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49"/>
      <c r="M125" s="49"/>
      <c r="N125" s="49"/>
      <c r="O125" s="53"/>
      <c r="P125" s="53"/>
      <c r="Q125" s="53"/>
      <c r="R125" s="53"/>
      <c r="S125" s="53"/>
      <c r="T125" s="53"/>
      <c r="U125" s="49"/>
      <c r="V125" s="53"/>
      <c r="W125" s="53"/>
      <c r="X125" s="53"/>
    </row>
    <row r="126" spans="1:24" x14ac:dyDescent="0.3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49"/>
      <c r="M126" s="49"/>
      <c r="N126" s="49"/>
      <c r="O126" s="53"/>
      <c r="P126" s="53"/>
      <c r="Q126" s="53"/>
      <c r="R126" s="53"/>
      <c r="S126" s="53"/>
      <c r="T126" s="53"/>
      <c r="U126" s="49"/>
      <c r="V126" s="53"/>
      <c r="W126" s="53"/>
      <c r="X126" s="53"/>
    </row>
    <row r="127" spans="1:24" x14ac:dyDescent="0.3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49"/>
      <c r="M127" s="49"/>
      <c r="N127" s="49"/>
      <c r="O127" s="53"/>
      <c r="P127" s="53"/>
      <c r="Q127" s="53"/>
      <c r="R127" s="53"/>
      <c r="S127" s="53"/>
      <c r="T127" s="53"/>
      <c r="U127" s="49"/>
      <c r="V127" s="53"/>
      <c r="W127" s="53"/>
      <c r="X127" s="53"/>
    </row>
    <row r="128" spans="1:24" x14ac:dyDescent="0.3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49"/>
      <c r="M128" s="49"/>
      <c r="N128" s="49"/>
      <c r="O128" s="53"/>
      <c r="P128" s="53"/>
      <c r="Q128" s="53"/>
      <c r="R128" s="53"/>
      <c r="S128" s="53"/>
      <c r="T128" s="53"/>
      <c r="U128" s="49"/>
      <c r="V128" s="53"/>
      <c r="W128" s="53"/>
      <c r="X128" s="53"/>
    </row>
    <row r="129" spans="1:24" x14ac:dyDescent="0.3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49"/>
      <c r="M129" s="49"/>
      <c r="N129" s="49"/>
      <c r="O129" s="53"/>
      <c r="P129" s="53"/>
      <c r="Q129" s="53"/>
      <c r="R129" s="53"/>
      <c r="S129" s="53"/>
      <c r="T129" s="53"/>
      <c r="U129" s="49"/>
      <c r="V129" s="53"/>
      <c r="W129" s="53"/>
      <c r="X129" s="53"/>
    </row>
    <row r="130" spans="1:24" x14ac:dyDescent="0.3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49"/>
      <c r="M130" s="49"/>
      <c r="N130" s="49"/>
      <c r="O130" s="53"/>
      <c r="P130" s="53"/>
      <c r="Q130" s="53"/>
      <c r="R130" s="53"/>
      <c r="S130" s="53"/>
      <c r="T130" s="53"/>
      <c r="U130" s="49"/>
      <c r="V130" s="53"/>
      <c r="W130" s="53"/>
      <c r="X130" s="53"/>
    </row>
    <row r="131" spans="1:24" x14ac:dyDescent="0.3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49"/>
      <c r="M131" s="49"/>
      <c r="N131" s="49"/>
      <c r="O131" s="53"/>
      <c r="P131" s="53"/>
      <c r="Q131" s="53"/>
      <c r="R131" s="53"/>
      <c r="S131" s="53"/>
      <c r="T131" s="53"/>
      <c r="U131" s="49"/>
      <c r="V131" s="53"/>
      <c r="W131" s="53"/>
      <c r="X131" s="53"/>
    </row>
    <row r="132" spans="1:24" x14ac:dyDescent="0.3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49"/>
      <c r="M132" s="49"/>
      <c r="N132" s="49"/>
      <c r="O132" s="53"/>
      <c r="P132" s="53"/>
      <c r="Q132" s="53"/>
      <c r="R132" s="53"/>
      <c r="S132" s="53"/>
      <c r="T132" s="53"/>
      <c r="U132" s="49"/>
      <c r="V132" s="53"/>
      <c r="W132" s="53"/>
      <c r="X132" s="53"/>
    </row>
    <row r="133" spans="1:24" x14ac:dyDescent="0.3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49"/>
      <c r="M133" s="49"/>
      <c r="N133" s="49"/>
      <c r="O133" s="53"/>
      <c r="P133" s="53"/>
      <c r="Q133" s="53"/>
      <c r="R133" s="53"/>
      <c r="S133" s="53"/>
      <c r="T133" s="53"/>
      <c r="U133" s="49"/>
      <c r="V133" s="53"/>
      <c r="W133" s="53"/>
      <c r="X133" s="53"/>
    </row>
    <row r="134" spans="1:24" x14ac:dyDescent="0.3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49"/>
      <c r="M134" s="49"/>
      <c r="N134" s="49"/>
      <c r="O134" s="53"/>
      <c r="P134" s="53"/>
      <c r="Q134" s="53"/>
      <c r="R134" s="53"/>
      <c r="S134" s="53"/>
      <c r="T134" s="53"/>
      <c r="U134" s="49"/>
      <c r="V134" s="53"/>
      <c r="W134" s="53"/>
      <c r="X134" s="53"/>
    </row>
    <row r="135" spans="1:24" x14ac:dyDescent="0.3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49"/>
      <c r="M135" s="49"/>
      <c r="N135" s="49"/>
      <c r="O135" s="53"/>
      <c r="P135" s="53"/>
      <c r="Q135" s="53"/>
      <c r="R135" s="53"/>
      <c r="S135" s="53"/>
      <c r="T135" s="53"/>
      <c r="U135" s="49"/>
      <c r="V135" s="53"/>
      <c r="W135" s="53"/>
      <c r="X135" s="53"/>
    </row>
    <row r="136" spans="1:24" x14ac:dyDescent="0.3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49"/>
      <c r="M136" s="49"/>
      <c r="N136" s="49"/>
      <c r="O136" s="53"/>
      <c r="P136" s="53"/>
      <c r="Q136" s="53"/>
      <c r="R136" s="53"/>
      <c r="S136" s="53"/>
      <c r="T136" s="53"/>
      <c r="U136" s="49"/>
      <c r="V136" s="53"/>
      <c r="W136" s="53"/>
      <c r="X136" s="53"/>
    </row>
    <row r="137" spans="1:24" x14ac:dyDescent="0.3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49"/>
      <c r="M137" s="49"/>
      <c r="N137" s="49"/>
      <c r="O137" s="53"/>
      <c r="P137" s="53"/>
      <c r="Q137" s="53"/>
      <c r="R137" s="53"/>
      <c r="S137" s="53"/>
      <c r="T137" s="53"/>
      <c r="U137" s="49"/>
      <c r="V137" s="53"/>
      <c r="W137" s="53"/>
      <c r="X137" s="53"/>
    </row>
    <row r="138" spans="1:24" x14ac:dyDescent="0.3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49"/>
      <c r="M138" s="49"/>
      <c r="N138" s="49"/>
      <c r="O138" s="53"/>
      <c r="P138" s="53"/>
      <c r="Q138" s="53"/>
      <c r="R138" s="53"/>
      <c r="S138" s="53"/>
      <c r="T138" s="53"/>
      <c r="U138" s="49"/>
      <c r="V138" s="53"/>
      <c r="W138" s="53"/>
      <c r="X138" s="53"/>
    </row>
    <row r="139" spans="1:24" x14ac:dyDescent="0.3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49"/>
      <c r="M139" s="49"/>
      <c r="N139" s="49"/>
      <c r="O139" s="53"/>
      <c r="P139" s="53"/>
      <c r="Q139" s="53"/>
      <c r="R139" s="53"/>
      <c r="S139" s="53"/>
      <c r="T139" s="53"/>
      <c r="U139" s="49"/>
      <c r="V139" s="53"/>
      <c r="W139" s="53"/>
      <c r="X139" s="53"/>
    </row>
    <row r="140" spans="1:24" x14ac:dyDescent="0.3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49"/>
      <c r="M140" s="49"/>
      <c r="N140" s="49"/>
      <c r="O140" s="53"/>
      <c r="P140" s="53"/>
      <c r="Q140" s="53"/>
      <c r="R140" s="53"/>
      <c r="S140" s="53"/>
      <c r="T140" s="53"/>
      <c r="U140" s="49"/>
      <c r="V140" s="53"/>
      <c r="W140" s="53"/>
      <c r="X140" s="53"/>
    </row>
    <row r="141" spans="1:24" x14ac:dyDescent="0.3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49"/>
      <c r="M141" s="49"/>
      <c r="N141" s="49"/>
      <c r="O141" s="53"/>
      <c r="P141" s="53"/>
      <c r="Q141" s="53"/>
      <c r="R141" s="53"/>
      <c r="S141" s="53"/>
      <c r="T141" s="53"/>
      <c r="U141" s="49"/>
      <c r="V141" s="53"/>
      <c r="W141" s="53"/>
      <c r="X141" s="53"/>
    </row>
    <row r="142" spans="1:24" x14ac:dyDescent="0.3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49"/>
      <c r="M142" s="49"/>
      <c r="N142" s="49"/>
      <c r="O142" s="53"/>
      <c r="P142" s="53"/>
      <c r="Q142" s="53"/>
      <c r="R142" s="53"/>
      <c r="S142" s="53"/>
      <c r="T142" s="53"/>
      <c r="U142" s="49"/>
      <c r="V142" s="53"/>
      <c r="W142" s="53"/>
      <c r="X142" s="53"/>
    </row>
    <row r="143" spans="1:24" x14ac:dyDescent="0.3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49"/>
      <c r="M143" s="49"/>
      <c r="N143" s="49"/>
      <c r="O143" s="53"/>
      <c r="P143" s="53"/>
      <c r="Q143" s="53"/>
      <c r="R143" s="53"/>
      <c r="S143" s="53"/>
      <c r="T143" s="53"/>
      <c r="U143" s="49"/>
      <c r="V143" s="53"/>
      <c r="W143" s="53"/>
      <c r="X143" s="53"/>
    </row>
    <row r="144" spans="1:24" x14ac:dyDescent="0.3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49"/>
      <c r="M144" s="49"/>
      <c r="N144" s="49"/>
      <c r="O144" s="53"/>
      <c r="P144" s="53"/>
      <c r="Q144" s="53"/>
      <c r="R144" s="53"/>
      <c r="S144" s="53"/>
      <c r="T144" s="53"/>
      <c r="U144" s="49"/>
      <c r="V144" s="53"/>
      <c r="W144" s="53"/>
      <c r="X144" s="53"/>
    </row>
    <row r="145" spans="1:24" x14ac:dyDescent="0.3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49"/>
      <c r="M145" s="49"/>
      <c r="N145" s="49"/>
      <c r="O145" s="53"/>
      <c r="P145" s="53"/>
      <c r="Q145" s="53"/>
      <c r="R145" s="53"/>
      <c r="S145" s="53"/>
      <c r="T145" s="53"/>
      <c r="U145" s="49"/>
      <c r="V145" s="53"/>
      <c r="W145" s="53"/>
      <c r="X145" s="53"/>
    </row>
    <row r="146" spans="1:24" x14ac:dyDescent="0.3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49"/>
      <c r="M146" s="49"/>
      <c r="N146" s="49"/>
      <c r="O146" s="53"/>
      <c r="P146" s="53"/>
      <c r="Q146" s="53"/>
      <c r="R146" s="53"/>
      <c r="S146" s="53"/>
      <c r="T146" s="53"/>
      <c r="U146" s="49"/>
      <c r="V146" s="53"/>
      <c r="W146" s="53"/>
      <c r="X146" s="53"/>
    </row>
    <row r="147" spans="1:24" x14ac:dyDescent="0.3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49"/>
      <c r="M147" s="49"/>
      <c r="N147" s="49"/>
      <c r="O147" s="53"/>
      <c r="P147" s="53"/>
      <c r="Q147" s="53"/>
      <c r="R147" s="53"/>
      <c r="S147" s="53"/>
      <c r="T147" s="53"/>
      <c r="U147" s="49"/>
      <c r="V147" s="53"/>
      <c r="W147" s="53"/>
      <c r="X147" s="53"/>
    </row>
    <row r="148" spans="1:24" x14ac:dyDescent="0.3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49"/>
      <c r="M148" s="49"/>
      <c r="N148" s="49"/>
      <c r="O148" s="53"/>
      <c r="P148" s="53"/>
      <c r="Q148" s="53"/>
      <c r="R148" s="53"/>
      <c r="S148" s="53"/>
      <c r="T148" s="53"/>
      <c r="U148" s="49"/>
      <c r="V148" s="53"/>
      <c r="W148" s="53"/>
      <c r="X148" s="53"/>
    </row>
    <row r="149" spans="1:24" x14ac:dyDescent="0.3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49"/>
      <c r="M149" s="49"/>
      <c r="N149" s="49"/>
      <c r="O149" s="53"/>
      <c r="P149" s="53"/>
      <c r="Q149" s="53"/>
      <c r="R149" s="53"/>
      <c r="S149" s="53"/>
      <c r="T149" s="53"/>
      <c r="U149" s="49"/>
      <c r="V149" s="53"/>
      <c r="W149" s="53"/>
      <c r="X149" s="53"/>
    </row>
    <row r="150" spans="1:24" x14ac:dyDescent="0.3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49"/>
      <c r="M150" s="49"/>
      <c r="N150" s="49"/>
      <c r="O150" s="53"/>
      <c r="P150" s="53"/>
      <c r="Q150" s="53"/>
      <c r="R150" s="53"/>
      <c r="S150" s="53"/>
      <c r="T150" s="53"/>
      <c r="U150" s="49"/>
      <c r="V150" s="53"/>
      <c r="W150" s="53"/>
      <c r="X150" s="53"/>
    </row>
    <row r="151" spans="1:24" x14ac:dyDescent="0.3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49"/>
      <c r="M151" s="49"/>
      <c r="N151" s="49"/>
      <c r="O151" s="53"/>
      <c r="P151" s="53"/>
      <c r="Q151" s="53"/>
      <c r="R151" s="53"/>
      <c r="S151" s="53"/>
      <c r="T151" s="53"/>
      <c r="U151" s="49"/>
      <c r="V151" s="53"/>
      <c r="W151" s="53"/>
      <c r="X151" s="53"/>
    </row>
    <row r="152" spans="1:24" x14ac:dyDescent="0.3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49"/>
      <c r="M152" s="49"/>
      <c r="N152" s="49"/>
      <c r="O152" s="53"/>
      <c r="P152" s="53"/>
      <c r="Q152" s="53"/>
      <c r="R152" s="53"/>
      <c r="S152" s="53"/>
      <c r="T152" s="53"/>
      <c r="U152" s="49"/>
      <c r="V152" s="53"/>
      <c r="W152" s="53"/>
      <c r="X152" s="53"/>
    </row>
    <row r="153" spans="1:24" x14ac:dyDescent="0.3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49"/>
      <c r="M153" s="49"/>
      <c r="N153" s="49"/>
      <c r="O153" s="53"/>
      <c r="P153" s="53"/>
      <c r="Q153" s="53"/>
      <c r="R153" s="53"/>
      <c r="S153" s="53"/>
      <c r="T153" s="53"/>
      <c r="U153" s="49"/>
      <c r="V153" s="53"/>
      <c r="W153" s="53"/>
      <c r="X153" s="53"/>
    </row>
    <row r="154" spans="1:24" x14ac:dyDescent="0.3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49"/>
      <c r="M154" s="49"/>
      <c r="N154" s="49"/>
      <c r="O154" s="53"/>
      <c r="P154" s="53"/>
      <c r="Q154" s="53"/>
      <c r="R154" s="53"/>
      <c r="S154" s="53"/>
      <c r="T154" s="53"/>
      <c r="U154" s="49"/>
      <c r="V154" s="53"/>
      <c r="W154" s="53"/>
      <c r="X154" s="53"/>
    </row>
    <row r="155" spans="1:24" x14ac:dyDescent="0.3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49"/>
      <c r="M155" s="49"/>
      <c r="N155" s="49"/>
      <c r="O155" s="53"/>
      <c r="P155" s="53"/>
      <c r="Q155" s="53"/>
      <c r="R155" s="53"/>
      <c r="S155" s="53"/>
      <c r="T155" s="53"/>
      <c r="U155" s="49"/>
      <c r="V155" s="53"/>
      <c r="W155" s="53"/>
      <c r="X155" s="53"/>
    </row>
    <row r="156" spans="1:24" x14ac:dyDescent="0.3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49"/>
      <c r="M156" s="49"/>
      <c r="N156" s="49"/>
      <c r="O156" s="53"/>
      <c r="P156" s="53"/>
      <c r="Q156" s="53"/>
      <c r="R156" s="53"/>
      <c r="S156" s="53"/>
      <c r="T156" s="53"/>
      <c r="U156" s="49"/>
      <c r="V156" s="53"/>
      <c r="W156" s="53"/>
      <c r="X156" s="53"/>
    </row>
    <row r="157" spans="1:24" x14ac:dyDescent="0.3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49"/>
      <c r="M157" s="49"/>
      <c r="N157" s="49"/>
      <c r="O157" s="53"/>
      <c r="P157" s="53"/>
      <c r="Q157" s="53"/>
      <c r="R157" s="53"/>
      <c r="S157" s="53"/>
      <c r="T157" s="53"/>
      <c r="U157" s="49"/>
      <c r="V157" s="53"/>
      <c r="W157" s="53"/>
      <c r="X157" s="53"/>
    </row>
    <row r="158" spans="1:24" x14ac:dyDescent="0.3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49"/>
      <c r="M158" s="49"/>
      <c r="N158" s="49"/>
      <c r="O158" s="53"/>
      <c r="P158" s="53"/>
      <c r="Q158" s="53"/>
      <c r="R158" s="53"/>
      <c r="S158" s="53"/>
      <c r="T158" s="53"/>
      <c r="U158" s="49"/>
      <c r="V158" s="53"/>
      <c r="W158" s="53"/>
      <c r="X158" s="53"/>
    </row>
    <row r="159" spans="1:24" x14ac:dyDescent="0.3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49"/>
      <c r="M159" s="49"/>
      <c r="N159" s="49"/>
      <c r="O159" s="53"/>
      <c r="P159" s="53"/>
      <c r="Q159" s="53"/>
      <c r="R159" s="53"/>
      <c r="S159" s="53"/>
      <c r="T159" s="53"/>
      <c r="U159" s="49"/>
      <c r="V159" s="53"/>
      <c r="W159" s="53"/>
      <c r="X159" s="53"/>
    </row>
    <row r="160" spans="1:24" x14ac:dyDescent="0.3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49"/>
      <c r="M160" s="49"/>
      <c r="N160" s="49"/>
      <c r="O160" s="53"/>
      <c r="P160" s="53"/>
      <c r="Q160" s="53"/>
      <c r="R160" s="53"/>
      <c r="S160" s="53"/>
      <c r="T160" s="53"/>
      <c r="U160" s="49"/>
      <c r="V160" s="53"/>
      <c r="W160" s="53"/>
      <c r="X160" s="53"/>
    </row>
    <row r="161" spans="1:24" x14ac:dyDescent="0.3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49"/>
      <c r="M161" s="49"/>
      <c r="N161" s="49"/>
      <c r="O161" s="53"/>
      <c r="P161" s="53"/>
      <c r="Q161" s="53"/>
      <c r="R161" s="53"/>
      <c r="S161" s="53"/>
      <c r="T161" s="53"/>
      <c r="U161" s="49"/>
      <c r="V161" s="53"/>
      <c r="W161" s="53"/>
      <c r="X161" s="53"/>
    </row>
    <row r="162" spans="1:24" x14ac:dyDescent="0.3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49"/>
      <c r="M162" s="49"/>
      <c r="N162" s="49"/>
      <c r="O162" s="53"/>
      <c r="P162" s="53"/>
      <c r="Q162" s="53"/>
      <c r="R162" s="53"/>
      <c r="S162" s="53"/>
      <c r="T162" s="53"/>
      <c r="U162" s="49"/>
      <c r="V162" s="53"/>
      <c r="W162" s="53"/>
      <c r="X162" s="53"/>
    </row>
    <row r="163" spans="1:24" x14ac:dyDescent="0.3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49"/>
      <c r="M163" s="49"/>
      <c r="N163" s="49"/>
      <c r="O163" s="53"/>
      <c r="P163" s="53"/>
      <c r="Q163" s="53"/>
      <c r="R163" s="53"/>
      <c r="S163" s="53"/>
      <c r="T163" s="53"/>
      <c r="U163" s="49"/>
      <c r="V163" s="53"/>
      <c r="W163" s="53"/>
      <c r="X163" s="53"/>
    </row>
    <row r="164" spans="1:24" x14ac:dyDescent="0.3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49"/>
      <c r="M164" s="49"/>
      <c r="N164" s="49"/>
      <c r="O164" s="53"/>
      <c r="P164" s="53"/>
      <c r="Q164" s="53"/>
      <c r="R164" s="53"/>
      <c r="S164" s="53"/>
      <c r="T164" s="53"/>
      <c r="U164" s="49"/>
      <c r="V164" s="53"/>
      <c r="W164" s="53"/>
      <c r="X164" s="53"/>
    </row>
    <row r="165" spans="1:24" x14ac:dyDescent="0.3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49"/>
      <c r="M165" s="49"/>
      <c r="N165" s="49"/>
      <c r="O165" s="53"/>
      <c r="P165" s="53"/>
      <c r="Q165" s="53"/>
      <c r="R165" s="53"/>
      <c r="S165" s="53"/>
      <c r="T165" s="53"/>
      <c r="U165" s="49"/>
      <c r="V165" s="53"/>
      <c r="W165" s="53"/>
      <c r="X165" s="53"/>
    </row>
    <row r="166" spans="1:24" x14ac:dyDescent="0.3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49"/>
      <c r="M166" s="49"/>
      <c r="N166" s="49"/>
      <c r="O166" s="53"/>
      <c r="P166" s="53"/>
      <c r="Q166" s="53"/>
      <c r="R166" s="53"/>
      <c r="S166" s="53"/>
      <c r="T166" s="53"/>
      <c r="U166" s="49"/>
      <c r="V166" s="53"/>
      <c r="W166" s="53"/>
      <c r="X166" s="53"/>
    </row>
    <row r="167" spans="1:24" x14ac:dyDescent="0.3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49"/>
      <c r="M167" s="49"/>
      <c r="N167" s="49"/>
      <c r="O167" s="53"/>
      <c r="P167" s="53"/>
      <c r="Q167" s="53"/>
      <c r="R167" s="53"/>
      <c r="S167" s="53"/>
      <c r="T167" s="53"/>
      <c r="U167" s="49"/>
      <c r="V167" s="53"/>
      <c r="W167" s="53"/>
      <c r="X167" s="53"/>
    </row>
    <row r="168" spans="1:24" x14ac:dyDescent="0.3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49"/>
      <c r="M168" s="49"/>
      <c r="N168" s="49"/>
      <c r="O168" s="53"/>
      <c r="P168" s="53"/>
      <c r="Q168" s="53"/>
      <c r="R168" s="53"/>
      <c r="S168" s="53"/>
      <c r="T168" s="53"/>
      <c r="U168" s="49"/>
      <c r="V168" s="53"/>
      <c r="W168" s="53"/>
      <c r="X168" s="53"/>
    </row>
    <row r="169" spans="1:24" x14ac:dyDescent="0.3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49"/>
      <c r="M169" s="49"/>
      <c r="N169" s="49"/>
      <c r="O169" s="53"/>
      <c r="P169" s="53"/>
      <c r="Q169" s="53"/>
      <c r="R169" s="53"/>
      <c r="S169" s="53"/>
      <c r="T169" s="53"/>
      <c r="U169" s="49"/>
      <c r="V169" s="53"/>
      <c r="W169" s="53"/>
      <c r="X169" s="53"/>
    </row>
    <row r="170" spans="1:24" x14ac:dyDescent="0.3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49"/>
      <c r="M170" s="49"/>
      <c r="N170" s="49"/>
      <c r="O170" s="53"/>
      <c r="P170" s="53"/>
      <c r="Q170" s="53"/>
      <c r="R170" s="53"/>
      <c r="S170" s="53"/>
      <c r="T170" s="53"/>
      <c r="U170" s="49"/>
      <c r="V170" s="53"/>
      <c r="W170" s="53"/>
      <c r="X170" s="53"/>
    </row>
    <row r="171" spans="1:24" x14ac:dyDescent="0.3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49"/>
      <c r="M171" s="49"/>
      <c r="N171" s="49"/>
      <c r="O171" s="53"/>
      <c r="P171" s="53"/>
      <c r="Q171" s="53"/>
      <c r="R171" s="53"/>
      <c r="S171" s="53"/>
      <c r="T171" s="53"/>
      <c r="U171" s="49"/>
      <c r="V171" s="53"/>
      <c r="W171" s="53"/>
      <c r="X171" s="53"/>
    </row>
    <row r="172" spans="1:24" x14ac:dyDescent="0.3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49"/>
      <c r="M172" s="49"/>
      <c r="N172" s="49"/>
      <c r="O172" s="53"/>
      <c r="P172" s="53"/>
      <c r="Q172" s="53"/>
      <c r="R172" s="53"/>
      <c r="S172" s="53"/>
      <c r="T172" s="53"/>
      <c r="U172" s="49"/>
      <c r="V172" s="53"/>
      <c r="W172" s="53"/>
      <c r="X172" s="53"/>
    </row>
    <row r="173" spans="1:24" x14ac:dyDescent="0.3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49"/>
      <c r="M173" s="49"/>
      <c r="N173" s="49"/>
      <c r="O173" s="53"/>
      <c r="P173" s="53"/>
      <c r="Q173" s="53"/>
      <c r="R173" s="53"/>
      <c r="S173" s="53"/>
      <c r="T173" s="53"/>
      <c r="U173" s="49"/>
      <c r="V173" s="53"/>
      <c r="W173" s="53"/>
      <c r="X173" s="53"/>
    </row>
    <row r="174" spans="1:24" x14ac:dyDescent="0.3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49"/>
      <c r="M174" s="49"/>
      <c r="N174" s="49"/>
      <c r="O174" s="53"/>
      <c r="P174" s="53"/>
      <c r="Q174" s="53"/>
      <c r="R174" s="53"/>
      <c r="S174" s="53"/>
      <c r="T174" s="53"/>
      <c r="U174" s="49"/>
      <c r="V174" s="53"/>
      <c r="W174" s="53"/>
      <c r="X174" s="53"/>
    </row>
    <row r="175" spans="1:24" x14ac:dyDescent="0.3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49"/>
      <c r="M175" s="49"/>
      <c r="N175" s="49"/>
      <c r="O175" s="53"/>
      <c r="P175" s="53"/>
      <c r="Q175" s="53"/>
      <c r="R175" s="53"/>
      <c r="S175" s="53"/>
      <c r="T175" s="53"/>
      <c r="U175" s="49"/>
      <c r="V175" s="53"/>
      <c r="W175" s="53"/>
      <c r="X175" s="53"/>
    </row>
    <row r="176" spans="1:24" x14ac:dyDescent="0.3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49"/>
      <c r="M176" s="49"/>
      <c r="N176" s="49"/>
      <c r="O176" s="53"/>
      <c r="P176" s="53"/>
      <c r="Q176" s="53"/>
      <c r="R176" s="53"/>
      <c r="S176" s="53"/>
      <c r="T176" s="53"/>
      <c r="U176" s="49"/>
      <c r="V176" s="53"/>
      <c r="W176" s="53"/>
      <c r="X176" s="53"/>
    </row>
    <row r="177" spans="1:24" x14ac:dyDescent="0.3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49"/>
      <c r="M177" s="49"/>
      <c r="N177" s="49"/>
      <c r="O177" s="53"/>
      <c r="P177" s="53"/>
      <c r="Q177" s="53"/>
      <c r="R177" s="53"/>
      <c r="S177" s="53"/>
      <c r="T177" s="53"/>
      <c r="U177" s="49"/>
      <c r="V177" s="53"/>
      <c r="W177" s="53"/>
      <c r="X177" s="53"/>
    </row>
    <row r="178" spans="1:24" x14ac:dyDescent="0.3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49"/>
      <c r="M178" s="49"/>
      <c r="N178" s="49"/>
      <c r="O178" s="53"/>
      <c r="P178" s="53"/>
      <c r="Q178" s="53"/>
      <c r="R178" s="53"/>
      <c r="S178" s="53"/>
      <c r="T178" s="53"/>
      <c r="U178" s="49"/>
      <c r="V178" s="53"/>
      <c r="W178" s="53"/>
      <c r="X178" s="53"/>
    </row>
    <row r="179" spans="1:24" x14ac:dyDescent="0.3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49"/>
      <c r="M179" s="49"/>
      <c r="N179" s="49"/>
      <c r="O179" s="53"/>
      <c r="P179" s="53"/>
      <c r="Q179" s="53"/>
      <c r="R179" s="53"/>
      <c r="S179" s="53"/>
      <c r="T179" s="53"/>
      <c r="U179" s="49"/>
      <c r="V179" s="53"/>
      <c r="W179" s="53"/>
      <c r="X179" s="53"/>
    </row>
    <row r="180" spans="1:24" x14ac:dyDescent="0.3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49"/>
      <c r="M180" s="49"/>
      <c r="N180" s="49"/>
      <c r="O180" s="53"/>
      <c r="P180" s="53"/>
      <c r="Q180" s="53"/>
      <c r="R180" s="53"/>
      <c r="S180" s="53"/>
      <c r="T180" s="53"/>
      <c r="U180" s="49"/>
      <c r="V180" s="53"/>
      <c r="W180" s="53"/>
      <c r="X180" s="53"/>
    </row>
    <row r="181" spans="1:24" x14ac:dyDescent="0.3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49"/>
      <c r="M181" s="49"/>
      <c r="N181" s="49"/>
      <c r="O181" s="53"/>
      <c r="P181" s="53"/>
      <c r="Q181" s="53"/>
      <c r="R181" s="53"/>
      <c r="S181" s="53"/>
      <c r="T181" s="53"/>
      <c r="U181" s="49"/>
      <c r="V181" s="53"/>
      <c r="W181" s="53"/>
      <c r="X181" s="53"/>
    </row>
    <row r="182" spans="1:24" x14ac:dyDescent="0.3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49"/>
      <c r="M182" s="49"/>
      <c r="N182" s="49"/>
      <c r="O182" s="53"/>
      <c r="P182" s="53"/>
      <c r="Q182" s="53"/>
      <c r="R182" s="53"/>
      <c r="S182" s="53"/>
      <c r="T182" s="53"/>
      <c r="U182" s="49"/>
      <c r="V182" s="53"/>
      <c r="W182" s="53"/>
      <c r="X182" s="53"/>
    </row>
    <row r="183" spans="1:24" x14ac:dyDescent="0.3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49"/>
      <c r="M183" s="49"/>
      <c r="N183" s="49"/>
      <c r="O183" s="53"/>
      <c r="P183" s="53"/>
      <c r="Q183" s="53"/>
      <c r="R183" s="53"/>
      <c r="S183" s="53"/>
      <c r="T183" s="53"/>
      <c r="U183" s="49"/>
      <c r="V183" s="53"/>
      <c r="W183" s="53"/>
      <c r="X183" s="53"/>
    </row>
    <row r="184" spans="1:24" x14ac:dyDescent="0.3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49"/>
      <c r="M184" s="49"/>
      <c r="N184" s="49"/>
      <c r="O184" s="53"/>
      <c r="P184" s="53"/>
      <c r="Q184" s="53"/>
      <c r="R184" s="53"/>
      <c r="S184" s="53"/>
      <c r="T184" s="53"/>
      <c r="U184" s="49"/>
      <c r="V184" s="53"/>
      <c r="W184" s="53"/>
      <c r="X184" s="53"/>
    </row>
    <row r="185" spans="1:24" x14ac:dyDescent="0.3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49"/>
      <c r="M185" s="49"/>
      <c r="N185" s="49"/>
      <c r="O185" s="53"/>
      <c r="P185" s="53"/>
      <c r="Q185" s="53"/>
      <c r="R185" s="53"/>
      <c r="S185" s="53"/>
      <c r="T185" s="53"/>
      <c r="U185" s="49"/>
      <c r="V185" s="53"/>
      <c r="W185" s="53"/>
      <c r="X185" s="53"/>
    </row>
    <row r="186" spans="1:24" x14ac:dyDescent="0.3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49"/>
      <c r="M186" s="49"/>
      <c r="N186" s="49"/>
      <c r="O186" s="53"/>
      <c r="P186" s="53"/>
      <c r="Q186" s="53"/>
      <c r="R186" s="53"/>
      <c r="S186" s="53"/>
      <c r="T186" s="53"/>
      <c r="U186" s="49"/>
      <c r="V186" s="53"/>
      <c r="W186" s="53"/>
      <c r="X186" s="53"/>
    </row>
    <row r="187" spans="1:24" x14ac:dyDescent="0.3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49"/>
      <c r="M187" s="49"/>
      <c r="N187" s="49"/>
      <c r="O187" s="53"/>
      <c r="P187" s="53"/>
      <c r="Q187" s="53"/>
      <c r="R187" s="53"/>
      <c r="S187" s="53"/>
      <c r="T187" s="53"/>
      <c r="U187" s="49"/>
      <c r="V187" s="53"/>
      <c r="W187" s="53"/>
      <c r="X187" s="53"/>
    </row>
    <row r="188" spans="1:24" x14ac:dyDescent="0.3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49"/>
      <c r="M188" s="49"/>
      <c r="N188" s="49"/>
      <c r="O188" s="53"/>
      <c r="P188" s="53"/>
      <c r="Q188" s="53"/>
      <c r="R188" s="53"/>
      <c r="S188" s="53"/>
      <c r="T188" s="53"/>
      <c r="U188" s="49"/>
      <c r="V188" s="53"/>
      <c r="W188" s="53"/>
      <c r="X188" s="53"/>
    </row>
    <row r="189" spans="1:24" x14ac:dyDescent="0.3">
      <c r="A189" s="53"/>
      <c r="B189" s="53"/>
      <c r="C189" s="53"/>
      <c r="D189" s="53"/>
      <c r="E189" s="53"/>
      <c r="F189" s="53"/>
      <c r="G189" s="53"/>
      <c r="H189" s="53"/>
      <c r="I189" s="53"/>
      <c r="J189" s="53"/>
      <c r="K189" s="53"/>
      <c r="L189" s="49"/>
      <c r="M189" s="49"/>
      <c r="N189" s="49"/>
      <c r="O189" s="53"/>
      <c r="P189" s="53"/>
      <c r="Q189" s="53"/>
      <c r="R189" s="53"/>
      <c r="S189" s="53"/>
      <c r="T189" s="53"/>
      <c r="U189" s="49"/>
      <c r="V189" s="53"/>
      <c r="W189" s="53"/>
      <c r="X189" s="53"/>
    </row>
    <row r="190" spans="1:24" x14ac:dyDescent="0.3">
      <c r="A190" s="53"/>
      <c r="B190" s="53"/>
      <c r="C190" s="53"/>
      <c r="D190" s="53"/>
      <c r="E190" s="53"/>
      <c r="F190" s="53"/>
      <c r="G190" s="53"/>
      <c r="H190" s="53"/>
      <c r="I190" s="53"/>
      <c r="J190" s="53"/>
      <c r="K190" s="53"/>
      <c r="L190" s="49"/>
      <c r="M190" s="49"/>
      <c r="N190" s="49"/>
      <c r="O190" s="53"/>
      <c r="P190" s="53"/>
      <c r="Q190" s="53"/>
      <c r="R190" s="53"/>
      <c r="S190" s="53"/>
      <c r="T190" s="53"/>
      <c r="U190" s="49"/>
      <c r="V190" s="53"/>
      <c r="W190" s="53"/>
      <c r="X190" s="53"/>
    </row>
    <row r="191" spans="1:24" x14ac:dyDescent="0.3">
      <c r="A191" s="53"/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49"/>
      <c r="M191" s="49"/>
      <c r="N191" s="49"/>
      <c r="O191" s="53"/>
      <c r="P191" s="53"/>
      <c r="Q191" s="53"/>
      <c r="R191" s="53"/>
      <c r="S191" s="53"/>
      <c r="T191" s="53"/>
      <c r="U191" s="49"/>
      <c r="V191" s="53"/>
      <c r="W191" s="53"/>
      <c r="X191" s="53"/>
    </row>
    <row r="192" spans="1:24" x14ac:dyDescent="0.3">
      <c r="A192" s="53"/>
      <c r="B192" s="53"/>
      <c r="C192" s="53"/>
      <c r="D192" s="53"/>
      <c r="E192" s="53"/>
      <c r="F192" s="53"/>
      <c r="G192" s="53"/>
      <c r="H192" s="53"/>
      <c r="I192" s="53"/>
      <c r="J192" s="53"/>
      <c r="K192" s="53"/>
      <c r="L192" s="49"/>
      <c r="M192" s="49"/>
      <c r="N192" s="49"/>
      <c r="O192" s="53"/>
      <c r="P192" s="53"/>
      <c r="Q192" s="53"/>
      <c r="R192" s="53"/>
      <c r="S192" s="53"/>
      <c r="T192" s="53"/>
      <c r="U192" s="49"/>
      <c r="V192" s="53"/>
      <c r="W192" s="53"/>
      <c r="X192" s="53"/>
    </row>
    <row r="193" spans="1:24" x14ac:dyDescent="0.3">
      <c r="A193" s="53"/>
      <c r="B193" s="53"/>
      <c r="C193" s="53"/>
      <c r="D193" s="53"/>
      <c r="E193" s="53"/>
      <c r="F193" s="53"/>
      <c r="G193" s="53"/>
      <c r="H193" s="53"/>
      <c r="I193" s="53"/>
      <c r="J193" s="53"/>
      <c r="K193" s="53"/>
      <c r="L193" s="49"/>
      <c r="M193" s="49"/>
      <c r="N193" s="49"/>
      <c r="O193" s="53"/>
      <c r="P193" s="53"/>
      <c r="Q193" s="53"/>
      <c r="R193" s="53"/>
      <c r="S193" s="53"/>
      <c r="T193" s="53"/>
      <c r="U193" s="49"/>
      <c r="V193" s="53"/>
      <c r="W193" s="53"/>
      <c r="X193" s="53"/>
    </row>
    <row r="194" spans="1:24" x14ac:dyDescent="0.3">
      <c r="A194" s="53"/>
      <c r="B194" s="53"/>
      <c r="C194" s="53"/>
      <c r="D194" s="53"/>
      <c r="E194" s="53"/>
      <c r="F194" s="53"/>
      <c r="G194" s="53"/>
      <c r="H194" s="53"/>
      <c r="I194" s="53"/>
      <c r="J194" s="53"/>
      <c r="K194" s="53"/>
      <c r="L194" s="49"/>
      <c r="M194" s="49"/>
      <c r="N194" s="49"/>
      <c r="O194" s="53"/>
      <c r="P194" s="53"/>
      <c r="Q194" s="53"/>
      <c r="R194" s="53"/>
      <c r="S194" s="53"/>
      <c r="T194" s="53"/>
      <c r="U194" s="49"/>
      <c r="V194" s="53"/>
      <c r="W194" s="53"/>
      <c r="X194" s="53"/>
    </row>
    <row r="195" spans="1:24" x14ac:dyDescent="0.3">
      <c r="A195" s="53"/>
      <c r="B195" s="53"/>
      <c r="C195" s="53"/>
      <c r="D195" s="53"/>
      <c r="E195" s="53"/>
      <c r="F195" s="53"/>
      <c r="G195" s="53"/>
      <c r="H195" s="53"/>
      <c r="I195" s="53"/>
      <c r="J195" s="53"/>
      <c r="K195" s="53"/>
      <c r="L195" s="49"/>
      <c r="M195" s="49"/>
      <c r="N195" s="49"/>
      <c r="O195" s="53"/>
      <c r="P195" s="53"/>
      <c r="Q195" s="53"/>
      <c r="R195" s="53"/>
      <c r="S195" s="53"/>
      <c r="T195" s="53"/>
      <c r="U195" s="49"/>
      <c r="V195" s="53"/>
      <c r="W195" s="53"/>
      <c r="X195" s="53"/>
    </row>
    <row r="196" spans="1:24" x14ac:dyDescent="0.3">
      <c r="A196" s="53"/>
      <c r="B196" s="53"/>
      <c r="C196" s="53"/>
      <c r="D196" s="53"/>
      <c r="E196" s="53"/>
      <c r="F196" s="53"/>
      <c r="G196" s="53"/>
      <c r="H196" s="53"/>
      <c r="I196" s="53"/>
      <c r="J196" s="53"/>
      <c r="K196" s="53"/>
      <c r="L196" s="49"/>
      <c r="M196" s="49"/>
      <c r="N196" s="49"/>
      <c r="O196" s="53"/>
      <c r="P196" s="53"/>
      <c r="Q196" s="53"/>
      <c r="R196" s="53"/>
      <c r="S196" s="53"/>
      <c r="T196" s="53"/>
      <c r="U196" s="49"/>
      <c r="V196" s="53"/>
      <c r="W196" s="53"/>
      <c r="X196" s="53"/>
    </row>
    <row r="197" spans="1:24" x14ac:dyDescent="0.3">
      <c r="A197" s="53"/>
      <c r="B197" s="53"/>
      <c r="C197" s="53"/>
      <c r="D197" s="53"/>
      <c r="E197" s="53"/>
      <c r="F197" s="53"/>
      <c r="G197" s="53"/>
      <c r="H197" s="53"/>
      <c r="I197" s="53"/>
      <c r="J197" s="53"/>
      <c r="K197" s="53"/>
      <c r="L197" s="49"/>
      <c r="M197" s="49"/>
      <c r="N197" s="49"/>
      <c r="O197" s="53"/>
      <c r="P197" s="53"/>
      <c r="Q197" s="53"/>
      <c r="R197" s="53"/>
      <c r="S197" s="53"/>
      <c r="T197" s="53"/>
      <c r="U197" s="49"/>
      <c r="V197" s="53"/>
      <c r="W197" s="53"/>
      <c r="X197" s="53"/>
    </row>
    <row r="198" spans="1:24" x14ac:dyDescent="0.3">
      <c r="A198" s="53"/>
      <c r="B198" s="53"/>
      <c r="C198" s="53"/>
      <c r="D198" s="53"/>
      <c r="E198" s="53"/>
      <c r="F198" s="53"/>
      <c r="G198" s="53"/>
      <c r="H198" s="53"/>
      <c r="I198" s="53"/>
      <c r="J198" s="53"/>
      <c r="K198" s="53"/>
      <c r="L198" s="49"/>
      <c r="M198" s="49"/>
      <c r="N198" s="49"/>
      <c r="O198" s="53"/>
      <c r="P198" s="53"/>
      <c r="Q198" s="53"/>
      <c r="R198" s="53"/>
      <c r="S198" s="53"/>
      <c r="T198" s="53"/>
      <c r="U198" s="49"/>
      <c r="V198" s="53"/>
      <c r="W198" s="53"/>
      <c r="X198" s="53"/>
    </row>
    <row r="199" spans="1:24" x14ac:dyDescent="0.3">
      <c r="A199" s="53"/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49"/>
      <c r="M199" s="49"/>
      <c r="N199" s="49"/>
      <c r="O199" s="53"/>
      <c r="P199" s="53"/>
      <c r="Q199" s="53"/>
      <c r="R199" s="53"/>
      <c r="S199" s="53"/>
      <c r="T199" s="53"/>
      <c r="U199" s="49"/>
      <c r="V199" s="53"/>
      <c r="W199" s="53"/>
      <c r="X199" s="53"/>
    </row>
    <row r="200" spans="1:24" x14ac:dyDescent="0.3">
      <c r="A200" s="53"/>
      <c r="B200" s="53"/>
      <c r="C200" s="53"/>
      <c r="D200" s="53"/>
      <c r="E200" s="53"/>
      <c r="F200" s="53"/>
      <c r="G200" s="53"/>
      <c r="H200" s="53"/>
      <c r="I200" s="53"/>
      <c r="J200" s="53"/>
      <c r="K200" s="53"/>
      <c r="L200" s="49"/>
      <c r="M200" s="49"/>
      <c r="N200" s="49"/>
      <c r="O200" s="53"/>
      <c r="P200" s="53"/>
      <c r="Q200" s="53"/>
      <c r="R200" s="53"/>
      <c r="S200" s="53"/>
      <c r="T200" s="53"/>
      <c r="U200" s="49"/>
      <c r="V200" s="53"/>
      <c r="W200" s="53"/>
      <c r="X200" s="53"/>
    </row>
    <row r="201" spans="1:24" x14ac:dyDescent="0.3">
      <c r="A201" s="53"/>
      <c r="B201" s="53"/>
      <c r="C201" s="53"/>
      <c r="D201" s="53"/>
      <c r="E201" s="53"/>
      <c r="F201" s="53"/>
      <c r="G201" s="53"/>
      <c r="H201" s="53"/>
      <c r="I201" s="53"/>
      <c r="J201" s="53"/>
      <c r="K201" s="53"/>
      <c r="L201" s="49"/>
      <c r="M201" s="49"/>
      <c r="N201" s="49"/>
      <c r="O201" s="53"/>
      <c r="P201" s="53"/>
      <c r="Q201" s="53"/>
      <c r="R201" s="53"/>
      <c r="S201" s="53"/>
      <c r="T201" s="53"/>
      <c r="U201" s="49"/>
      <c r="V201" s="53"/>
      <c r="W201" s="53"/>
      <c r="X201" s="53"/>
    </row>
    <row r="202" spans="1:24" x14ac:dyDescent="0.3">
      <c r="A202" s="53"/>
      <c r="B202" s="53"/>
      <c r="C202" s="53"/>
      <c r="D202" s="53"/>
      <c r="E202" s="53"/>
      <c r="F202" s="53"/>
      <c r="G202" s="53"/>
      <c r="H202" s="53"/>
      <c r="I202" s="53"/>
      <c r="J202" s="53"/>
      <c r="K202" s="53"/>
      <c r="L202" s="49"/>
      <c r="M202" s="49"/>
      <c r="N202" s="49"/>
      <c r="O202" s="53"/>
      <c r="P202" s="53"/>
      <c r="Q202" s="53"/>
      <c r="R202" s="53"/>
      <c r="S202" s="53"/>
      <c r="T202" s="53"/>
      <c r="U202" s="49"/>
      <c r="V202" s="53"/>
      <c r="W202" s="53"/>
      <c r="X202" s="53"/>
    </row>
    <row r="203" spans="1:24" x14ac:dyDescent="0.3">
      <c r="A203" s="53"/>
      <c r="B203" s="53"/>
      <c r="C203" s="53"/>
      <c r="D203" s="53"/>
      <c r="E203" s="53"/>
      <c r="F203" s="53"/>
      <c r="G203" s="53"/>
      <c r="H203" s="53"/>
      <c r="I203" s="53"/>
      <c r="J203" s="53"/>
      <c r="K203" s="53"/>
      <c r="L203" s="49"/>
      <c r="M203" s="49"/>
      <c r="N203" s="49"/>
      <c r="O203" s="53"/>
      <c r="P203" s="53"/>
      <c r="Q203" s="53"/>
      <c r="R203" s="53"/>
      <c r="S203" s="53"/>
      <c r="T203" s="53"/>
      <c r="U203" s="49"/>
      <c r="V203" s="53"/>
      <c r="W203" s="53"/>
      <c r="X203" s="53"/>
    </row>
    <row r="204" spans="1:24" x14ac:dyDescent="0.3">
      <c r="A204" s="53"/>
      <c r="B204" s="53"/>
      <c r="C204" s="53"/>
      <c r="D204" s="53"/>
      <c r="E204" s="53"/>
      <c r="F204" s="53"/>
      <c r="G204" s="53"/>
      <c r="H204" s="53"/>
      <c r="I204" s="53"/>
      <c r="J204" s="53"/>
      <c r="K204" s="53"/>
      <c r="L204" s="49"/>
      <c r="M204" s="49"/>
      <c r="N204" s="49"/>
      <c r="O204" s="53"/>
      <c r="P204" s="53"/>
      <c r="Q204" s="53"/>
      <c r="R204" s="53"/>
      <c r="S204" s="53"/>
      <c r="T204" s="53"/>
      <c r="U204" s="49"/>
      <c r="V204" s="53"/>
      <c r="W204" s="53"/>
      <c r="X204" s="53"/>
    </row>
    <row r="205" spans="1:24" x14ac:dyDescent="0.3">
      <c r="A205" s="53"/>
      <c r="B205" s="53"/>
      <c r="C205" s="53"/>
      <c r="D205" s="53"/>
      <c r="E205" s="53"/>
      <c r="F205" s="53"/>
      <c r="G205" s="53"/>
      <c r="H205" s="53"/>
      <c r="I205" s="53"/>
      <c r="J205" s="53"/>
      <c r="K205" s="53"/>
      <c r="L205" s="49"/>
      <c r="M205" s="49"/>
      <c r="N205" s="49"/>
      <c r="O205" s="53"/>
      <c r="P205" s="53"/>
      <c r="Q205" s="53"/>
      <c r="R205" s="53"/>
      <c r="S205" s="53"/>
      <c r="T205" s="53"/>
      <c r="U205" s="49"/>
      <c r="V205" s="53"/>
      <c r="W205" s="53"/>
      <c r="X205" s="53"/>
    </row>
    <row r="206" spans="1:24" x14ac:dyDescent="0.3">
      <c r="A206" s="53"/>
      <c r="B206" s="53"/>
      <c r="C206" s="53"/>
      <c r="D206" s="53"/>
      <c r="E206" s="53"/>
      <c r="F206" s="53"/>
      <c r="G206" s="53"/>
      <c r="H206" s="53"/>
      <c r="I206" s="53"/>
      <c r="J206" s="53"/>
      <c r="K206" s="53"/>
      <c r="L206" s="49"/>
      <c r="M206" s="49"/>
      <c r="N206" s="49"/>
      <c r="O206" s="53"/>
      <c r="P206" s="53"/>
      <c r="Q206" s="53"/>
      <c r="R206" s="53"/>
      <c r="S206" s="53"/>
      <c r="T206" s="53"/>
      <c r="U206" s="49"/>
      <c r="V206" s="53"/>
      <c r="W206" s="53"/>
      <c r="X206" s="53"/>
    </row>
    <row r="207" spans="1:24" x14ac:dyDescent="0.3">
      <c r="A207" s="53"/>
      <c r="B207" s="53"/>
      <c r="C207" s="53"/>
      <c r="D207" s="53"/>
      <c r="E207" s="53"/>
      <c r="F207" s="53"/>
      <c r="G207" s="53"/>
      <c r="H207" s="53"/>
      <c r="I207" s="53"/>
      <c r="J207" s="53"/>
      <c r="K207" s="53"/>
      <c r="L207" s="49"/>
      <c r="M207" s="49"/>
      <c r="N207" s="49"/>
      <c r="O207" s="53"/>
      <c r="P207" s="53"/>
      <c r="Q207" s="53"/>
      <c r="R207" s="53"/>
      <c r="S207" s="53"/>
      <c r="T207" s="53"/>
      <c r="U207" s="49"/>
      <c r="V207" s="53"/>
      <c r="W207" s="53"/>
      <c r="X207" s="53"/>
    </row>
    <row r="208" spans="1:24" x14ac:dyDescent="0.3">
      <c r="A208" s="53"/>
      <c r="B208" s="53"/>
      <c r="C208" s="53"/>
      <c r="D208" s="53"/>
      <c r="E208" s="53"/>
      <c r="F208" s="53"/>
      <c r="G208" s="53"/>
      <c r="H208" s="53"/>
      <c r="I208" s="53"/>
      <c r="J208" s="53"/>
      <c r="K208" s="53"/>
      <c r="L208" s="49"/>
      <c r="M208" s="49"/>
      <c r="N208" s="49"/>
      <c r="O208" s="53"/>
      <c r="P208" s="53"/>
      <c r="Q208" s="53"/>
      <c r="R208" s="53"/>
      <c r="S208" s="53"/>
      <c r="T208" s="53"/>
      <c r="U208" s="49"/>
      <c r="V208" s="53"/>
      <c r="W208" s="53"/>
      <c r="X208" s="53"/>
    </row>
    <row r="209" spans="1:24" x14ac:dyDescent="0.3">
      <c r="A209" s="53"/>
      <c r="B209" s="53"/>
      <c r="C209" s="53"/>
      <c r="D209" s="53"/>
      <c r="E209" s="53"/>
      <c r="F209" s="53"/>
      <c r="G209" s="53"/>
      <c r="H209" s="53"/>
      <c r="I209" s="53"/>
      <c r="J209" s="53"/>
      <c r="K209" s="53"/>
      <c r="L209" s="49"/>
      <c r="M209" s="49"/>
      <c r="N209" s="49"/>
      <c r="O209" s="53"/>
      <c r="P209" s="53"/>
      <c r="Q209" s="53"/>
      <c r="R209" s="53"/>
      <c r="S209" s="53"/>
      <c r="T209" s="53"/>
      <c r="U209" s="49"/>
      <c r="V209" s="53"/>
      <c r="W209" s="53"/>
      <c r="X209" s="53"/>
    </row>
    <row r="210" spans="1:24" x14ac:dyDescent="0.3">
      <c r="A210" s="53"/>
      <c r="B210" s="53"/>
      <c r="C210" s="53"/>
      <c r="D210" s="53"/>
      <c r="E210" s="53"/>
      <c r="F210" s="53"/>
      <c r="G210" s="53"/>
      <c r="H210" s="53"/>
      <c r="I210" s="53"/>
      <c r="J210" s="53"/>
      <c r="K210" s="53"/>
      <c r="L210" s="49"/>
      <c r="M210" s="49"/>
      <c r="N210" s="49"/>
      <c r="O210" s="53"/>
      <c r="P210" s="53"/>
      <c r="Q210" s="53"/>
      <c r="R210" s="53"/>
      <c r="S210" s="53"/>
      <c r="T210" s="53"/>
      <c r="U210" s="49"/>
      <c r="V210" s="53"/>
      <c r="W210" s="53"/>
      <c r="X210" s="53"/>
    </row>
    <row r="211" spans="1:24" x14ac:dyDescent="0.3">
      <c r="A211" s="53"/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49"/>
      <c r="M211" s="49"/>
      <c r="N211" s="49"/>
      <c r="O211" s="53"/>
      <c r="P211" s="53"/>
      <c r="Q211" s="53"/>
      <c r="R211" s="53"/>
      <c r="S211" s="53"/>
      <c r="T211" s="53"/>
      <c r="U211" s="49"/>
      <c r="V211" s="53"/>
      <c r="W211" s="53"/>
      <c r="X211" s="53"/>
    </row>
    <row r="212" spans="1:24" x14ac:dyDescent="0.3">
      <c r="A212" s="53"/>
      <c r="B212" s="53"/>
      <c r="C212" s="53"/>
      <c r="D212" s="53"/>
      <c r="E212" s="53"/>
      <c r="F212" s="53"/>
      <c r="G212" s="53"/>
      <c r="H212" s="53"/>
      <c r="I212" s="53"/>
      <c r="J212" s="53"/>
      <c r="K212" s="53"/>
      <c r="L212" s="49"/>
      <c r="M212" s="49"/>
      <c r="N212" s="49"/>
      <c r="O212" s="53"/>
      <c r="P212" s="53"/>
      <c r="Q212" s="53"/>
      <c r="R212" s="53"/>
      <c r="S212" s="53"/>
      <c r="T212" s="53"/>
      <c r="U212" s="49"/>
      <c r="V212" s="53"/>
      <c r="W212" s="53"/>
      <c r="X212" s="53"/>
    </row>
    <row r="213" spans="1:24" x14ac:dyDescent="0.3">
      <c r="A213" s="53"/>
      <c r="B213" s="53"/>
      <c r="C213" s="53"/>
      <c r="D213" s="53"/>
      <c r="E213" s="53"/>
      <c r="F213" s="53"/>
      <c r="G213" s="53"/>
      <c r="H213" s="53"/>
      <c r="I213" s="53"/>
      <c r="J213" s="53"/>
      <c r="K213" s="53"/>
      <c r="L213" s="49"/>
      <c r="M213" s="49"/>
      <c r="N213" s="49"/>
      <c r="O213" s="53"/>
      <c r="P213" s="53"/>
      <c r="Q213" s="53"/>
      <c r="R213" s="53"/>
      <c r="S213" s="53"/>
      <c r="T213" s="53"/>
      <c r="U213" s="49"/>
      <c r="V213" s="53"/>
      <c r="W213" s="53"/>
      <c r="X213" s="53"/>
    </row>
    <row r="214" spans="1:24" x14ac:dyDescent="0.3">
      <c r="A214" s="53"/>
      <c r="B214" s="53"/>
      <c r="C214" s="53"/>
      <c r="D214" s="53"/>
      <c r="E214" s="53"/>
      <c r="F214" s="53"/>
      <c r="G214" s="53"/>
      <c r="H214" s="53"/>
      <c r="I214" s="53"/>
      <c r="J214" s="53"/>
      <c r="K214" s="53"/>
      <c r="L214" s="49"/>
      <c r="M214" s="49"/>
      <c r="N214" s="49"/>
      <c r="O214" s="53"/>
      <c r="P214" s="53"/>
      <c r="Q214" s="53"/>
      <c r="R214" s="53"/>
      <c r="S214" s="53"/>
      <c r="T214" s="53"/>
      <c r="U214" s="49"/>
      <c r="V214" s="53"/>
      <c r="W214" s="53"/>
      <c r="X214" s="53"/>
    </row>
    <row r="215" spans="1:24" x14ac:dyDescent="0.3">
      <c r="A215" s="53"/>
      <c r="B215" s="53"/>
      <c r="C215" s="53"/>
      <c r="D215" s="53"/>
      <c r="E215" s="53"/>
      <c r="F215" s="53"/>
      <c r="G215" s="53"/>
      <c r="H215" s="53"/>
      <c r="I215" s="53"/>
      <c r="J215" s="53"/>
      <c r="K215" s="53"/>
      <c r="L215" s="49"/>
      <c r="M215" s="49"/>
      <c r="N215" s="49"/>
      <c r="O215" s="53"/>
      <c r="P215" s="53"/>
      <c r="Q215" s="53"/>
      <c r="R215" s="53"/>
      <c r="S215" s="53"/>
      <c r="T215" s="53"/>
      <c r="U215" s="49"/>
      <c r="V215" s="53"/>
      <c r="W215" s="53"/>
      <c r="X215" s="53"/>
    </row>
    <row r="216" spans="1:24" x14ac:dyDescent="0.3">
      <c r="A216" s="53"/>
      <c r="B216" s="53"/>
      <c r="C216" s="53"/>
      <c r="D216" s="53"/>
      <c r="E216" s="53"/>
      <c r="F216" s="53"/>
      <c r="G216" s="53"/>
      <c r="H216" s="53"/>
      <c r="I216" s="53"/>
      <c r="J216" s="53"/>
      <c r="K216" s="53"/>
      <c r="L216" s="49"/>
      <c r="M216" s="49"/>
      <c r="N216" s="49"/>
      <c r="O216" s="53"/>
      <c r="P216" s="53"/>
      <c r="Q216" s="53"/>
      <c r="R216" s="53"/>
      <c r="S216" s="53"/>
      <c r="T216" s="53"/>
      <c r="U216" s="49"/>
      <c r="V216" s="53"/>
      <c r="W216" s="53"/>
      <c r="X216" s="53"/>
    </row>
    <row r="217" spans="1:24" x14ac:dyDescent="0.3">
      <c r="A217" s="53"/>
      <c r="B217" s="53"/>
      <c r="C217" s="53"/>
      <c r="D217" s="53"/>
      <c r="E217" s="53"/>
      <c r="F217" s="53"/>
      <c r="G217" s="53"/>
      <c r="H217" s="53"/>
      <c r="I217" s="53"/>
      <c r="J217" s="53"/>
      <c r="K217" s="53"/>
      <c r="L217" s="49"/>
      <c r="M217" s="49"/>
      <c r="N217" s="49"/>
      <c r="O217" s="53"/>
      <c r="P217" s="53"/>
      <c r="Q217" s="53"/>
      <c r="R217" s="53"/>
      <c r="S217" s="53"/>
      <c r="T217" s="53"/>
      <c r="U217" s="49"/>
      <c r="V217" s="53"/>
      <c r="W217" s="53"/>
      <c r="X217" s="53"/>
    </row>
    <row r="218" spans="1:24" x14ac:dyDescent="0.3">
      <c r="A218" s="53"/>
      <c r="B218" s="53"/>
      <c r="C218" s="53"/>
      <c r="D218" s="53"/>
      <c r="E218" s="53"/>
      <c r="F218" s="53"/>
      <c r="G218" s="53"/>
      <c r="H218" s="53"/>
      <c r="I218" s="53"/>
      <c r="J218" s="53"/>
      <c r="K218" s="53"/>
      <c r="L218" s="49"/>
      <c r="M218" s="49"/>
      <c r="N218" s="49"/>
      <c r="O218" s="53"/>
      <c r="P218" s="53"/>
      <c r="Q218" s="53"/>
      <c r="R218" s="53"/>
      <c r="S218" s="53"/>
      <c r="T218" s="53"/>
      <c r="U218" s="49"/>
      <c r="V218" s="53"/>
      <c r="W218" s="53"/>
      <c r="X218" s="53"/>
    </row>
    <row r="219" spans="1:24" x14ac:dyDescent="0.3">
      <c r="A219" s="53"/>
      <c r="B219" s="53"/>
      <c r="C219" s="53"/>
      <c r="D219" s="53"/>
      <c r="E219" s="53"/>
      <c r="F219" s="53"/>
      <c r="G219" s="53"/>
      <c r="H219" s="53"/>
      <c r="I219" s="53"/>
      <c r="J219" s="53"/>
      <c r="K219" s="53"/>
      <c r="L219" s="49"/>
      <c r="M219" s="49"/>
      <c r="N219" s="49"/>
      <c r="O219" s="53"/>
      <c r="P219" s="53"/>
      <c r="Q219" s="53"/>
      <c r="R219" s="53"/>
      <c r="S219" s="53"/>
      <c r="T219" s="53"/>
      <c r="U219" s="49"/>
      <c r="V219" s="53"/>
      <c r="W219" s="53"/>
      <c r="X219" s="53"/>
    </row>
    <row r="220" spans="1:24" x14ac:dyDescent="0.3">
      <c r="A220" s="53"/>
      <c r="B220" s="53"/>
      <c r="C220" s="53"/>
      <c r="D220" s="53"/>
      <c r="E220" s="53"/>
      <c r="F220" s="53"/>
      <c r="G220" s="53"/>
      <c r="H220" s="53"/>
      <c r="I220" s="53"/>
      <c r="J220" s="53"/>
      <c r="K220" s="53"/>
      <c r="L220" s="49"/>
      <c r="M220" s="49"/>
      <c r="N220" s="49"/>
      <c r="O220" s="53"/>
      <c r="P220" s="53"/>
      <c r="Q220" s="53"/>
      <c r="R220" s="53"/>
      <c r="S220" s="53"/>
      <c r="T220" s="53"/>
      <c r="U220" s="49"/>
      <c r="V220" s="53"/>
      <c r="W220" s="53"/>
      <c r="X220" s="53"/>
    </row>
    <row r="221" spans="1:24" x14ac:dyDescent="0.3">
      <c r="A221" s="53"/>
      <c r="B221" s="53"/>
      <c r="C221" s="53"/>
      <c r="D221" s="53"/>
      <c r="E221" s="53"/>
      <c r="F221" s="53"/>
      <c r="G221" s="53"/>
      <c r="H221" s="53"/>
      <c r="I221" s="53"/>
      <c r="J221" s="53"/>
      <c r="K221" s="53"/>
      <c r="L221" s="49"/>
      <c r="M221" s="49"/>
      <c r="N221" s="49"/>
      <c r="O221" s="53"/>
      <c r="P221" s="53"/>
      <c r="Q221" s="53"/>
      <c r="R221" s="53"/>
      <c r="S221" s="53"/>
      <c r="T221" s="53"/>
      <c r="U221" s="49"/>
      <c r="V221" s="53"/>
      <c r="W221" s="53"/>
      <c r="X221" s="53"/>
    </row>
    <row r="222" spans="1:24" x14ac:dyDescent="0.3">
      <c r="A222" s="53"/>
      <c r="B222" s="53"/>
      <c r="C222" s="53"/>
      <c r="D222" s="53"/>
      <c r="E222" s="53"/>
      <c r="F222" s="53"/>
      <c r="G222" s="53"/>
      <c r="H222" s="53"/>
      <c r="I222" s="53"/>
      <c r="J222" s="53"/>
      <c r="K222" s="53"/>
      <c r="L222" s="49"/>
      <c r="M222" s="49"/>
      <c r="N222" s="49"/>
      <c r="O222" s="53"/>
      <c r="P222" s="53"/>
      <c r="Q222" s="53"/>
      <c r="R222" s="53"/>
      <c r="S222" s="53"/>
      <c r="T222" s="53"/>
      <c r="U222" s="49"/>
      <c r="V222" s="53"/>
      <c r="W222" s="53"/>
      <c r="X222" s="53"/>
    </row>
    <row r="223" spans="1:24" x14ac:dyDescent="0.3">
      <c r="A223" s="53"/>
      <c r="B223" s="53"/>
      <c r="C223" s="53"/>
      <c r="D223" s="53"/>
      <c r="E223" s="53"/>
      <c r="F223" s="53"/>
      <c r="G223" s="53"/>
      <c r="H223" s="53"/>
      <c r="I223" s="53"/>
      <c r="J223" s="53"/>
      <c r="K223" s="53"/>
      <c r="L223" s="49"/>
      <c r="M223" s="49"/>
      <c r="N223" s="49"/>
      <c r="O223" s="53"/>
      <c r="P223" s="53"/>
      <c r="Q223" s="53"/>
      <c r="R223" s="53"/>
      <c r="S223" s="53"/>
      <c r="T223" s="53"/>
      <c r="U223" s="49"/>
      <c r="V223" s="53"/>
      <c r="W223" s="53"/>
      <c r="X223" s="53"/>
    </row>
    <row r="224" spans="1:24" x14ac:dyDescent="0.3">
      <c r="A224" s="53"/>
      <c r="B224" s="53"/>
      <c r="C224" s="53"/>
      <c r="D224" s="53"/>
      <c r="E224" s="53"/>
      <c r="F224" s="53"/>
      <c r="G224" s="53"/>
      <c r="H224" s="53"/>
      <c r="I224" s="53"/>
      <c r="J224" s="53"/>
      <c r="K224" s="53"/>
      <c r="L224" s="49"/>
      <c r="M224" s="49"/>
      <c r="N224" s="49"/>
      <c r="O224" s="53"/>
      <c r="P224" s="53"/>
      <c r="Q224" s="53"/>
      <c r="R224" s="53"/>
      <c r="S224" s="53"/>
      <c r="T224" s="53"/>
      <c r="U224" s="49"/>
      <c r="V224" s="53"/>
      <c r="W224" s="53"/>
      <c r="X224" s="53"/>
    </row>
    <row r="225" spans="1:24" x14ac:dyDescent="0.3">
      <c r="A225" s="53"/>
      <c r="B225" s="53"/>
      <c r="C225" s="53"/>
      <c r="D225" s="53"/>
      <c r="E225" s="53"/>
      <c r="F225" s="53"/>
      <c r="G225" s="53"/>
      <c r="H225" s="53"/>
      <c r="I225" s="53"/>
      <c r="J225" s="53"/>
      <c r="K225" s="53"/>
      <c r="L225" s="49"/>
      <c r="M225" s="49"/>
      <c r="N225" s="49"/>
      <c r="O225" s="53"/>
      <c r="P225" s="53"/>
      <c r="Q225" s="53"/>
      <c r="R225" s="53"/>
      <c r="S225" s="53"/>
      <c r="T225" s="53"/>
      <c r="U225" s="49"/>
      <c r="V225" s="53"/>
      <c r="W225" s="53"/>
      <c r="X225" s="53"/>
    </row>
    <row r="226" spans="1:24" x14ac:dyDescent="0.3">
      <c r="A226" s="53"/>
      <c r="B226" s="53"/>
      <c r="C226" s="53"/>
      <c r="D226" s="53"/>
      <c r="E226" s="53"/>
      <c r="F226" s="53"/>
      <c r="G226" s="53"/>
      <c r="H226" s="53"/>
      <c r="I226" s="53"/>
      <c r="J226" s="53"/>
      <c r="K226" s="53"/>
      <c r="L226" s="49"/>
      <c r="M226" s="49"/>
      <c r="N226" s="49"/>
      <c r="O226" s="53"/>
      <c r="P226" s="53"/>
      <c r="Q226" s="53"/>
      <c r="R226" s="53"/>
      <c r="S226" s="53"/>
      <c r="T226" s="53"/>
      <c r="U226" s="49"/>
      <c r="V226" s="53"/>
      <c r="W226" s="53"/>
      <c r="X226" s="53"/>
    </row>
    <row r="227" spans="1:24" x14ac:dyDescent="0.3">
      <c r="A227" s="53"/>
      <c r="B227" s="53"/>
      <c r="C227" s="53"/>
      <c r="D227" s="53"/>
      <c r="E227" s="53"/>
      <c r="F227" s="53"/>
      <c r="G227" s="53"/>
      <c r="H227" s="53"/>
      <c r="I227" s="53"/>
      <c r="J227" s="53"/>
      <c r="K227" s="53"/>
      <c r="L227" s="49"/>
      <c r="M227" s="49"/>
      <c r="N227" s="49"/>
      <c r="O227" s="53"/>
      <c r="P227" s="53"/>
      <c r="Q227" s="53"/>
      <c r="R227" s="53"/>
      <c r="S227" s="53"/>
      <c r="T227" s="53"/>
      <c r="U227" s="49"/>
      <c r="V227" s="53"/>
      <c r="W227" s="53"/>
      <c r="X227" s="53"/>
    </row>
    <row r="228" spans="1:24" x14ac:dyDescent="0.3">
      <c r="A228" s="53"/>
      <c r="B228" s="53"/>
      <c r="C228" s="53"/>
      <c r="D228" s="53"/>
      <c r="E228" s="53"/>
      <c r="F228" s="53"/>
      <c r="G228" s="53"/>
      <c r="H228" s="53"/>
      <c r="I228" s="53"/>
      <c r="J228" s="53"/>
      <c r="K228" s="53"/>
      <c r="L228" s="49"/>
      <c r="M228" s="49"/>
      <c r="N228" s="49"/>
      <c r="O228" s="53"/>
      <c r="P228" s="53"/>
      <c r="Q228" s="53"/>
      <c r="R228" s="53"/>
      <c r="S228" s="53"/>
      <c r="T228" s="53"/>
      <c r="U228" s="49"/>
      <c r="V228" s="53"/>
      <c r="W228" s="53"/>
      <c r="X228" s="53"/>
    </row>
    <row r="229" spans="1:24" x14ac:dyDescent="0.3">
      <c r="A229" s="53"/>
      <c r="B229" s="53"/>
      <c r="C229" s="53"/>
      <c r="D229" s="53"/>
      <c r="E229" s="53"/>
      <c r="F229" s="53"/>
      <c r="G229" s="53"/>
      <c r="H229" s="53"/>
      <c r="I229" s="53"/>
      <c r="J229" s="53"/>
      <c r="K229" s="53"/>
      <c r="L229" s="49"/>
      <c r="M229" s="49"/>
      <c r="N229" s="49"/>
      <c r="O229" s="53"/>
      <c r="P229" s="53"/>
      <c r="Q229" s="53"/>
      <c r="R229" s="53"/>
      <c r="S229" s="53"/>
      <c r="T229" s="53"/>
      <c r="U229" s="49"/>
      <c r="V229" s="53"/>
      <c r="W229" s="53"/>
      <c r="X229" s="53"/>
    </row>
    <row r="230" spans="1:24" x14ac:dyDescent="0.3">
      <c r="A230" s="53"/>
      <c r="B230" s="53"/>
      <c r="C230" s="53"/>
      <c r="D230" s="53"/>
      <c r="E230" s="53"/>
      <c r="F230" s="53"/>
      <c r="G230" s="53"/>
      <c r="H230" s="53"/>
      <c r="I230" s="53"/>
      <c r="J230" s="53"/>
      <c r="K230" s="53"/>
      <c r="L230" s="49"/>
      <c r="M230" s="49"/>
      <c r="N230" s="49"/>
      <c r="O230" s="53"/>
      <c r="P230" s="53"/>
      <c r="Q230" s="53"/>
      <c r="R230" s="53"/>
      <c r="S230" s="53"/>
      <c r="T230" s="53"/>
      <c r="U230" s="49"/>
      <c r="V230" s="53"/>
      <c r="W230" s="53"/>
      <c r="X230" s="53"/>
    </row>
    <row r="231" spans="1:24" x14ac:dyDescent="0.3">
      <c r="A231" s="53"/>
      <c r="B231" s="53"/>
      <c r="C231" s="53"/>
      <c r="D231" s="53"/>
      <c r="E231" s="53"/>
      <c r="F231" s="53"/>
      <c r="G231" s="53"/>
      <c r="H231" s="53"/>
      <c r="I231" s="53"/>
      <c r="J231" s="53"/>
      <c r="K231" s="53"/>
      <c r="L231" s="49"/>
      <c r="M231" s="49"/>
      <c r="N231" s="49"/>
      <c r="O231" s="53"/>
      <c r="P231" s="53"/>
      <c r="Q231" s="53"/>
      <c r="R231" s="53"/>
      <c r="S231" s="53"/>
      <c r="T231" s="53"/>
      <c r="U231" s="49"/>
      <c r="V231" s="53"/>
      <c r="W231" s="53"/>
      <c r="X231" s="53"/>
    </row>
    <row r="232" spans="1:24" x14ac:dyDescent="0.3">
      <c r="A232" s="53"/>
      <c r="B232" s="53"/>
      <c r="C232" s="53"/>
      <c r="D232" s="53"/>
      <c r="E232" s="53"/>
      <c r="F232" s="53"/>
      <c r="G232" s="53"/>
      <c r="H232" s="53"/>
      <c r="I232" s="53"/>
      <c r="J232" s="53"/>
      <c r="K232" s="53"/>
      <c r="L232" s="49"/>
      <c r="M232" s="49"/>
      <c r="N232" s="49"/>
      <c r="O232" s="53"/>
      <c r="P232" s="53"/>
      <c r="Q232" s="53"/>
      <c r="R232" s="53"/>
      <c r="S232" s="53"/>
      <c r="T232" s="53"/>
      <c r="U232" s="49"/>
      <c r="V232" s="53"/>
      <c r="W232" s="53"/>
      <c r="X232" s="53"/>
    </row>
    <row r="233" spans="1:24" x14ac:dyDescent="0.3">
      <c r="A233" s="53"/>
      <c r="B233" s="53"/>
      <c r="C233" s="53"/>
      <c r="D233" s="53"/>
      <c r="E233" s="53"/>
      <c r="F233" s="53"/>
      <c r="G233" s="53"/>
      <c r="H233" s="53"/>
      <c r="I233" s="53"/>
      <c r="J233" s="53"/>
      <c r="K233" s="53"/>
      <c r="L233" s="49"/>
      <c r="M233" s="49"/>
      <c r="N233" s="49"/>
      <c r="O233" s="53"/>
      <c r="P233" s="53"/>
      <c r="Q233" s="53"/>
      <c r="R233" s="53"/>
      <c r="S233" s="53"/>
      <c r="T233" s="53"/>
      <c r="U233" s="49"/>
      <c r="V233" s="53"/>
      <c r="W233" s="53"/>
      <c r="X233" s="53"/>
    </row>
    <row r="234" spans="1:24" x14ac:dyDescent="0.3">
      <c r="A234" s="53"/>
      <c r="B234" s="53"/>
      <c r="C234" s="53"/>
      <c r="D234" s="53"/>
      <c r="E234" s="53"/>
      <c r="F234" s="53"/>
      <c r="G234" s="53"/>
      <c r="H234" s="53"/>
      <c r="I234" s="53"/>
      <c r="J234" s="53"/>
      <c r="K234" s="53"/>
      <c r="L234" s="49"/>
      <c r="M234" s="49"/>
      <c r="N234" s="49"/>
      <c r="O234" s="53"/>
      <c r="P234" s="53"/>
      <c r="Q234" s="53"/>
      <c r="R234" s="53"/>
      <c r="S234" s="53"/>
      <c r="T234" s="53"/>
      <c r="U234" s="49"/>
      <c r="V234" s="53"/>
      <c r="W234" s="53"/>
      <c r="X234" s="53"/>
    </row>
    <row r="235" spans="1:24" x14ac:dyDescent="0.3">
      <c r="A235" s="53"/>
      <c r="B235" s="53"/>
      <c r="C235" s="53"/>
      <c r="D235" s="53"/>
      <c r="E235" s="53"/>
      <c r="F235" s="53"/>
      <c r="G235" s="53"/>
      <c r="H235" s="53"/>
      <c r="I235" s="53"/>
      <c r="J235" s="53"/>
      <c r="K235" s="53"/>
      <c r="L235" s="49"/>
      <c r="M235" s="49"/>
      <c r="N235" s="49"/>
      <c r="O235" s="53"/>
      <c r="P235" s="53"/>
      <c r="Q235" s="53"/>
      <c r="R235" s="53"/>
      <c r="S235" s="53"/>
      <c r="T235" s="53"/>
      <c r="U235" s="49"/>
      <c r="V235" s="53"/>
      <c r="W235" s="53"/>
      <c r="X235" s="53"/>
    </row>
    <row r="236" spans="1:24" x14ac:dyDescent="0.3">
      <c r="A236" s="53"/>
      <c r="B236" s="53"/>
      <c r="C236" s="53"/>
      <c r="D236" s="53"/>
      <c r="E236" s="53"/>
      <c r="F236" s="53"/>
      <c r="G236" s="53"/>
      <c r="H236" s="53"/>
      <c r="I236" s="53"/>
      <c r="J236" s="53"/>
      <c r="K236" s="53"/>
      <c r="L236" s="49"/>
      <c r="M236" s="49"/>
      <c r="N236" s="49"/>
      <c r="O236" s="53"/>
      <c r="P236" s="53"/>
      <c r="Q236" s="53"/>
      <c r="R236" s="53"/>
      <c r="S236" s="53"/>
      <c r="T236" s="53"/>
      <c r="U236" s="49"/>
      <c r="V236" s="53"/>
      <c r="W236" s="53"/>
      <c r="X236" s="53"/>
    </row>
    <row r="237" spans="1:24" x14ac:dyDescent="0.3">
      <c r="A237" s="53"/>
      <c r="B237" s="53"/>
      <c r="C237" s="53"/>
      <c r="D237" s="53"/>
      <c r="E237" s="53"/>
      <c r="F237" s="53"/>
      <c r="G237" s="53"/>
      <c r="H237" s="53"/>
      <c r="I237" s="53"/>
      <c r="J237" s="53"/>
      <c r="K237" s="53"/>
      <c r="L237" s="49"/>
      <c r="M237" s="49"/>
      <c r="N237" s="49"/>
      <c r="O237" s="53"/>
      <c r="P237" s="53"/>
      <c r="Q237" s="53"/>
      <c r="R237" s="53"/>
      <c r="S237" s="53"/>
      <c r="T237" s="53"/>
      <c r="U237" s="49"/>
      <c r="V237" s="53"/>
      <c r="W237" s="53"/>
      <c r="X237" s="53"/>
    </row>
    <row r="238" spans="1:24" x14ac:dyDescent="0.3">
      <c r="A238" s="53"/>
      <c r="B238" s="53"/>
      <c r="C238" s="53"/>
      <c r="D238" s="53"/>
      <c r="E238" s="53"/>
      <c r="F238" s="53"/>
      <c r="G238" s="53"/>
      <c r="H238" s="53"/>
      <c r="I238" s="53"/>
      <c r="J238" s="53"/>
      <c r="K238" s="53"/>
      <c r="L238" s="49"/>
      <c r="M238" s="49"/>
      <c r="N238" s="49"/>
      <c r="O238" s="53"/>
      <c r="P238" s="53"/>
      <c r="Q238" s="53"/>
      <c r="R238" s="53"/>
      <c r="S238" s="53"/>
      <c r="T238" s="53"/>
      <c r="U238" s="49"/>
      <c r="V238" s="53"/>
      <c r="W238" s="53"/>
      <c r="X238" s="53"/>
    </row>
    <row r="239" spans="1:24" x14ac:dyDescent="0.3">
      <c r="A239" s="53"/>
      <c r="B239" s="53"/>
      <c r="C239" s="53"/>
      <c r="D239" s="53"/>
      <c r="E239" s="53"/>
      <c r="F239" s="53"/>
      <c r="G239" s="53"/>
      <c r="H239" s="53"/>
      <c r="I239" s="53"/>
      <c r="J239" s="53"/>
      <c r="K239" s="53"/>
      <c r="L239" s="49"/>
      <c r="M239" s="49"/>
      <c r="N239" s="49"/>
      <c r="O239" s="53"/>
      <c r="P239" s="53"/>
      <c r="Q239" s="53"/>
      <c r="R239" s="53"/>
      <c r="S239" s="53"/>
      <c r="T239" s="53"/>
      <c r="U239" s="49"/>
      <c r="V239" s="53"/>
      <c r="W239" s="53"/>
      <c r="X239" s="53"/>
    </row>
  </sheetData>
  <dataValidations count="2">
    <dataValidation type="list" allowBlank="1" showInputMessage="1" showErrorMessage="1" sqref="R2:R5 R7:R216" xr:uid="{F9A92015-FA6D-4D6B-AEA9-712351FA079D}">
      <formula1>$Z$2:$Z$9</formula1>
    </dataValidation>
    <dataValidation type="list" allowBlank="1" showInputMessage="1" showErrorMessage="1" sqref="T2:T5 T7:T194" xr:uid="{35C8DA43-74AF-4D34-BE4B-46AD8D068499}">
      <formula1>$AE$2:$AE$4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irderBracing">
                <anchor moveWithCells="1" sizeWithCells="1">
                  <from>
                    <xdr:col>25</xdr:col>
                    <xdr:colOff>228600</xdr:colOff>
                    <xdr:row>0</xdr:row>
                    <xdr:rowOff>38100</xdr:rowOff>
                  </from>
                  <to>
                    <xdr:col>25</xdr:col>
                    <xdr:colOff>739140</xdr:colOff>
                    <xdr:row>0</xdr:row>
                    <xdr:rowOff>624840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56EB6-8303-4D47-8B3B-4A24D9E4A85F}">
  <sheetPr codeName="Sheet13"/>
  <dimension ref="A1:K157"/>
  <sheetViews>
    <sheetView view="pageBreakPreview" zoomScale="60" zoomScaleNormal="70" workbookViewId="0">
      <selection activeCell="T17" sqref="T17"/>
    </sheetView>
  </sheetViews>
  <sheetFormatPr defaultRowHeight="13.8" x14ac:dyDescent="0.3"/>
  <cols>
    <col min="1" max="1" width="4.6640625" style="107" customWidth="1"/>
    <col min="2" max="16384" width="8.88671875" style="107"/>
  </cols>
  <sheetData>
    <row r="1" spans="1:11" x14ac:dyDescent="0.3">
      <c r="A1" s="112"/>
      <c r="B1" s="113"/>
      <c r="C1" s="113"/>
      <c r="D1" s="113"/>
      <c r="E1" s="113"/>
      <c r="F1" s="113"/>
      <c r="G1" s="113"/>
      <c r="H1" s="113"/>
      <c r="I1" s="113"/>
      <c r="J1" s="113"/>
      <c r="K1" s="114"/>
    </row>
    <row r="2" spans="1:11" ht="19.95" customHeight="1" x14ac:dyDescent="0.3">
      <c r="A2" s="108"/>
      <c r="B2" s="156" t="s">
        <v>177</v>
      </c>
      <c r="C2" s="156"/>
      <c r="D2" s="156"/>
      <c r="E2" s="156"/>
      <c r="F2" s="156"/>
      <c r="G2" s="156"/>
      <c r="H2" s="156"/>
      <c r="I2" s="156"/>
      <c r="J2" s="156"/>
      <c r="K2" s="157"/>
    </row>
    <row r="3" spans="1:11" ht="19.95" customHeight="1" x14ac:dyDescent="0.3">
      <c r="A3" s="108"/>
      <c r="B3" s="105"/>
      <c r="C3" s="105"/>
      <c r="D3" s="105"/>
      <c r="E3" s="105"/>
      <c r="F3" s="105"/>
      <c r="G3" s="105"/>
      <c r="H3" s="105"/>
      <c r="I3" s="105"/>
      <c r="J3" s="105"/>
      <c r="K3" s="109"/>
    </row>
    <row r="4" spans="1:11" ht="19.95" customHeight="1" x14ac:dyDescent="0.3">
      <c r="A4" s="108"/>
      <c r="B4" s="153" t="str">
        <f>IF('Girder Bracing Data'!B2&lt;&gt;"",_xlfn.CONCAT("Analysis #",'Girder Bracing Data'!A2, "  -  (",'Girder Bracing Data'!B2,")","  ------------------------------------------------------------------------------------------------------"),"")</f>
        <v>Analysis #1  -  (B)  ------------------------------------------------------------------------------------------------------</v>
      </c>
      <c r="C4" s="153"/>
      <c r="D4" s="153"/>
      <c r="E4" s="153"/>
      <c r="F4" s="153"/>
      <c r="G4" s="153"/>
      <c r="H4" s="153"/>
      <c r="I4" s="153"/>
      <c r="J4" s="153"/>
      <c r="K4" s="116">
        <v>1</v>
      </c>
    </row>
    <row r="5" spans="1:11" ht="19.95" customHeight="1" x14ac:dyDescent="0.3">
      <c r="A5" s="108"/>
      <c r="B5" s="153" t="str">
        <f>IF('Girder Bracing Data'!B3&lt;&gt;"",_xlfn.CONCAT("Analysis #",'Girder Bracing Data'!A3, "  -  (",'Girder Bracing Data'!B3,")","  ------------------------------------------------------------------------------------------------------"),"")</f>
        <v>Analysis #2  -  (C)  ------------------------------------------------------------------------------------------------------</v>
      </c>
      <c r="C5" s="153"/>
      <c r="D5" s="153"/>
      <c r="E5" s="153"/>
      <c r="F5" s="153"/>
      <c r="G5" s="153"/>
      <c r="H5" s="153"/>
      <c r="I5" s="153"/>
      <c r="J5" s="153"/>
      <c r="K5" s="116">
        <v>1</v>
      </c>
    </row>
    <row r="6" spans="1:11" ht="19.95" customHeight="1" x14ac:dyDescent="0.3">
      <c r="A6" s="108"/>
      <c r="B6" s="153" t="str">
        <f>IF('Girder Bracing Data'!B4&lt;&gt;"",_xlfn.CONCAT("Analysis #",'Girder Bracing Data'!A4, "  -  (",'Girder Bracing Data'!B4,")","  ------------------------------------------------------------------------------------------------------"),"")</f>
        <v>Analysis #3  -  (D)  ------------------------------------------------------------------------------------------------------</v>
      </c>
      <c r="C6" s="153"/>
      <c r="D6" s="153"/>
      <c r="E6" s="153"/>
      <c r="F6" s="153"/>
      <c r="G6" s="153"/>
      <c r="H6" s="153"/>
      <c r="I6" s="153"/>
      <c r="J6" s="153"/>
      <c r="K6" s="116">
        <v>1</v>
      </c>
    </row>
    <row r="7" spans="1:11" ht="19.95" customHeight="1" x14ac:dyDescent="0.3">
      <c r="A7" s="108"/>
      <c r="B7" s="153" t="str">
        <f>IF('Girder Bracing Data'!B5&lt;&gt;"",_xlfn.CONCAT("Analysis #",'Girder Bracing Data'!A5, "  -  (",'Girder Bracing Data'!B5,")","  ------------------------------------------------------------------------------------------------------"),"")</f>
        <v>Analysis #4  -  (E)  ------------------------------------------------------------------------------------------------------</v>
      </c>
      <c r="C7" s="153"/>
      <c r="D7" s="153"/>
      <c r="E7" s="153"/>
      <c r="F7" s="153"/>
      <c r="G7" s="153"/>
      <c r="H7" s="153"/>
      <c r="I7" s="153"/>
      <c r="J7" s="153"/>
      <c r="K7" s="116">
        <v>1</v>
      </c>
    </row>
    <row r="8" spans="1:11" ht="19.95" customHeight="1" x14ac:dyDescent="0.3">
      <c r="A8" s="108"/>
      <c r="B8" s="153" t="str">
        <f>IF('Girder Bracing Data'!B6&lt;&gt;"",_xlfn.CONCAT("Analysis #",'Girder Bracing Data'!A6, "  -  (",'Girder Bracing Data'!B6,")","  ------------------------------------------------------------------------------------------------------"),"")</f>
        <v/>
      </c>
      <c r="C8" s="153"/>
      <c r="D8" s="153"/>
      <c r="E8" s="153"/>
      <c r="F8" s="153"/>
      <c r="G8" s="153"/>
      <c r="H8" s="153"/>
      <c r="I8" s="153"/>
      <c r="J8" s="153"/>
      <c r="K8" s="109"/>
    </row>
    <row r="9" spans="1:11" ht="19.95" customHeight="1" x14ac:dyDescent="0.3">
      <c r="A9" s="108"/>
      <c r="B9" s="153" t="str">
        <f>IF('Girder Bracing Data'!B7&lt;&gt;"",_xlfn.CONCAT("Analysis #",'Girder Bracing Data'!A7, "  -  (",'Girder Bracing Data'!B7,")","  ------------------------------------------------------------------------------------------------------"),"")</f>
        <v/>
      </c>
      <c r="C9" s="153"/>
      <c r="D9" s="153"/>
      <c r="E9" s="153"/>
      <c r="F9" s="153"/>
      <c r="G9" s="153"/>
      <c r="H9" s="153"/>
      <c r="I9" s="153"/>
      <c r="J9" s="153"/>
      <c r="K9" s="109"/>
    </row>
    <row r="10" spans="1:11" ht="19.95" customHeight="1" x14ac:dyDescent="0.3">
      <c r="A10" s="108"/>
      <c r="B10" s="153" t="str">
        <f>IF('Girder Bracing Data'!B8&lt;&gt;"",_xlfn.CONCAT("Analysis #",'Girder Bracing Data'!A8, "  -  (",'Girder Bracing Data'!B8,")","  ------------------------------------------------------------------------------------------------------"),"")</f>
        <v/>
      </c>
      <c r="C10" s="153"/>
      <c r="D10" s="153"/>
      <c r="E10" s="153"/>
      <c r="F10" s="153"/>
      <c r="G10" s="153"/>
      <c r="H10" s="153"/>
      <c r="I10" s="153"/>
      <c r="J10" s="153"/>
      <c r="K10" s="109"/>
    </row>
    <row r="11" spans="1:11" ht="19.95" customHeight="1" x14ac:dyDescent="0.3">
      <c r="A11" s="108"/>
      <c r="B11" s="153" t="str">
        <f>IF('Girder Bracing Data'!B9&lt;&gt;"",_xlfn.CONCAT("Analysis #",'Girder Bracing Data'!A9, "  -  (",'Girder Bracing Data'!B9,")","  ------------------------------------------------------------------------------------------------------"),"")</f>
        <v/>
      </c>
      <c r="C11" s="153"/>
      <c r="D11" s="153"/>
      <c r="E11" s="153"/>
      <c r="F11" s="153"/>
      <c r="G11" s="153"/>
      <c r="H11" s="153"/>
      <c r="I11" s="153"/>
      <c r="J11" s="153"/>
      <c r="K11" s="109"/>
    </row>
    <row r="12" spans="1:11" ht="19.95" customHeight="1" x14ac:dyDescent="0.3">
      <c r="A12" s="108"/>
      <c r="B12" s="153" t="str">
        <f>IF('Girder Bracing Data'!B10&lt;&gt;"",_xlfn.CONCAT("Analysis #",'Girder Bracing Data'!A10, "  -  (",'Girder Bracing Data'!B10,")","  ------------------------------------------------------------------------------------------------------"),"")</f>
        <v/>
      </c>
      <c r="C12" s="153"/>
      <c r="D12" s="153"/>
      <c r="E12" s="153"/>
      <c r="F12" s="153"/>
      <c r="G12" s="153"/>
      <c r="H12" s="153"/>
      <c r="I12" s="153"/>
      <c r="J12" s="153"/>
      <c r="K12" s="109"/>
    </row>
    <row r="13" spans="1:11" ht="19.95" customHeight="1" x14ac:dyDescent="0.3">
      <c r="A13" s="108"/>
      <c r="B13" s="153" t="str">
        <f>IF('Girder Bracing Data'!B11&lt;&gt;"",_xlfn.CONCAT("Analysis #",'Girder Bracing Data'!A11, "  -  (",'Girder Bracing Data'!B11,")","  ------------------------------------------------------------------------------------------------------"),"")</f>
        <v/>
      </c>
      <c r="C13" s="153"/>
      <c r="D13" s="153"/>
      <c r="E13" s="153"/>
      <c r="F13" s="153"/>
      <c r="G13" s="153"/>
      <c r="H13" s="153"/>
      <c r="I13" s="153"/>
      <c r="J13" s="153"/>
      <c r="K13" s="109"/>
    </row>
    <row r="14" spans="1:11" ht="19.95" customHeight="1" x14ac:dyDescent="0.3">
      <c r="A14" s="108"/>
      <c r="B14" s="153" t="str">
        <f>IF('Girder Bracing Data'!B12&lt;&gt;"",_xlfn.CONCAT("Analysis #",'Girder Bracing Data'!A12, "  -  (",'Girder Bracing Data'!B12,")","  ------------------------------------------------------------------------------------------------------"),"")</f>
        <v/>
      </c>
      <c r="C14" s="153"/>
      <c r="D14" s="153"/>
      <c r="E14" s="153"/>
      <c r="F14" s="153"/>
      <c r="G14" s="153"/>
      <c r="H14" s="153"/>
      <c r="I14" s="153"/>
      <c r="J14" s="153"/>
      <c r="K14" s="109"/>
    </row>
    <row r="15" spans="1:11" ht="19.95" customHeight="1" x14ac:dyDescent="0.3">
      <c r="A15" s="108"/>
      <c r="B15" s="153" t="str">
        <f>IF('Girder Bracing Data'!B13&lt;&gt;"",_xlfn.CONCAT("Analysis #",'Girder Bracing Data'!A13, "  -  (",'Girder Bracing Data'!B13,")","  ------------------------------------------------------------------------------------------------------"),"")</f>
        <v/>
      </c>
      <c r="C15" s="153"/>
      <c r="D15" s="153"/>
      <c r="E15" s="153"/>
      <c r="F15" s="153"/>
      <c r="G15" s="153"/>
      <c r="H15" s="153"/>
      <c r="I15" s="153"/>
      <c r="J15" s="153"/>
      <c r="K15" s="109"/>
    </row>
    <row r="16" spans="1:11" ht="19.95" customHeight="1" x14ac:dyDescent="0.3">
      <c r="A16" s="108"/>
      <c r="B16" s="153" t="str">
        <f>IF('Girder Bracing Data'!B14&lt;&gt;"",_xlfn.CONCAT("Analysis #",'Girder Bracing Data'!A14, "  -  (",'Girder Bracing Data'!B14,")","  ------------------------------------------------------------------------------------------------------"),"")</f>
        <v/>
      </c>
      <c r="C16" s="153"/>
      <c r="D16" s="153"/>
      <c r="E16" s="153"/>
      <c r="F16" s="153"/>
      <c r="G16" s="153"/>
      <c r="H16" s="153"/>
      <c r="I16" s="153"/>
      <c r="J16" s="153"/>
      <c r="K16" s="109"/>
    </row>
    <row r="17" spans="1:11" ht="19.95" customHeight="1" x14ac:dyDescent="0.3">
      <c r="A17" s="108"/>
      <c r="B17" s="153" t="str">
        <f>IF('Girder Bracing Data'!B15&lt;&gt;"",_xlfn.CONCAT("Analysis #",'Girder Bracing Data'!A15, "  -  (",'Girder Bracing Data'!B15,")","  ------------------------------------------------------------------------------------------------------"),"")</f>
        <v/>
      </c>
      <c r="C17" s="153"/>
      <c r="D17" s="153"/>
      <c r="E17" s="153"/>
      <c r="F17" s="153"/>
      <c r="G17" s="153"/>
      <c r="H17" s="153"/>
      <c r="I17" s="153"/>
      <c r="J17" s="153"/>
      <c r="K17" s="109"/>
    </row>
    <row r="18" spans="1:11" ht="19.95" customHeight="1" x14ac:dyDescent="0.3">
      <c r="A18" s="108"/>
      <c r="B18" s="153" t="str">
        <f>IF('Girder Bracing Data'!B16&lt;&gt;"",_xlfn.CONCAT("Analysis #",'Girder Bracing Data'!A16, "  -  (",'Girder Bracing Data'!B16,")","  ------------------------------------------------------------------------------------------------------"),"")</f>
        <v/>
      </c>
      <c r="C18" s="153"/>
      <c r="D18" s="153"/>
      <c r="E18" s="153"/>
      <c r="F18" s="153"/>
      <c r="G18" s="153"/>
      <c r="H18" s="153"/>
      <c r="I18" s="153"/>
      <c r="J18" s="153"/>
      <c r="K18" s="109"/>
    </row>
    <row r="19" spans="1:11" ht="19.95" customHeight="1" x14ac:dyDescent="0.3">
      <c r="A19" s="108"/>
      <c r="B19" s="153" t="str">
        <f>IF('Girder Bracing Data'!B17&lt;&gt;"",_xlfn.CONCAT("Analysis #",'Girder Bracing Data'!A17, "  -  (",'Girder Bracing Data'!B17,")","  ------------------------------------------------------------------------------------------------------"),"")</f>
        <v/>
      </c>
      <c r="C19" s="153"/>
      <c r="D19" s="153"/>
      <c r="E19" s="153"/>
      <c r="F19" s="153"/>
      <c r="G19" s="153"/>
      <c r="H19" s="153"/>
      <c r="I19" s="153"/>
      <c r="J19" s="153"/>
      <c r="K19" s="109"/>
    </row>
    <row r="20" spans="1:11" ht="19.95" customHeight="1" x14ac:dyDescent="0.3">
      <c r="A20" s="108"/>
      <c r="B20" s="153" t="str">
        <f>IF('Girder Bracing Data'!B18&lt;&gt;"",_xlfn.CONCAT("Analysis #",'Girder Bracing Data'!A18, "  -  (",'Girder Bracing Data'!B18,")","  ------------------------------------------------------------------------------------------------------"),"")</f>
        <v/>
      </c>
      <c r="C20" s="153"/>
      <c r="D20" s="153"/>
      <c r="E20" s="153"/>
      <c r="F20" s="153"/>
      <c r="G20" s="153"/>
      <c r="H20" s="153"/>
      <c r="I20" s="153"/>
      <c r="J20" s="153"/>
      <c r="K20" s="109"/>
    </row>
    <row r="21" spans="1:11" ht="19.95" customHeight="1" x14ac:dyDescent="0.3">
      <c r="A21" s="108"/>
      <c r="B21" s="153" t="str">
        <f>IF('Girder Bracing Data'!B19&lt;&gt;"",_xlfn.CONCAT("Analysis #",'Girder Bracing Data'!A19, "  -  (",'Girder Bracing Data'!B19,")","  ------------------------------------------------------------------------------------------------------"),"")</f>
        <v/>
      </c>
      <c r="C21" s="153"/>
      <c r="D21" s="153"/>
      <c r="E21" s="153"/>
      <c r="F21" s="153"/>
      <c r="G21" s="153"/>
      <c r="H21" s="153"/>
      <c r="I21" s="153"/>
      <c r="J21" s="153"/>
      <c r="K21" s="109"/>
    </row>
    <row r="22" spans="1:11" ht="19.95" customHeight="1" x14ac:dyDescent="0.3">
      <c r="A22" s="108"/>
      <c r="B22" s="153" t="str">
        <f>IF('Girder Bracing Data'!B20&lt;&gt;"",_xlfn.CONCAT("Analysis #",'Girder Bracing Data'!A20, "  -  (",'Girder Bracing Data'!B20,")","  ------------------------------------------------------------------------------------------------------"),"")</f>
        <v/>
      </c>
      <c r="C22" s="153"/>
      <c r="D22" s="153"/>
      <c r="E22" s="153"/>
      <c r="F22" s="153"/>
      <c r="G22" s="153"/>
      <c r="H22" s="153"/>
      <c r="I22" s="153"/>
      <c r="J22" s="153"/>
      <c r="K22" s="109"/>
    </row>
    <row r="23" spans="1:11" ht="19.95" customHeight="1" x14ac:dyDescent="0.3">
      <c r="A23" s="108"/>
      <c r="B23" s="153" t="str">
        <f>IF('Girder Bracing Data'!B21&lt;&gt;"",_xlfn.CONCAT("Analysis #",'Girder Bracing Data'!A21, "  -  (",'Girder Bracing Data'!B21,")","  ------------------------------------------------------------------------------------------------------"),"")</f>
        <v/>
      </c>
      <c r="C23" s="153"/>
      <c r="D23" s="153"/>
      <c r="E23" s="153"/>
      <c r="F23" s="153"/>
      <c r="G23" s="153"/>
      <c r="H23" s="153"/>
      <c r="I23" s="153"/>
      <c r="J23" s="153"/>
      <c r="K23" s="109"/>
    </row>
    <row r="24" spans="1:11" ht="19.95" customHeight="1" x14ac:dyDescent="0.3">
      <c r="A24" s="108"/>
      <c r="B24" s="153" t="str">
        <f>IF('Girder Bracing Data'!B22&lt;&gt;"",_xlfn.CONCAT("Analysis #",'Girder Bracing Data'!A22, "  -  (",'Girder Bracing Data'!B22,")","  ------------------------------------------------------------------------------------------------------"),"")</f>
        <v/>
      </c>
      <c r="C24" s="153"/>
      <c r="D24" s="153"/>
      <c r="E24" s="153"/>
      <c r="F24" s="153"/>
      <c r="G24" s="153"/>
      <c r="H24" s="153"/>
      <c r="I24" s="153"/>
      <c r="J24" s="153"/>
      <c r="K24" s="109"/>
    </row>
    <row r="25" spans="1:11" ht="19.95" customHeight="1" x14ac:dyDescent="0.3">
      <c r="A25" s="108"/>
      <c r="B25" s="153" t="str">
        <f>IF('Girder Bracing Data'!B23&lt;&gt;"",_xlfn.CONCAT("Analysis #",'Girder Bracing Data'!A23, "  -  (",'Girder Bracing Data'!B23,")","  ------------------------------------------------------------------------------------------------------"),"")</f>
        <v/>
      </c>
      <c r="C25" s="153"/>
      <c r="D25" s="153"/>
      <c r="E25" s="153"/>
      <c r="F25" s="153"/>
      <c r="G25" s="153"/>
      <c r="H25" s="153"/>
      <c r="I25" s="153"/>
      <c r="J25" s="153"/>
      <c r="K25" s="109"/>
    </row>
    <row r="26" spans="1:11" ht="19.95" customHeight="1" x14ac:dyDescent="0.3">
      <c r="A26" s="108"/>
      <c r="B26" s="153" t="str">
        <f>IF('Girder Bracing Data'!B24&lt;&gt;"",_xlfn.CONCAT("Analysis #",'Girder Bracing Data'!A24, "  -  (",'Girder Bracing Data'!B24,")","  ------------------------------------------------------------------------------------------------------"),"")</f>
        <v/>
      </c>
      <c r="C26" s="153"/>
      <c r="D26" s="153"/>
      <c r="E26" s="153"/>
      <c r="F26" s="153"/>
      <c r="G26" s="153"/>
      <c r="H26" s="153"/>
      <c r="I26" s="153"/>
      <c r="J26" s="153"/>
      <c r="K26" s="109"/>
    </row>
    <row r="27" spans="1:11" ht="19.95" customHeight="1" x14ac:dyDescent="0.3">
      <c r="A27" s="108"/>
      <c r="B27" s="153" t="str">
        <f>IF('Girder Bracing Data'!B25&lt;&gt;"",_xlfn.CONCAT("Analysis #",'Girder Bracing Data'!A25, "  -  (",'Girder Bracing Data'!B25,")","  ------------------------------------------------------------------------------------------------------"),"")</f>
        <v/>
      </c>
      <c r="C27" s="153"/>
      <c r="D27" s="153"/>
      <c r="E27" s="153"/>
      <c r="F27" s="153"/>
      <c r="G27" s="153"/>
      <c r="H27" s="153"/>
      <c r="I27" s="153"/>
      <c r="J27" s="153"/>
      <c r="K27" s="109"/>
    </row>
    <row r="28" spans="1:11" ht="19.95" customHeight="1" x14ac:dyDescent="0.3">
      <c r="A28" s="108"/>
      <c r="B28" s="153" t="str">
        <f>IF('Girder Bracing Data'!B26&lt;&gt;"",_xlfn.CONCAT("Analysis #",'Girder Bracing Data'!A26, "  -  (",'Girder Bracing Data'!B26,")","  ------------------------------------------------------------------------------------------------------"),"")</f>
        <v/>
      </c>
      <c r="C28" s="153"/>
      <c r="D28" s="153"/>
      <c r="E28" s="153"/>
      <c r="F28" s="153"/>
      <c r="G28" s="153"/>
      <c r="H28" s="153"/>
      <c r="I28" s="153"/>
      <c r="J28" s="153"/>
      <c r="K28" s="109"/>
    </row>
    <row r="29" spans="1:11" ht="19.95" customHeight="1" x14ac:dyDescent="0.3">
      <c r="A29" s="108"/>
      <c r="B29" s="153" t="str">
        <f>IF('Girder Bracing Data'!B27&lt;&gt;"",_xlfn.CONCAT("Analysis #",'Girder Bracing Data'!A27, "  -  (",'Girder Bracing Data'!B27,")","  ------------------------------------------------------------------------------------------------------"),"")</f>
        <v/>
      </c>
      <c r="C29" s="153"/>
      <c r="D29" s="153"/>
      <c r="E29" s="153"/>
      <c r="F29" s="153"/>
      <c r="G29" s="153"/>
      <c r="H29" s="153"/>
      <c r="I29" s="153"/>
      <c r="J29" s="153"/>
      <c r="K29" s="109"/>
    </row>
    <row r="30" spans="1:11" ht="19.95" customHeight="1" x14ac:dyDescent="0.3">
      <c r="A30" s="108"/>
      <c r="B30" s="153" t="str">
        <f>IF('Girder Bracing Data'!B28&lt;&gt;"",_xlfn.CONCAT("Analysis #",'Girder Bracing Data'!A28, "  -  (",'Girder Bracing Data'!B28,")","  ------------------------------------------------------------------------------------------------------"),"")</f>
        <v/>
      </c>
      <c r="C30" s="153"/>
      <c r="D30" s="153"/>
      <c r="E30" s="153"/>
      <c r="F30" s="153"/>
      <c r="G30" s="153"/>
      <c r="H30" s="153"/>
      <c r="I30" s="153"/>
      <c r="J30" s="153"/>
      <c r="K30" s="109"/>
    </row>
    <row r="31" spans="1:11" ht="19.95" customHeight="1" x14ac:dyDescent="0.3">
      <c r="A31" s="108"/>
      <c r="B31" s="153" t="str">
        <f>IF('Girder Bracing Data'!B29&lt;&gt;"",_xlfn.CONCAT("Analysis #",'Girder Bracing Data'!A29, "  -  (",'Girder Bracing Data'!B29,")","  ------------------------------------------------------------------------------------------------------"),"")</f>
        <v/>
      </c>
      <c r="C31" s="153"/>
      <c r="D31" s="153"/>
      <c r="E31" s="153"/>
      <c r="F31" s="153"/>
      <c r="G31" s="153"/>
      <c r="H31" s="153"/>
      <c r="I31" s="153"/>
      <c r="J31" s="153"/>
      <c r="K31" s="109"/>
    </row>
    <row r="32" spans="1:11" ht="19.95" customHeight="1" x14ac:dyDescent="0.3">
      <c r="A32" s="108"/>
      <c r="B32" s="153" t="str">
        <f>IF('Girder Bracing Data'!B30&lt;&gt;"",_xlfn.CONCAT("Analysis #",'Girder Bracing Data'!A30, "  -  (",'Girder Bracing Data'!B30,")","  ------------------------------------------------------------------------------------------------------"),"")</f>
        <v/>
      </c>
      <c r="C32" s="153"/>
      <c r="D32" s="153"/>
      <c r="E32" s="153"/>
      <c r="F32" s="153"/>
      <c r="G32" s="153"/>
      <c r="H32" s="153"/>
      <c r="I32" s="153"/>
      <c r="J32" s="153"/>
      <c r="K32" s="109"/>
    </row>
    <row r="33" spans="1:11" ht="19.95" customHeight="1" x14ac:dyDescent="0.3">
      <c r="A33" s="108"/>
      <c r="B33" s="153" t="str">
        <f>IF('Girder Bracing Data'!B31&lt;&gt;"",_xlfn.CONCAT("Analysis #",'Girder Bracing Data'!A31, "  -  (",'Girder Bracing Data'!B31,")","  ------------------------------------------------------------------------------------------------------"),"")</f>
        <v/>
      </c>
      <c r="C33" s="153"/>
      <c r="D33" s="153"/>
      <c r="E33" s="153"/>
      <c r="F33" s="153"/>
      <c r="G33" s="153"/>
      <c r="H33" s="153"/>
      <c r="I33" s="153"/>
      <c r="J33" s="153"/>
      <c r="K33" s="109"/>
    </row>
    <row r="34" spans="1:11" ht="19.95" customHeight="1" thickBot="1" x14ac:dyDescent="0.35">
      <c r="A34" s="110"/>
      <c r="B34" s="155" t="str">
        <f>IF('Girder Bracing Data'!B32&lt;&gt;"",_xlfn.CONCAT("Analysis #",'Girder Bracing Data'!A32, "  -  (",'Girder Bracing Data'!B32,")","  ------------------------------------------------------------------------------------------------------"),"")</f>
        <v/>
      </c>
      <c r="C34" s="155"/>
      <c r="D34" s="155"/>
      <c r="E34" s="155"/>
      <c r="F34" s="155"/>
      <c r="G34" s="155"/>
      <c r="H34" s="155"/>
      <c r="I34" s="155"/>
      <c r="J34" s="155"/>
      <c r="K34" s="111"/>
    </row>
    <row r="35" spans="1:11" ht="19.95" customHeight="1" x14ac:dyDescent="0.3">
      <c r="B35" s="105"/>
      <c r="C35" s="154" t="str">
        <f>IF('Girder Bracing Data'!B33&lt;&gt;"",_xlfn.CONCAT("Analysis #",'Girder Bracing Data'!A33, "  -  (",'Girder Bracing Data'!B33,")","  --------------------------------------"),"")</f>
        <v/>
      </c>
      <c r="D35" s="154"/>
      <c r="E35" s="154"/>
      <c r="F35" s="154"/>
      <c r="G35" s="154"/>
      <c r="H35" s="154"/>
      <c r="I35" s="154"/>
      <c r="J35" s="106"/>
      <c r="K35" s="105"/>
    </row>
    <row r="36" spans="1:11" ht="19.95" customHeight="1" x14ac:dyDescent="0.3">
      <c r="B36" s="105"/>
      <c r="C36" s="154" t="str">
        <f>IF('Girder Bracing Data'!B34&lt;&gt;"",_xlfn.CONCAT("Analysis #",'Girder Bracing Data'!A34, "  -  (",'Girder Bracing Data'!B34,")","  --------------------------------------"),"")</f>
        <v/>
      </c>
      <c r="D36" s="154"/>
      <c r="E36" s="154"/>
      <c r="F36" s="154"/>
      <c r="G36" s="154"/>
      <c r="H36" s="154"/>
      <c r="I36" s="154"/>
      <c r="J36" s="106"/>
      <c r="K36" s="105"/>
    </row>
    <row r="37" spans="1:11" ht="19.95" customHeight="1" x14ac:dyDescent="0.3">
      <c r="B37" s="105"/>
      <c r="C37" s="154" t="str">
        <f>IF('Girder Bracing Data'!B35&lt;&gt;"",_xlfn.CONCAT("Analysis #",'Girder Bracing Data'!A35, "  -  (",'Girder Bracing Data'!B35,")","  --------------------------------------"),"")</f>
        <v/>
      </c>
      <c r="D37" s="154"/>
      <c r="E37" s="154"/>
      <c r="F37" s="154"/>
      <c r="G37" s="154"/>
      <c r="H37" s="154"/>
      <c r="I37" s="154"/>
      <c r="J37" s="106"/>
      <c r="K37" s="105"/>
    </row>
    <row r="38" spans="1:11" ht="19.95" customHeight="1" x14ac:dyDescent="0.3">
      <c r="B38" s="105"/>
      <c r="C38" s="154" t="str">
        <f>IF('Girder Bracing Data'!B36&lt;&gt;"",_xlfn.CONCAT("Analysis #",'Girder Bracing Data'!A36, "  -  (",'Girder Bracing Data'!B36,")","  --------------------------------------"),"")</f>
        <v/>
      </c>
      <c r="D38" s="154"/>
      <c r="E38" s="154"/>
      <c r="F38" s="154"/>
      <c r="G38" s="154"/>
      <c r="H38" s="154"/>
      <c r="I38" s="154"/>
      <c r="J38" s="106"/>
      <c r="K38" s="105"/>
    </row>
    <row r="39" spans="1:11" ht="19.95" customHeight="1" x14ac:dyDescent="0.3">
      <c r="B39" s="105"/>
      <c r="C39" s="154" t="str">
        <f>IF('Girder Bracing Data'!B37&lt;&gt;"",_xlfn.CONCAT("Analysis #",'Girder Bracing Data'!A37, "  -  (",'Girder Bracing Data'!B37,")","  --------------------------------------"),"")</f>
        <v/>
      </c>
      <c r="D39" s="154"/>
      <c r="E39" s="154"/>
      <c r="F39" s="154"/>
      <c r="G39" s="154"/>
      <c r="H39" s="154"/>
      <c r="I39" s="154"/>
      <c r="J39" s="106"/>
      <c r="K39" s="105"/>
    </row>
    <row r="40" spans="1:11" ht="19.95" customHeight="1" x14ac:dyDescent="0.3">
      <c r="B40" s="105"/>
      <c r="C40" s="154" t="str">
        <f>IF('Girder Bracing Data'!B38&lt;&gt;"",_xlfn.CONCAT("Analysis #",'Girder Bracing Data'!A38, "  -  (",'Girder Bracing Data'!B38,")","  --------------------------------------"),"")</f>
        <v/>
      </c>
      <c r="D40" s="154"/>
      <c r="E40" s="154"/>
      <c r="F40" s="154"/>
      <c r="G40" s="154"/>
      <c r="H40" s="154"/>
      <c r="I40" s="154"/>
      <c r="J40" s="106"/>
      <c r="K40" s="105"/>
    </row>
    <row r="41" spans="1:11" ht="19.95" customHeight="1" x14ac:dyDescent="0.3">
      <c r="B41" s="105"/>
      <c r="C41" s="154" t="str">
        <f>IF('Girder Bracing Data'!B39&lt;&gt;"",_xlfn.CONCAT("Analysis #",'Girder Bracing Data'!A39, "  -  (",'Girder Bracing Data'!B39,")","  --------------------------------------"),"")</f>
        <v/>
      </c>
      <c r="D41" s="154"/>
      <c r="E41" s="154"/>
      <c r="F41" s="154"/>
      <c r="G41" s="154"/>
      <c r="H41" s="154"/>
      <c r="I41" s="154"/>
      <c r="J41" s="106"/>
      <c r="K41" s="105"/>
    </row>
    <row r="42" spans="1:11" ht="19.95" customHeight="1" x14ac:dyDescent="0.3">
      <c r="B42" s="105"/>
      <c r="C42" s="154" t="str">
        <f>IF('Girder Bracing Data'!B40&lt;&gt;"",_xlfn.CONCAT("Analysis #",'Girder Bracing Data'!A40, "  -  (",'Girder Bracing Data'!B40,")","  --------------------------------------"),"")</f>
        <v/>
      </c>
      <c r="D42" s="154"/>
      <c r="E42" s="154"/>
      <c r="F42" s="154"/>
      <c r="G42" s="154"/>
      <c r="H42" s="154"/>
      <c r="I42" s="154"/>
      <c r="J42" s="106"/>
      <c r="K42" s="105"/>
    </row>
    <row r="43" spans="1:11" ht="19.95" customHeight="1" x14ac:dyDescent="0.3">
      <c r="B43" s="105"/>
      <c r="C43" s="154" t="str">
        <f>IF('Girder Bracing Data'!B41&lt;&gt;"",_xlfn.CONCAT("Analysis #",'Girder Bracing Data'!A41, "  -  (",'Girder Bracing Data'!B41,")","  --------------------------------------"),"")</f>
        <v/>
      </c>
      <c r="D43" s="154"/>
      <c r="E43" s="154"/>
      <c r="F43" s="154"/>
      <c r="G43" s="154"/>
      <c r="H43" s="154"/>
      <c r="I43" s="154"/>
      <c r="J43" s="106"/>
      <c r="K43" s="105"/>
    </row>
    <row r="44" spans="1:11" ht="19.95" customHeight="1" x14ac:dyDescent="0.3">
      <c r="B44" s="105"/>
      <c r="C44" s="154" t="str">
        <f>IF('Girder Bracing Data'!B42&lt;&gt;"",_xlfn.CONCAT("Analysis #",'Girder Bracing Data'!A42, "  -  (",'Girder Bracing Data'!B42,")","  --------------------------------------"),"")</f>
        <v/>
      </c>
      <c r="D44" s="154"/>
      <c r="E44" s="154"/>
      <c r="F44" s="154"/>
      <c r="G44" s="154"/>
      <c r="H44" s="154"/>
      <c r="I44" s="154"/>
      <c r="J44" s="106"/>
      <c r="K44" s="105"/>
    </row>
    <row r="45" spans="1:11" ht="19.95" customHeight="1" x14ac:dyDescent="0.3">
      <c r="B45" s="105"/>
      <c r="C45" s="154" t="str">
        <f>IF('Girder Bracing Data'!B43&lt;&gt;"",_xlfn.CONCAT("Analysis #",'Girder Bracing Data'!A43, "  -  (",'Girder Bracing Data'!B43,")","  --------------------------------------"),"")</f>
        <v/>
      </c>
      <c r="D45" s="154"/>
      <c r="E45" s="154"/>
      <c r="F45" s="154"/>
      <c r="G45" s="154"/>
      <c r="H45" s="154"/>
      <c r="I45" s="154"/>
      <c r="J45" s="106"/>
      <c r="K45" s="105"/>
    </row>
    <row r="46" spans="1:11" ht="19.95" customHeight="1" x14ac:dyDescent="0.3">
      <c r="B46" s="105"/>
      <c r="C46" s="154" t="str">
        <f>IF('Girder Bracing Data'!B44&lt;&gt;"",_xlfn.CONCAT("Analysis #",'Girder Bracing Data'!A44, "  -  (",'Girder Bracing Data'!B44,")","  --------------------------------------"),"")</f>
        <v/>
      </c>
      <c r="D46" s="154"/>
      <c r="E46" s="154"/>
      <c r="F46" s="154"/>
      <c r="G46" s="154"/>
      <c r="H46" s="154"/>
      <c r="I46" s="154"/>
      <c r="J46" s="106"/>
      <c r="K46" s="105"/>
    </row>
    <row r="47" spans="1:11" ht="19.95" customHeight="1" x14ac:dyDescent="0.3">
      <c r="B47" s="105"/>
      <c r="C47" s="154" t="str">
        <f>IF('Girder Bracing Data'!B45&lt;&gt;"",_xlfn.CONCAT("Analysis #",'Girder Bracing Data'!A45, "  -  (",'Girder Bracing Data'!B45,")","  --------------------------------------"),"")</f>
        <v/>
      </c>
      <c r="D47" s="154"/>
      <c r="E47" s="154"/>
      <c r="F47" s="154"/>
      <c r="G47" s="154"/>
      <c r="H47" s="154"/>
      <c r="I47" s="154"/>
      <c r="J47" s="106"/>
      <c r="K47" s="105"/>
    </row>
    <row r="48" spans="1:11" ht="19.95" customHeight="1" x14ac:dyDescent="0.3">
      <c r="C48" s="154" t="str">
        <f>IF('Girder Bracing Data'!B46&lt;&gt;"",_xlfn.CONCAT("Analysis #",'Girder Bracing Data'!A46, "  -  (",'Girder Bracing Data'!B46,")","  --------------------------------------"),"")</f>
        <v/>
      </c>
      <c r="D48" s="154"/>
      <c r="E48" s="154"/>
      <c r="F48" s="154"/>
      <c r="G48" s="154"/>
      <c r="H48" s="154"/>
      <c r="I48" s="154"/>
      <c r="J48" s="106"/>
    </row>
    <row r="49" spans="3:10" ht="19.95" customHeight="1" x14ac:dyDescent="0.3">
      <c r="C49" s="154" t="str">
        <f>IF('Girder Bracing Data'!B47&lt;&gt;"",_xlfn.CONCAT("Analysis #",'Girder Bracing Data'!A47, "  -  (",'Girder Bracing Data'!B47,")","  --------------------------------------"),"")</f>
        <v/>
      </c>
      <c r="D49" s="154"/>
      <c r="E49" s="154"/>
      <c r="F49" s="154"/>
      <c r="G49" s="154"/>
      <c r="H49" s="154"/>
      <c r="I49" s="154"/>
      <c r="J49" s="106"/>
    </row>
    <row r="50" spans="3:10" ht="19.95" customHeight="1" x14ac:dyDescent="0.3">
      <c r="C50" s="154" t="str">
        <f>IF('Girder Bracing Data'!B48&lt;&gt;"",_xlfn.CONCAT("Analysis #",'Girder Bracing Data'!A48, "  -  (",'Girder Bracing Data'!B48,")","  --------------------------------------"),"")</f>
        <v/>
      </c>
      <c r="D50" s="154"/>
      <c r="E50" s="154"/>
      <c r="F50" s="154"/>
      <c r="G50" s="154"/>
      <c r="H50" s="154"/>
      <c r="I50" s="154"/>
      <c r="J50" s="106"/>
    </row>
    <row r="51" spans="3:10" ht="19.95" customHeight="1" x14ac:dyDescent="0.3">
      <c r="C51" s="154" t="str">
        <f>IF('Girder Bracing Data'!B50&lt;&gt;"",_xlfn.CONCAT("Analysis #",'Girder Bracing Data'!A50, "  -  (",'Girder Bracing Data'!B50,")","  --------------------------------------"),"")</f>
        <v/>
      </c>
      <c r="D51" s="154"/>
      <c r="E51" s="154"/>
      <c r="F51" s="154"/>
      <c r="G51" s="154"/>
      <c r="H51" s="154"/>
      <c r="I51" s="154"/>
      <c r="J51" s="106"/>
    </row>
    <row r="52" spans="3:10" ht="19.95" customHeight="1" x14ac:dyDescent="0.3">
      <c r="C52" s="154" t="str">
        <f>IF('Girder Bracing Data'!B51&lt;&gt;"",_xlfn.CONCAT("Analysis #",'Girder Bracing Data'!A51, "  -  (",'Girder Bracing Data'!B51,")","  --------------------------------------"),"")</f>
        <v/>
      </c>
      <c r="D52" s="154"/>
      <c r="E52" s="154"/>
      <c r="F52" s="154"/>
      <c r="G52" s="154"/>
      <c r="H52" s="154"/>
      <c r="I52" s="154"/>
      <c r="J52" s="106"/>
    </row>
    <row r="53" spans="3:10" ht="19.95" customHeight="1" x14ac:dyDescent="0.3">
      <c r="C53" s="154" t="str">
        <f>IF('Girder Bracing Data'!B52&lt;&gt;"",_xlfn.CONCAT("Analysis #",'Girder Bracing Data'!A52, "  -  (",'Girder Bracing Data'!B52,")","  --------------------------------------"),"")</f>
        <v/>
      </c>
      <c r="D53" s="154"/>
      <c r="E53" s="154"/>
      <c r="F53" s="154"/>
      <c r="G53" s="154"/>
      <c r="H53" s="154"/>
      <c r="I53" s="154"/>
      <c r="J53" s="106"/>
    </row>
    <row r="54" spans="3:10" ht="19.95" customHeight="1" x14ac:dyDescent="0.3">
      <c r="C54" s="154" t="str">
        <f>IF('Girder Bracing Data'!B53&lt;&gt;"",_xlfn.CONCAT("Analysis #",'Girder Bracing Data'!A53, "  -  (",'Girder Bracing Data'!B53,")","  --------------------------------------"),"")</f>
        <v/>
      </c>
      <c r="D54" s="154"/>
      <c r="E54" s="154"/>
      <c r="F54" s="154"/>
      <c r="G54" s="154"/>
      <c r="H54" s="154"/>
      <c r="I54" s="154"/>
      <c r="J54" s="106"/>
    </row>
    <row r="55" spans="3:10" ht="19.95" customHeight="1" x14ac:dyDescent="0.3">
      <c r="C55" s="154" t="str">
        <f>IF('Girder Bracing Data'!B54&lt;&gt;"",_xlfn.CONCAT("Analysis #",'Girder Bracing Data'!A54, "  -  (",'Girder Bracing Data'!B54,")","  --------------------------------------"),"")</f>
        <v/>
      </c>
      <c r="D55" s="154"/>
      <c r="E55" s="154"/>
      <c r="F55" s="154"/>
      <c r="G55" s="154"/>
      <c r="H55" s="154"/>
      <c r="I55" s="154"/>
      <c r="J55" s="106"/>
    </row>
    <row r="56" spans="3:10" ht="19.95" customHeight="1" x14ac:dyDescent="0.3">
      <c r="C56" s="154" t="str">
        <f>IF('Girder Bracing Data'!B55&lt;&gt;"",_xlfn.CONCAT("Analysis #",'Girder Bracing Data'!A55, "  -  (",'Girder Bracing Data'!B55,")","  --------------------------------------"),"")</f>
        <v/>
      </c>
      <c r="D56" s="154"/>
      <c r="E56" s="154"/>
      <c r="F56" s="154"/>
      <c r="G56" s="154"/>
      <c r="H56" s="154"/>
      <c r="I56" s="154"/>
      <c r="J56" s="106"/>
    </row>
    <row r="57" spans="3:10" ht="19.95" customHeight="1" x14ac:dyDescent="0.3">
      <c r="C57" s="154" t="str">
        <f>IF('Girder Bracing Data'!B56&lt;&gt;"",_xlfn.CONCAT("Analysis #",'Girder Bracing Data'!A56, "  -  (",'Girder Bracing Data'!B56,")","  --------------------------------------"),"")</f>
        <v/>
      </c>
      <c r="D57" s="154"/>
      <c r="E57" s="154"/>
      <c r="F57" s="154"/>
      <c r="G57" s="154"/>
      <c r="H57" s="154"/>
      <c r="I57" s="154"/>
      <c r="J57" s="106"/>
    </row>
    <row r="58" spans="3:10" ht="19.95" customHeight="1" x14ac:dyDescent="0.3">
      <c r="C58" s="154" t="str">
        <f>IF('Girder Bracing Data'!B57&lt;&gt;"",_xlfn.CONCAT("Analysis #",'Girder Bracing Data'!A57, "  -  (",'Girder Bracing Data'!B57,")","  --------------------------------------"),"")</f>
        <v/>
      </c>
      <c r="D58" s="154"/>
      <c r="E58" s="154"/>
      <c r="F58" s="154"/>
      <c r="G58" s="154"/>
      <c r="H58" s="154"/>
      <c r="I58" s="154"/>
      <c r="J58" s="106"/>
    </row>
    <row r="59" spans="3:10" ht="19.95" customHeight="1" x14ac:dyDescent="0.3">
      <c r="C59" s="154" t="str">
        <f>IF('Girder Bracing Data'!B58&lt;&gt;"",_xlfn.CONCAT("Analysis #",'Girder Bracing Data'!A58, "  -  (",'Girder Bracing Data'!B58,")","  --------------------------------------"),"")</f>
        <v/>
      </c>
      <c r="D59" s="154"/>
      <c r="E59" s="154"/>
      <c r="F59" s="154"/>
      <c r="G59" s="154"/>
      <c r="H59" s="154"/>
      <c r="I59" s="154"/>
      <c r="J59" s="106"/>
    </row>
    <row r="60" spans="3:10" ht="19.95" customHeight="1" x14ac:dyDescent="0.3">
      <c r="C60" s="154" t="str">
        <f>IF('Girder Bracing Data'!B59&lt;&gt;"",_xlfn.CONCAT("Analysis #",'Girder Bracing Data'!A59, "  -  (",'Girder Bracing Data'!B59,")","  --------------------------------------"),"")</f>
        <v/>
      </c>
      <c r="D60" s="154"/>
      <c r="E60" s="154"/>
      <c r="F60" s="154"/>
      <c r="G60" s="154"/>
      <c r="H60" s="154"/>
      <c r="I60" s="154"/>
      <c r="J60" s="106"/>
    </row>
    <row r="61" spans="3:10" ht="19.95" customHeight="1" x14ac:dyDescent="0.3">
      <c r="C61" s="154" t="str">
        <f>IF('Girder Bracing Data'!B60&lt;&gt;"",_xlfn.CONCAT("Analysis #",'Girder Bracing Data'!A60, "  -  (",'Girder Bracing Data'!B60,")","  --------------------------------------"),"")</f>
        <v/>
      </c>
      <c r="D61" s="154"/>
      <c r="E61" s="154"/>
      <c r="F61" s="154"/>
      <c r="G61" s="154"/>
      <c r="H61" s="154"/>
      <c r="I61" s="154"/>
      <c r="J61" s="106"/>
    </row>
    <row r="62" spans="3:10" ht="19.95" customHeight="1" x14ac:dyDescent="0.3">
      <c r="C62" s="154" t="str">
        <f>IF('Girder Bracing Data'!B61&lt;&gt;"",_xlfn.CONCAT("Analysis #",'Girder Bracing Data'!A61, "  -  (",'Girder Bracing Data'!B61,")","  --------------------------------------"),"")</f>
        <v/>
      </c>
      <c r="D62" s="154"/>
      <c r="E62" s="154"/>
      <c r="F62" s="154"/>
      <c r="G62" s="154"/>
      <c r="H62" s="154"/>
      <c r="I62" s="154"/>
      <c r="J62" s="106"/>
    </row>
    <row r="63" spans="3:10" ht="19.95" customHeight="1" x14ac:dyDescent="0.3">
      <c r="C63" s="154" t="str">
        <f>IF('Girder Bracing Data'!B62&lt;&gt;"",_xlfn.CONCAT("Analysis #",'Girder Bracing Data'!A62, "  -  (",'Girder Bracing Data'!B62,")","  --------------------------------------"),"")</f>
        <v/>
      </c>
      <c r="D63" s="154"/>
      <c r="E63" s="154"/>
      <c r="F63" s="154"/>
      <c r="G63" s="154"/>
      <c r="H63" s="154"/>
      <c r="I63" s="154"/>
      <c r="J63" s="106"/>
    </row>
    <row r="64" spans="3:10" ht="19.95" customHeight="1" x14ac:dyDescent="0.3">
      <c r="C64" s="154" t="str">
        <f>IF('Girder Bracing Data'!B63&lt;&gt;"",_xlfn.CONCAT("Analysis #",'Girder Bracing Data'!A63, "  -  (",'Girder Bracing Data'!B63,")","  --------------------------------------"),"")</f>
        <v/>
      </c>
      <c r="D64" s="154"/>
      <c r="E64" s="154"/>
      <c r="F64" s="154"/>
      <c r="G64" s="154"/>
      <c r="H64" s="154"/>
      <c r="I64" s="154"/>
      <c r="J64" s="106"/>
    </row>
    <row r="65" spans="3:10" ht="19.95" customHeight="1" x14ac:dyDescent="0.3">
      <c r="C65" s="154" t="str">
        <f>IF('Girder Bracing Data'!B64&lt;&gt;"",_xlfn.CONCAT("Analysis #",'Girder Bracing Data'!A64, "  -  (",'Girder Bracing Data'!B64,")","  --------------------------------------"),"")</f>
        <v/>
      </c>
      <c r="D65" s="154"/>
      <c r="E65" s="154"/>
      <c r="F65" s="154"/>
      <c r="G65" s="154"/>
      <c r="H65" s="154"/>
      <c r="I65" s="154"/>
      <c r="J65" s="106"/>
    </row>
    <row r="66" spans="3:10" ht="19.95" customHeight="1" x14ac:dyDescent="0.3">
      <c r="C66" s="154" t="str">
        <f>IF('Girder Bracing Data'!B65&lt;&gt;"",_xlfn.CONCAT("Analysis #",'Girder Bracing Data'!A65, "  -  (",'Girder Bracing Data'!B65,")","  --------------------------------------"),"")</f>
        <v/>
      </c>
      <c r="D66" s="154"/>
      <c r="E66" s="154"/>
      <c r="F66" s="154"/>
      <c r="G66" s="154"/>
      <c r="H66" s="154"/>
      <c r="I66" s="154"/>
      <c r="J66" s="106"/>
    </row>
    <row r="67" spans="3:10" ht="19.95" customHeight="1" x14ac:dyDescent="0.3">
      <c r="C67" s="154" t="str">
        <f>IF('Girder Bracing Data'!B66&lt;&gt;"",_xlfn.CONCAT("Analysis #",'Girder Bracing Data'!A66, "  -  (",'Girder Bracing Data'!B66,")","  --------------------------------------"),"")</f>
        <v/>
      </c>
      <c r="D67" s="154"/>
      <c r="E67" s="154"/>
      <c r="F67" s="154"/>
      <c r="G67" s="154"/>
      <c r="H67" s="154"/>
      <c r="I67" s="154"/>
      <c r="J67" s="106"/>
    </row>
    <row r="68" spans="3:10" ht="19.95" customHeight="1" x14ac:dyDescent="0.3">
      <c r="C68" s="154" t="str">
        <f>IF('Girder Bracing Data'!B67&lt;&gt;"",_xlfn.CONCAT("Analysis #",'Girder Bracing Data'!A67, "  -  (",'Girder Bracing Data'!B67,")","  --------------------------------------"),"")</f>
        <v/>
      </c>
      <c r="D68" s="154"/>
      <c r="E68" s="154"/>
      <c r="F68" s="154"/>
      <c r="G68" s="154"/>
      <c r="H68" s="154"/>
      <c r="I68" s="154"/>
      <c r="J68" s="106"/>
    </row>
    <row r="69" spans="3:10" ht="19.95" customHeight="1" x14ac:dyDescent="0.3">
      <c r="C69" s="105" t="str">
        <f>IF('Girder Bracing Data'!B68&lt;&gt;"",_xlfn.CONCAT("Analysis #",'Girder Bracing Data'!A68, "  -  (",'Girder Bracing Data'!B68,")","  ------------------"),"")</f>
        <v/>
      </c>
      <c r="D69" s="105"/>
      <c r="E69" s="105"/>
      <c r="F69" s="105"/>
      <c r="G69" s="105"/>
      <c r="H69" s="105"/>
      <c r="J69" s="106"/>
    </row>
    <row r="70" spans="3:10" ht="19.95" customHeight="1" x14ac:dyDescent="0.3">
      <c r="C70" s="105" t="str">
        <f>IF('Girder Bracing Data'!B69&lt;&gt;"",_xlfn.CONCAT("Analysis #",'Girder Bracing Data'!A69, " (",'Girder Bracing Data'!B69,")","  ------------------"),"")</f>
        <v/>
      </c>
      <c r="D70" s="105"/>
      <c r="E70" s="105"/>
      <c r="F70" s="105"/>
      <c r="G70" s="105"/>
      <c r="H70" s="105"/>
      <c r="J70" s="106"/>
    </row>
    <row r="71" spans="3:10" ht="19.95" customHeight="1" x14ac:dyDescent="0.3">
      <c r="C71" s="105" t="str">
        <f>IF('Girder Bracing Data'!B70&lt;&gt;"",_xlfn.CONCAT("Analysis #",'Girder Bracing Data'!A70, " (",'Girder Bracing Data'!B70,")","  ------------------"),"")</f>
        <v/>
      </c>
      <c r="D71" s="105"/>
      <c r="E71" s="105"/>
      <c r="F71" s="105"/>
      <c r="G71" s="105"/>
      <c r="H71" s="105"/>
      <c r="J71" s="106"/>
    </row>
    <row r="72" spans="3:10" ht="19.95" customHeight="1" x14ac:dyDescent="0.3">
      <c r="C72" s="105" t="str">
        <f>IF('Girder Bracing Data'!B71&lt;&gt;"",_xlfn.CONCAT("Analysis #",'Girder Bracing Data'!A71, " (",'Girder Bracing Data'!B71,")","  ------------------"),"")</f>
        <v/>
      </c>
      <c r="D72" s="105"/>
      <c r="E72" s="105"/>
      <c r="F72" s="105"/>
      <c r="G72" s="105"/>
      <c r="H72" s="105"/>
      <c r="J72" s="106"/>
    </row>
    <row r="73" spans="3:10" ht="19.95" customHeight="1" x14ac:dyDescent="0.3">
      <c r="C73" s="105" t="str">
        <f>IF('Girder Bracing Data'!B72&lt;&gt;"",_xlfn.CONCAT("Analysis #",'Girder Bracing Data'!A72, " (",'Girder Bracing Data'!B72,")","  ------------------"),"")</f>
        <v/>
      </c>
      <c r="D73" s="105"/>
      <c r="E73" s="105"/>
      <c r="F73" s="105"/>
      <c r="G73" s="105"/>
      <c r="H73" s="105"/>
      <c r="J73" s="106"/>
    </row>
    <row r="74" spans="3:10" ht="19.95" customHeight="1" x14ac:dyDescent="0.3">
      <c r="C74" s="105" t="str">
        <f>IF('Girder Bracing Data'!B73&lt;&gt;"",_xlfn.CONCAT("Analysis #",'Girder Bracing Data'!A73, " (",'Girder Bracing Data'!B73,")","  ------------------"),"")</f>
        <v/>
      </c>
      <c r="D74" s="105"/>
      <c r="E74" s="105"/>
      <c r="F74" s="105"/>
      <c r="G74" s="105"/>
      <c r="H74" s="105"/>
      <c r="J74" s="106"/>
    </row>
    <row r="75" spans="3:10" ht="19.95" customHeight="1" x14ac:dyDescent="0.3">
      <c r="C75" s="105" t="str">
        <f>IF('Girder Bracing Data'!B74&lt;&gt;"",_xlfn.CONCAT("Analysis #",'Girder Bracing Data'!A74, " (",'Girder Bracing Data'!B74,")","  ------------------"),"")</f>
        <v/>
      </c>
      <c r="D75" s="105"/>
      <c r="E75" s="105"/>
      <c r="F75" s="105"/>
      <c r="G75" s="105"/>
      <c r="H75" s="105"/>
      <c r="J75" s="106"/>
    </row>
    <row r="76" spans="3:10" ht="19.95" customHeight="1" x14ac:dyDescent="0.3">
      <c r="C76" s="105" t="str">
        <f>IF('Girder Bracing Data'!B75&lt;&gt;"",_xlfn.CONCAT("Analysis #",'Girder Bracing Data'!A75, " (",'Girder Bracing Data'!B75,")","  ------------------"),"")</f>
        <v/>
      </c>
      <c r="D76" s="105"/>
      <c r="E76" s="105"/>
      <c r="F76" s="105"/>
      <c r="G76" s="105"/>
      <c r="H76" s="105"/>
      <c r="J76" s="106"/>
    </row>
    <row r="77" spans="3:10" ht="19.95" customHeight="1" x14ac:dyDescent="0.3">
      <c r="C77" s="105" t="str">
        <f>IF('Girder Bracing Data'!B76&lt;&gt;"",_xlfn.CONCAT("Analysis #",'Girder Bracing Data'!A76, " (",'Girder Bracing Data'!B76,")","  ------------------"),"")</f>
        <v/>
      </c>
      <c r="D77" s="105"/>
      <c r="E77" s="105"/>
      <c r="F77" s="105"/>
      <c r="G77" s="105"/>
      <c r="H77" s="105"/>
      <c r="J77" s="106"/>
    </row>
    <row r="78" spans="3:10" ht="19.95" customHeight="1" x14ac:dyDescent="0.3">
      <c r="C78" s="105" t="str">
        <f>IF('Girder Bracing Data'!B77&lt;&gt;"",_xlfn.CONCAT("Analysis #",'Girder Bracing Data'!A77, " (",'Girder Bracing Data'!B77,")","  ------------------"),"")</f>
        <v/>
      </c>
      <c r="D78" s="105"/>
      <c r="E78" s="105"/>
      <c r="F78" s="105"/>
      <c r="G78" s="105"/>
      <c r="H78" s="105"/>
      <c r="J78" s="106"/>
    </row>
    <row r="79" spans="3:10" ht="19.95" customHeight="1" x14ac:dyDescent="0.3">
      <c r="C79" s="105" t="str">
        <f>IF('Girder Bracing Data'!B78&lt;&gt;"",_xlfn.CONCAT("Analysis #",'Girder Bracing Data'!A78, " (",'Girder Bracing Data'!B78,")","  ------------------"),"")</f>
        <v/>
      </c>
      <c r="D79" s="105"/>
      <c r="E79" s="105"/>
      <c r="F79" s="105"/>
      <c r="G79" s="105"/>
      <c r="H79" s="105"/>
      <c r="J79" s="106"/>
    </row>
    <row r="80" spans="3:10" ht="19.95" customHeight="1" x14ac:dyDescent="0.3">
      <c r="C80" s="105" t="str">
        <f>IF('Girder Bracing Data'!B79&lt;&gt;"",_xlfn.CONCAT("Analysis #",'Girder Bracing Data'!A79, " (",'Girder Bracing Data'!B79,")","  ------------------"),"")</f>
        <v/>
      </c>
      <c r="D80" s="105"/>
      <c r="E80" s="105"/>
      <c r="F80" s="105"/>
      <c r="G80" s="105"/>
      <c r="H80" s="105"/>
      <c r="J80" s="106"/>
    </row>
    <row r="81" spans="3:10" ht="19.95" customHeight="1" x14ac:dyDescent="0.3">
      <c r="C81" s="105" t="str">
        <f>IF('Girder Bracing Data'!B80&lt;&gt;"",_xlfn.CONCAT("Analysis #",'Girder Bracing Data'!A80, " (",'Girder Bracing Data'!B80,")","  ------------------"),"")</f>
        <v/>
      </c>
      <c r="D81" s="105"/>
      <c r="E81" s="105"/>
      <c r="F81" s="105"/>
      <c r="G81" s="105"/>
      <c r="H81" s="105"/>
      <c r="J81" s="106"/>
    </row>
    <row r="82" spans="3:10" ht="19.95" customHeight="1" x14ac:dyDescent="0.3">
      <c r="C82" s="105" t="str">
        <f>IF('Girder Bracing Data'!B81&lt;&gt;"",_xlfn.CONCAT("Analysis #",'Girder Bracing Data'!A81, " (",'Girder Bracing Data'!B81,")","  ------------------"),"")</f>
        <v/>
      </c>
      <c r="D82" s="105"/>
      <c r="E82" s="105"/>
      <c r="F82" s="105"/>
      <c r="G82" s="105"/>
      <c r="H82" s="105"/>
      <c r="J82" s="106"/>
    </row>
    <row r="83" spans="3:10" ht="19.95" customHeight="1" x14ac:dyDescent="0.3">
      <c r="C83" s="105" t="str">
        <f>IF('Girder Bracing Data'!B82&lt;&gt;"",_xlfn.CONCAT("Analysis #",'Girder Bracing Data'!A82, " (",'Girder Bracing Data'!B82,")","  ------------------"),"")</f>
        <v/>
      </c>
      <c r="D83" s="105"/>
      <c r="E83" s="105"/>
      <c r="F83" s="105"/>
      <c r="G83" s="105"/>
      <c r="H83" s="105"/>
      <c r="J83" s="106"/>
    </row>
    <row r="84" spans="3:10" ht="19.95" customHeight="1" x14ac:dyDescent="0.3">
      <c r="C84" s="105" t="str">
        <f>IF('Girder Bracing Data'!B83&lt;&gt;"",_xlfn.CONCAT("Analysis #",'Girder Bracing Data'!A83, " (",'Girder Bracing Data'!B83,")","  ------------------"),"")</f>
        <v/>
      </c>
      <c r="D84" s="105"/>
      <c r="E84" s="105"/>
      <c r="F84" s="105"/>
      <c r="G84" s="105"/>
      <c r="H84" s="105"/>
      <c r="J84" s="106"/>
    </row>
    <row r="85" spans="3:10" ht="19.95" customHeight="1" x14ac:dyDescent="0.3">
      <c r="C85" s="105" t="str">
        <f>IF('Girder Bracing Data'!B84&lt;&gt;"",_xlfn.CONCAT("Analysis #",'Girder Bracing Data'!A84, " (",'Girder Bracing Data'!B84,")","  ------------------"),"")</f>
        <v/>
      </c>
      <c r="D85" s="105"/>
      <c r="E85" s="105"/>
      <c r="F85" s="105"/>
      <c r="G85" s="105"/>
      <c r="H85" s="105"/>
      <c r="J85" s="106"/>
    </row>
    <row r="86" spans="3:10" ht="19.95" customHeight="1" x14ac:dyDescent="0.3">
      <c r="C86" s="105" t="str">
        <f>IF('Girder Bracing Data'!B85&lt;&gt;"",_xlfn.CONCAT("Analysis #",'Girder Bracing Data'!A85, " (",'Girder Bracing Data'!B85,")","  ------------------"),"")</f>
        <v/>
      </c>
      <c r="D86" s="105"/>
      <c r="E86" s="105"/>
      <c r="F86" s="105"/>
      <c r="G86" s="105"/>
      <c r="H86" s="105"/>
      <c r="J86" s="106"/>
    </row>
    <row r="87" spans="3:10" ht="19.95" customHeight="1" x14ac:dyDescent="0.3">
      <c r="C87" s="105" t="str">
        <f>IF('Girder Bracing Data'!B86&lt;&gt;"",_xlfn.CONCAT("Analysis #",'Girder Bracing Data'!A86, " (",'Girder Bracing Data'!B86,")","  ------------------"),"")</f>
        <v/>
      </c>
      <c r="D87" s="105"/>
      <c r="E87" s="105"/>
      <c r="F87" s="105"/>
      <c r="G87" s="105"/>
      <c r="H87" s="105"/>
      <c r="J87" s="106"/>
    </row>
    <row r="88" spans="3:10" ht="19.95" customHeight="1" x14ac:dyDescent="0.3">
      <c r="C88" s="105" t="str">
        <f>IF('Girder Bracing Data'!B87&lt;&gt;"",_xlfn.CONCAT("Analysis #",'Girder Bracing Data'!A87, " (",'Girder Bracing Data'!B87,")","  ------------------"),"")</f>
        <v/>
      </c>
      <c r="D88" s="105"/>
      <c r="E88" s="105"/>
      <c r="F88" s="105"/>
      <c r="G88" s="105"/>
      <c r="H88" s="105"/>
      <c r="I88" s="106"/>
    </row>
    <row r="89" spans="3:10" x14ac:dyDescent="0.3">
      <c r="C89" s="105" t="str">
        <f>IF('Girder Bracing Data'!B88&lt;&gt;"",_xlfn.CONCAT("Analysis #",'Girder Bracing Data'!A88, " (",'Girder Bracing Data'!B88,")","  ------------------"),"")</f>
        <v/>
      </c>
      <c r="D89" s="105"/>
      <c r="E89" s="105"/>
      <c r="F89" s="105"/>
      <c r="G89" s="105"/>
      <c r="H89" s="105"/>
      <c r="I89" s="106"/>
    </row>
    <row r="90" spans="3:10" x14ac:dyDescent="0.3">
      <c r="C90" s="105" t="str">
        <f>IF('Girder Bracing Data'!B89&lt;&gt;"",_xlfn.CONCAT("Analysis #",'Girder Bracing Data'!A89, " (",'Girder Bracing Data'!B89,")","  ------------------"),"")</f>
        <v/>
      </c>
      <c r="D90" s="105"/>
      <c r="E90" s="105"/>
      <c r="F90" s="105"/>
      <c r="G90" s="105"/>
      <c r="H90" s="105"/>
      <c r="I90" s="106"/>
    </row>
    <row r="91" spans="3:10" x14ac:dyDescent="0.3">
      <c r="C91" s="105" t="str">
        <f>IF('Girder Bracing Data'!B90&lt;&gt;"",_xlfn.CONCAT("Analysis #",'Girder Bracing Data'!A90, " (",'Girder Bracing Data'!B90,")","  ------------------"),"")</f>
        <v/>
      </c>
      <c r="D91" s="105"/>
      <c r="E91" s="105"/>
      <c r="F91" s="105"/>
      <c r="G91" s="105"/>
      <c r="H91" s="105"/>
      <c r="I91" s="106"/>
    </row>
    <row r="92" spans="3:10" x14ac:dyDescent="0.3">
      <c r="C92" s="105" t="str">
        <f>IF('Girder Bracing Data'!B91&lt;&gt;"",_xlfn.CONCAT("Analysis #",'Girder Bracing Data'!A91, " (",'Girder Bracing Data'!B91,")","  ------------------"),"")</f>
        <v/>
      </c>
      <c r="D92" s="105"/>
      <c r="E92" s="105"/>
      <c r="F92" s="105"/>
      <c r="G92" s="105"/>
      <c r="H92" s="105"/>
      <c r="I92" s="106"/>
    </row>
    <row r="93" spans="3:10" x14ac:dyDescent="0.3">
      <c r="I93" s="106"/>
    </row>
    <row r="94" spans="3:10" x14ac:dyDescent="0.3">
      <c r="I94" s="106"/>
    </row>
    <row r="95" spans="3:10" x14ac:dyDescent="0.3">
      <c r="I95" s="106"/>
    </row>
    <row r="96" spans="3:10" x14ac:dyDescent="0.3">
      <c r="I96" s="106"/>
    </row>
    <row r="97" spans="9:9" x14ac:dyDescent="0.3">
      <c r="I97" s="106"/>
    </row>
    <row r="98" spans="9:9" x14ac:dyDescent="0.3">
      <c r="I98" s="106"/>
    </row>
    <row r="99" spans="9:9" x14ac:dyDescent="0.3">
      <c r="I99" s="106"/>
    </row>
    <row r="100" spans="9:9" x14ac:dyDescent="0.3">
      <c r="I100" s="106"/>
    </row>
    <row r="101" spans="9:9" x14ac:dyDescent="0.3">
      <c r="I101" s="106"/>
    </row>
    <row r="102" spans="9:9" x14ac:dyDescent="0.3">
      <c r="I102" s="106"/>
    </row>
    <row r="103" spans="9:9" x14ac:dyDescent="0.3">
      <c r="I103" s="106"/>
    </row>
    <row r="104" spans="9:9" x14ac:dyDescent="0.3">
      <c r="I104" s="106"/>
    </row>
    <row r="105" spans="9:9" x14ac:dyDescent="0.3">
      <c r="I105" s="106"/>
    </row>
    <row r="106" spans="9:9" x14ac:dyDescent="0.3">
      <c r="I106" s="106"/>
    </row>
    <row r="107" spans="9:9" x14ac:dyDescent="0.3">
      <c r="I107" s="106"/>
    </row>
    <row r="108" spans="9:9" x14ac:dyDescent="0.3">
      <c r="I108" s="106"/>
    </row>
    <row r="109" spans="9:9" x14ac:dyDescent="0.3">
      <c r="I109" s="106"/>
    </row>
    <row r="110" spans="9:9" x14ac:dyDescent="0.3">
      <c r="I110" s="106"/>
    </row>
    <row r="111" spans="9:9" x14ac:dyDescent="0.3">
      <c r="I111" s="106"/>
    </row>
    <row r="112" spans="9:9" x14ac:dyDescent="0.3">
      <c r="I112" s="106"/>
    </row>
    <row r="113" spans="9:9" x14ac:dyDescent="0.3">
      <c r="I113" s="106"/>
    </row>
    <row r="114" spans="9:9" x14ac:dyDescent="0.3">
      <c r="I114" s="106"/>
    </row>
    <row r="115" spans="9:9" x14ac:dyDescent="0.3">
      <c r="I115" s="106"/>
    </row>
    <row r="116" spans="9:9" x14ac:dyDescent="0.3">
      <c r="I116" s="106"/>
    </row>
    <row r="117" spans="9:9" x14ac:dyDescent="0.3">
      <c r="I117" s="106"/>
    </row>
    <row r="118" spans="9:9" x14ac:dyDescent="0.3">
      <c r="I118" s="106"/>
    </row>
    <row r="119" spans="9:9" x14ac:dyDescent="0.3">
      <c r="I119" s="106"/>
    </row>
    <row r="120" spans="9:9" x14ac:dyDescent="0.3">
      <c r="I120" s="106"/>
    </row>
    <row r="121" spans="9:9" x14ac:dyDescent="0.3">
      <c r="I121" s="106"/>
    </row>
    <row r="122" spans="9:9" x14ac:dyDescent="0.3">
      <c r="I122" s="106"/>
    </row>
    <row r="123" spans="9:9" x14ac:dyDescent="0.3">
      <c r="I123" s="106"/>
    </row>
    <row r="124" spans="9:9" x14ac:dyDescent="0.3">
      <c r="I124" s="106"/>
    </row>
    <row r="125" spans="9:9" x14ac:dyDescent="0.3">
      <c r="I125" s="106"/>
    </row>
    <row r="126" spans="9:9" x14ac:dyDescent="0.3">
      <c r="I126" s="106"/>
    </row>
    <row r="127" spans="9:9" x14ac:dyDescent="0.3">
      <c r="I127" s="106"/>
    </row>
    <row r="128" spans="9:9" x14ac:dyDescent="0.3">
      <c r="I128" s="106"/>
    </row>
    <row r="129" spans="9:9" x14ac:dyDescent="0.3">
      <c r="I129" s="106"/>
    </row>
    <row r="130" spans="9:9" x14ac:dyDescent="0.3">
      <c r="I130" s="106"/>
    </row>
    <row r="131" spans="9:9" x14ac:dyDescent="0.3">
      <c r="I131" s="106"/>
    </row>
    <row r="132" spans="9:9" x14ac:dyDescent="0.3">
      <c r="I132" s="106"/>
    </row>
    <row r="133" spans="9:9" x14ac:dyDescent="0.3">
      <c r="I133" s="106"/>
    </row>
    <row r="134" spans="9:9" x14ac:dyDescent="0.3">
      <c r="I134" s="106"/>
    </row>
    <row r="135" spans="9:9" x14ac:dyDescent="0.3">
      <c r="I135" s="106"/>
    </row>
    <row r="136" spans="9:9" x14ac:dyDescent="0.3">
      <c r="I136" s="106"/>
    </row>
    <row r="137" spans="9:9" x14ac:dyDescent="0.3">
      <c r="I137" s="106"/>
    </row>
    <row r="138" spans="9:9" x14ac:dyDescent="0.3">
      <c r="I138" s="106"/>
    </row>
    <row r="139" spans="9:9" x14ac:dyDescent="0.3">
      <c r="I139" s="106"/>
    </row>
    <row r="140" spans="9:9" x14ac:dyDescent="0.3">
      <c r="I140" s="106"/>
    </row>
    <row r="141" spans="9:9" x14ac:dyDescent="0.3">
      <c r="I141" s="106"/>
    </row>
    <row r="142" spans="9:9" x14ac:dyDescent="0.3">
      <c r="I142" s="106"/>
    </row>
    <row r="143" spans="9:9" x14ac:dyDescent="0.3">
      <c r="I143" s="106"/>
    </row>
    <row r="144" spans="9:9" x14ac:dyDescent="0.3">
      <c r="I144" s="106"/>
    </row>
    <row r="145" spans="9:9" x14ac:dyDescent="0.3">
      <c r="I145" s="106"/>
    </row>
    <row r="146" spans="9:9" x14ac:dyDescent="0.3">
      <c r="I146" s="106"/>
    </row>
    <row r="147" spans="9:9" x14ac:dyDescent="0.3">
      <c r="I147" s="106"/>
    </row>
    <row r="148" spans="9:9" x14ac:dyDescent="0.3">
      <c r="I148" s="106"/>
    </row>
    <row r="149" spans="9:9" x14ac:dyDescent="0.3">
      <c r="I149" s="106"/>
    </row>
    <row r="150" spans="9:9" x14ac:dyDescent="0.3">
      <c r="I150" s="106"/>
    </row>
    <row r="151" spans="9:9" x14ac:dyDescent="0.3">
      <c r="I151" s="106"/>
    </row>
    <row r="152" spans="9:9" x14ac:dyDescent="0.3">
      <c r="I152" s="106"/>
    </row>
    <row r="153" spans="9:9" x14ac:dyDescent="0.3">
      <c r="I153" s="106"/>
    </row>
    <row r="154" spans="9:9" x14ac:dyDescent="0.3">
      <c r="I154" s="106"/>
    </row>
    <row r="155" spans="9:9" x14ac:dyDescent="0.3">
      <c r="I155" s="106"/>
    </row>
    <row r="156" spans="9:9" x14ac:dyDescent="0.3">
      <c r="I156" s="106"/>
    </row>
    <row r="157" spans="9:9" x14ac:dyDescent="0.3">
      <c r="I157" s="106"/>
    </row>
  </sheetData>
  <mergeCells count="66">
    <mergeCell ref="B2:K2"/>
    <mergeCell ref="C47:I47"/>
    <mergeCell ref="C48:I48"/>
    <mergeCell ref="C35:I35"/>
    <mergeCell ref="C36:I36"/>
    <mergeCell ref="C43:I43"/>
    <mergeCell ref="C44:I44"/>
    <mergeCell ref="C45:I45"/>
    <mergeCell ref="C46:I46"/>
    <mergeCell ref="C42:I42"/>
    <mergeCell ref="C41:I41"/>
    <mergeCell ref="B29:J29"/>
    <mergeCell ref="B9:J9"/>
    <mergeCell ref="B10:J10"/>
    <mergeCell ref="B11:J11"/>
    <mergeCell ref="B12:J12"/>
    <mergeCell ref="C67:I67"/>
    <mergeCell ref="C68:I68"/>
    <mergeCell ref="C55:I55"/>
    <mergeCell ref="C56:I56"/>
    <mergeCell ref="C57:I57"/>
    <mergeCell ref="C58:I58"/>
    <mergeCell ref="C59:I59"/>
    <mergeCell ref="C60:I60"/>
    <mergeCell ref="C66:I66"/>
    <mergeCell ref="C65:I65"/>
    <mergeCell ref="B13:J13"/>
    <mergeCell ref="C37:I37"/>
    <mergeCell ref="C38:I38"/>
    <mergeCell ref="C39:I39"/>
    <mergeCell ref="C40:I40"/>
    <mergeCell ref="B30:J30"/>
    <mergeCell ref="B31:J31"/>
    <mergeCell ref="B32:J32"/>
    <mergeCell ref="B33:J33"/>
    <mergeCell ref="B34:J34"/>
    <mergeCell ref="B14:J14"/>
    <mergeCell ref="B15:J15"/>
    <mergeCell ref="B16:J16"/>
    <mergeCell ref="B17:J17"/>
    <mergeCell ref="B18:J18"/>
    <mergeCell ref="B19:J19"/>
    <mergeCell ref="C49:I49"/>
    <mergeCell ref="C50:I50"/>
    <mergeCell ref="C51:I51"/>
    <mergeCell ref="C52:I52"/>
    <mergeCell ref="C53:I53"/>
    <mergeCell ref="C54:I54"/>
    <mergeCell ref="C61:I61"/>
    <mergeCell ref="C62:I62"/>
    <mergeCell ref="C63:I63"/>
    <mergeCell ref="C64:I64"/>
    <mergeCell ref="B4:J4"/>
    <mergeCell ref="B5:J5"/>
    <mergeCell ref="B6:J6"/>
    <mergeCell ref="B7:J7"/>
    <mergeCell ref="B8:J8"/>
    <mergeCell ref="B25:J25"/>
    <mergeCell ref="B26:J26"/>
    <mergeCell ref="B27:J27"/>
    <mergeCell ref="B28:J28"/>
    <mergeCell ref="B20:J20"/>
    <mergeCell ref="B21:J21"/>
    <mergeCell ref="B22:J22"/>
    <mergeCell ref="B23:J23"/>
    <mergeCell ref="B24:J24"/>
  </mergeCells>
  <pageMargins left="0.7" right="0.7" top="0.75" bottom="0.75" header="0.3" footer="0.3"/>
  <pageSetup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rintIndex">
                <anchor moveWithCells="1" sizeWithCells="1">
                  <from>
                    <xdr:col>11</xdr:col>
                    <xdr:colOff>381000</xdr:colOff>
                    <xdr:row>2</xdr:row>
                    <xdr:rowOff>38100</xdr:rowOff>
                  </from>
                  <to>
                    <xdr:col>14</xdr:col>
                    <xdr:colOff>327660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2CAF3-3DED-44CC-AF79-040BB5AD5E6B}">
  <sheetPr codeName="Sheet5"/>
  <dimension ref="A1:S1416"/>
  <sheetViews>
    <sheetView zoomScale="85" zoomScaleNormal="85" workbookViewId="0">
      <selection activeCell="A191" sqref="A191:K204"/>
    </sheetView>
  </sheetViews>
  <sheetFormatPr defaultColWidth="12.6640625" defaultRowHeight="14.4" x14ac:dyDescent="0.3"/>
  <cols>
    <col min="12" max="19" width="12.6640625" style="34"/>
  </cols>
  <sheetData>
    <row r="1" spans="1:19" x14ac:dyDescent="0.3">
      <c r="M1" s="35" t="s">
        <v>48</v>
      </c>
      <c r="N1" s="158" t="s">
        <v>49</v>
      </c>
      <c r="O1" s="158"/>
      <c r="P1" s="158"/>
      <c r="Q1" s="158"/>
      <c r="R1" s="158"/>
      <c r="S1" s="158"/>
    </row>
    <row r="3" spans="1:19" x14ac:dyDescent="0.3">
      <c r="A3" t="s">
        <v>201</v>
      </c>
      <c r="L3" s="34" t="str">
        <f>RIGHT(A3,5)</f>
        <v>l.csv</v>
      </c>
    </row>
    <row r="4" spans="1:19" x14ac:dyDescent="0.3">
      <c r="A4">
        <v>1</v>
      </c>
      <c r="B4">
        <v>7.3430173327165603E-3</v>
      </c>
      <c r="C4">
        <v>0</v>
      </c>
      <c r="D4">
        <v>9.4063306381739597E-5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 s="34" t="str">
        <f>L3</f>
        <v>l.csv</v>
      </c>
      <c r="M4" s="34" t="str">
        <f>IF(AND(L4="s.csv",A4=1),ABS(1000/12/D4),"")</f>
        <v/>
      </c>
    </row>
    <row r="5" spans="1:19" x14ac:dyDescent="0.3">
      <c r="A5">
        <v>2</v>
      </c>
      <c r="B5">
        <v>4.9387592215992997E-3</v>
      </c>
      <c r="C5">
        <v>-2.4791746589337801E-7</v>
      </c>
      <c r="D5">
        <v>9.4063306381739705E-5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 s="34" t="str">
        <f t="shared" ref="L5:L17" si="0">L4</f>
        <v>l.csv</v>
      </c>
      <c r="M5" s="34" t="str">
        <f t="shared" ref="M5:M68" si="1">IF(AND(L5="s.csv",A5=1),ABS(1000/12/D5),"")</f>
        <v/>
      </c>
    </row>
    <row r="6" spans="1:19" x14ac:dyDescent="0.3">
      <c r="A6">
        <v>3</v>
      </c>
      <c r="B6">
        <v>3.6743817885404899E-3</v>
      </c>
      <c r="C6">
        <v>-2.0796943632485201E-7</v>
      </c>
      <c r="D6">
        <v>9.4100145020268902E-5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 s="34" t="str">
        <f t="shared" si="0"/>
        <v>l.csv</v>
      </c>
      <c r="M6" s="34" t="str">
        <f t="shared" si="1"/>
        <v/>
      </c>
    </row>
    <row r="7" spans="1:19" x14ac:dyDescent="0.3">
      <c r="A7">
        <v>4</v>
      </c>
      <c r="B7">
        <v>1.2228015955884799E-3</v>
      </c>
      <c r="C7">
        <v>-1.30570129035834E-7</v>
      </c>
      <c r="D7">
        <v>9.4169123374064897E-5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 s="34" t="str">
        <f t="shared" si="0"/>
        <v>l.csv</v>
      </c>
      <c r="M7" s="34" t="str">
        <f t="shared" si="1"/>
        <v/>
      </c>
    </row>
    <row r="8" spans="1:19" x14ac:dyDescent="0.3">
      <c r="A8">
        <v>5</v>
      </c>
      <c r="B8">
        <v>2.3697566606043399E-6</v>
      </c>
      <c r="C8">
        <v>-1.30570129035834E-7</v>
      </c>
      <c r="D8">
        <v>9.4169123374065005E-5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34" t="str">
        <f t="shared" si="0"/>
        <v>l.csv</v>
      </c>
      <c r="M8" s="34" t="str">
        <f t="shared" si="1"/>
        <v/>
      </c>
    </row>
    <row r="9" spans="1:19" x14ac:dyDescent="0.3">
      <c r="A9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34" t="str">
        <f t="shared" si="0"/>
        <v>l.csv</v>
      </c>
      <c r="M9" s="34" t="str">
        <f t="shared" si="1"/>
        <v/>
      </c>
    </row>
    <row r="10" spans="1:19" x14ac:dyDescent="0.3">
      <c r="A10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34" t="str">
        <f t="shared" si="0"/>
        <v>l.csv</v>
      </c>
      <c r="M10" s="34" t="str">
        <f t="shared" si="1"/>
        <v/>
      </c>
    </row>
    <row r="11" spans="1:19" x14ac:dyDescent="0.3">
      <c r="A11">
        <v>0</v>
      </c>
      <c r="B11">
        <v>0</v>
      </c>
      <c r="C11">
        <v>0</v>
      </c>
      <c r="D11">
        <v>0</v>
      </c>
      <c r="E11">
        <v>1</v>
      </c>
      <c r="F11">
        <v>2.8125538146544802</v>
      </c>
      <c r="G11">
        <v>3.6379788070917101E-12</v>
      </c>
      <c r="H11">
        <v>2.3283064365386901E-10</v>
      </c>
      <c r="I11">
        <v>-2.8125538146544802</v>
      </c>
      <c r="J11">
        <v>-3.6379788070917101E-12</v>
      </c>
      <c r="K11">
        <v>4.65661287307739E-10</v>
      </c>
      <c r="L11" s="34" t="str">
        <f t="shared" si="0"/>
        <v>l.csv</v>
      </c>
      <c r="M11" s="34" t="str">
        <f t="shared" si="1"/>
        <v/>
      </c>
      <c r="N11" s="34" t="str">
        <f>IF(AND(OR($L11="l.csv",$L11="g.csv"),$E11&gt;4),F11,"")</f>
        <v/>
      </c>
      <c r="O11" s="34" t="str">
        <f t="shared" ref="O11:S11" si="2">IF(AND(OR($L11="l.csv",$L11="g.csv"),$E11&gt;4),G11,"")</f>
        <v/>
      </c>
      <c r="P11" s="34" t="str">
        <f t="shared" si="2"/>
        <v/>
      </c>
      <c r="Q11" s="34" t="str">
        <f t="shared" si="2"/>
        <v/>
      </c>
      <c r="R11" s="34" t="str">
        <f t="shared" si="2"/>
        <v/>
      </c>
      <c r="S11" s="34" t="str">
        <f t="shared" si="2"/>
        <v/>
      </c>
    </row>
    <row r="12" spans="1:19" x14ac:dyDescent="0.3">
      <c r="A12">
        <v>0</v>
      </c>
      <c r="B12">
        <v>0</v>
      </c>
      <c r="C12">
        <v>0</v>
      </c>
      <c r="D12">
        <v>0</v>
      </c>
      <c r="E12">
        <v>2</v>
      </c>
      <c r="F12">
        <v>-0.86188765491182295</v>
      </c>
      <c r="G12">
        <v>11.6052218920958</v>
      </c>
      <c r="H12">
        <v>-1.5009631285211</v>
      </c>
      <c r="I12">
        <v>0.86188765491182295</v>
      </c>
      <c r="J12">
        <v>-11.6052218920958</v>
      </c>
      <c r="K12">
        <v>157.47514535789301</v>
      </c>
      <c r="L12" s="34" t="str">
        <f t="shared" si="0"/>
        <v>l.csv</v>
      </c>
      <c r="M12" s="34" t="str">
        <f t="shared" si="1"/>
        <v/>
      </c>
      <c r="N12" s="34" t="str">
        <f t="shared" ref="N12:N75" si="3">IF(AND(OR($L12="l.csv",$L12="g.csv"),$E12&gt;4),F12,"")</f>
        <v/>
      </c>
      <c r="O12" s="34" t="str">
        <f t="shared" ref="O12:O75" si="4">IF(AND(OR($L12="l.csv",$L12="g.csv"),$E12&gt;4),G12,"")</f>
        <v/>
      </c>
      <c r="P12" s="34" t="str">
        <f t="shared" ref="P12:P75" si="5">IF(AND(OR($L12="l.csv",$L12="g.csv"),$E12&gt;4),H12,"")</f>
        <v/>
      </c>
      <c r="Q12" s="34" t="str">
        <f t="shared" ref="Q12:Q75" si="6">IF(AND(OR($L12="l.csv",$L12="g.csv"),$E12&gt;4),I12,"")</f>
        <v/>
      </c>
      <c r="R12" s="34" t="str">
        <f t="shared" ref="R12:R75" si="7">IF(AND(OR($L12="l.csv",$L12="g.csv"),$E12&gt;4),J12,"")</f>
        <v/>
      </c>
      <c r="S12" s="34" t="str">
        <f t="shared" ref="S12:S75" si="8">IF(AND(OR($L12="l.csv",$L12="g.csv"),$E12&gt;4),K12,"")</f>
        <v/>
      </c>
    </row>
    <row r="13" spans="1:19" x14ac:dyDescent="0.3">
      <c r="A13">
        <v>0</v>
      </c>
      <c r="B13">
        <v>0</v>
      </c>
      <c r="C13">
        <v>0</v>
      </c>
      <c r="D13">
        <v>0</v>
      </c>
      <c r="E13">
        <v>3</v>
      </c>
      <c r="F13">
        <v>-0.86188765491182195</v>
      </c>
      <c r="G13">
        <v>-6.1947781077069504</v>
      </c>
      <c r="H13">
        <v>-157.475145359756</v>
      </c>
      <c r="I13">
        <v>0.86188765491182195</v>
      </c>
      <c r="J13">
        <v>6.1947781077069504</v>
      </c>
      <c r="K13">
        <v>-3.8368765646591698</v>
      </c>
      <c r="L13" s="34" t="str">
        <f t="shared" si="0"/>
        <v>l.csv</v>
      </c>
      <c r="M13" s="34" t="str">
        <f t="shared" si="1"/>
        <v/>
      </c>
      <c r="N13" s="34" t="str">
        <f t="shared" si="3"/>
        <v/>
      </c>
      <c r="O13" s="34" t="str">
        <f t="shared" si="4"/>
        <v/>
      </c>
      <c r="P13" s="34" t="str">
        <f t="shared" si="5"/>
        <v/>
      </c>
      <c r="Q13" s="34" t="str">
        <f t="shared" si="6"/>
        <v/>
      </c>
      <c r="R13" s="34" t="str">
        <f t="shared" si="7"/>
        <v/>
      </c>
      <c r="S13" s="34" t="str">
        <f t="shared" si="8"/>
        <v/>
      </c>
    </row>
    <row r="14" spans="1:19" x14ac:dyDescent="0.3">
      <c r="A14">
        <v>0</v>
      </c>
      <c r="B14">
        <v>0</v>
      </c>
      <c r="C14">
        <v>0</v>
      </c>
      <c r="D14">
        <v>0</v>
      </c>
      <c r="E14">
        <v>4</v>
      </c>
      <c r="F14">
        <v>1.7763568394002501E-15</v>
      </c>
      <c r="G14">
        <v>-8.7311491370201098E-11</v>
      </c>
      <c r="H14">
        <v>-6.9849193096160796E-10</v>
      </c>
      <c r="I14">
        <v>-1.7763568394002501E-15</v>
      </c>
      <c r="J14">
        <v>8.7311491370201098E-11</v>
      </c>
      <c r="K14">
        <v>-4.65661287307739E-10</v>
      </c>
      <c r="L14" s="34" t="str">
        <f t="shared" si="0"/>
        <v>l.csv</v>
      </c>
      <c r="M14" s="34" t="str">
        <f t="shared" si="1"/>
        <v/>
      </c>
      <c r="N14" s="34" t="str">
        <f t="shared" si="3"/>
        <v/>
      </c>
      <c r="O14" s="34" t="str">
        <f t="shared" si="4"/>
        <v/>
      </c>
      <c r="P14" s="34" t="str">
        <f t="shared" si="5"/>
        <v/>
      </c>
      <c r="Q14" s="34" t="str">
        <f t="shared" si="6"/>
        <v/>
      </c>
      <c r="R14" s="34" t="str">
        <f t="shared" si="7"/>
        <v/>
      </c>
      <c r="S14" s="34" t="str">
        <f t="shared" si="8"/>
        <v/>
      </c>
    </row>
    <row r="15" spans="1:19" x14ac:dyDescent="0.3">
      <c r="A15">
        <v>0</v>
      </c>
      <c r="B15">
        <v>0</v>
      </c>
      <c r="C15">
        <v>0</v>
      </c>
      <c r="D15">
        <v>0</v>
      </c>
      <c r="E15">
        <v>5</v>
      </c>
      <c r="F15">
        <v>3.31341550669217</v>
      </c>
      <c r="G15">
        <v>2.3016269624281001E-2</v>
      </c>
      <c r="H15">
        <v>1.92202259339107</v>
      </c>
      <c r="I15">
        <v>-3.31341550669217</v>
      </c>
      <c r="J15">
        <v>-2.3016269624281001E-2</v>
      </c>
      <c r="K15">
        <v>0.96099533974637497</v>
      </c>
      <c r="L15" s="34" t="str">
        <f t="shared" si="0"/>
        <v>l.csv</v>
      </c>
      <c r="M15" s="34" t="str">
        <f t="shared" si="1"/>
        <v/>
      </c>
      <c r="N15" s="34">
        <f t="shared" si="3"/>
        <v>3.31341550669217</v>
      </c>
      <c r="O15" s="34">
        <f t="shared" si="4"/>
        <v>2.3016269624281001E-2</v>
      </c>
      <c r="P15" s="34">
        <f t="shared" si="5"/>
        <v>1.92202259339107</v>
      </c>
      <c r="Q15" s="34">
        <f t="shared" si="6"/>
        <v>-3.31341550669217</v>
      </c>
      <c r="R15" s="34">
        <f t="shared" si="7"/>
        <v>-2.3016269624281001E-2</v>
      </c>
      <c r="S15" s="34">
        <f t="shared" si="8"/>
        <v>0.96099533974637497</v>
      </c>
    </row>
    <row r="16" spans="1:19" x14ac:dyDescent="0.3">
      <c r="A16">
        <v>0</v>
      </c>
      <c r="B16">
        <v>0</v>
      </c>
      <c r="C16">
        <v>0</v>
      </c>
      <c r="D16">
        <v>0</v>
      </c>
      <c r="E16">
        <v>6</v>
      </c>
      <c r="F16">
        <v>3.0141024198627</v>
      </c>
      <c r="G16">
        <v>2.2181003393599599E-2</v>
      </c>
      <c r="H16">
        <v>1.91485397151712</v>
      </c>
      <c r="I16">
        <v>-3.0141024198627</v>
      </c>
      <c r="J16">
        <v>-2.2181003393599599E-2</v>
      </c>
      <c r="K16">
        <v>0.99827593016619198</v>
      </c>
      <c r="L16" s="34" t="str">
        <f t="shared" si="0"/>
        <v>l.csv</v>
      </c>
      <c r="M16" s="34" t="str">
        <f t="shared" si="1"/>
        <v/>
      </c>
      <c r="N16" s="34">
        <f t="shared" si="3"/>
        <v>3.0141024198627</v>
      </c>
      <c r="O16" s="34">
        <f t="shared" si="4"/>
        <v>2.2181003393599599E-2</v>
      </c>
      <c r="P16" s="34">
        <f t="shared" si="5"/>
        <v>1.91485397151712</v>
      </c>
      <c r="Q16" s="34">
        <f t="shared" si="6"/>
        <v>-3.0141024198627</v>
      </c>
      <c r="R16" s="34">
        <f t="shared" si="7"/>
        <v>-2.2181003393599599E-2</v>
      </c>
      <c r="S16" s="34">
        <f t="shared" si="8"/>
        <v>0.99827593016619198</v>
      </c>
    </row>
    <row r="17" spans="1:19" x14ac:dyDescent="0.3">
      <c r="A17">
        <v>0</v>
      </c>
      <c r="B17">
        <v>0</v>
      </c>
      <c r="C17">
        <v>0</v>
      </c>
      <c r="D17">
        <v>0</v>
      </c>
      <c r="E17">
        <v>7</v>
      </c>
      <c r="F17">
        <v>12.173021109087401</v>
      </c>
      <c r="G17">
        <v>1.5885992958397599E-2</v>
      </c>
      <c r="H17">
        <v>1.5009631267490999</v>
      </c>
      <c r="I17">
        <v>-12.173021109087401</v>
      </c>
      <c r="J17">
        <v>-1.5885992958397599E-2</v>
      </c>
      <c r="K17">
        <v>0.58541503585424404</v>
      </c>
      <c r="L17" s="34" t="str">
        <f t="shared" si="0"/>
        <v>l.csv</v>
      </c>
      <c r="M17" s="34" t="str">
        <f t="shared" si="1"/>
        <v/>
      </c>
      <c r="N17" s="34">
        <f t="shared" si="3"/>
        <v>12.173021109087401</v>
      </c>
      <c r="O17" s="34">
        <f t="shared" si="4"/>
        <v>1.5885992958397599E-2</v>
      </c>
      <c r="P17" s="34">
        <f t="shared" si="5"/>
        <v>1.5009631267490999</v>
      </c>
      <c r="Q17" s="34">
        <f t="shared" si="6"/>
        <v>-12.173021109087401</v>
      </c>
      <c r="R17" s="34">
        <f t="shared" si="7"/>
        <v>-1.5885992958397599E-2</v>
      </c>
      <c r="S17" s="34">
        <f t="shared" si="8"/>
        <v>0.58541503585424404</v>
      </c>
    </row>
    <row r="18" spans="1:19" x14ac:dyDescent="0.3">
      <c r="M18" s="34" t="str">
        <f t="shared" si="1"/>
        <v/>
      </c>
      <c r="N18" s="34" t="str">
        <f t="shared" si="3"/>
        <v/>
      </c>
      <c r="O18" s="34" t="str">
        <f t="shared" si="4"/>
        <v/>
      </c>
      <c r="P18" s="34" t="str">
        <f t="shared" si="5"/>
        <v/>
      </c>
      <c r="Q18" s="34" t="str">
        <f t="shared" si="6"/>
        <v/>
      </c>
      <c r="R18" s="34" t="str">
        <f t="shared" si="7"/>
        <v/>
      </c>
      <c r="S18" s="34" t="str">
        <f t="shared" si="8"/>
        <v/>
      </c>
    </row>
    <row r="19" spans="1:19" x14ac:dyDescent="0.3">
      <c r="M19" s="34" t="str">
        <f t="shared" si="1"/>
        <v/>
      </c>
      <c r="N19" s="34" t="str">
        <f t="shared" si="3"/>
        <v/>
      </c>
      <c r="O19" s="34" t="str">
        <f t="shared" si="4"/>
        <v/>
      </c>
      <c r="P19" s="34" t="str">
        <f t="shared" si="5"/>
        <v/>
      </c>
      <c r="Q19" s="34" t="str">
        <f t="shared" si="6"/>
        <v/>
      </c>
      <c r="R19" s="34" t="str">
        <f t="shared" si="7"/>
        <v/>
      </c>
      <c r="S19" s="34" t="str">
        <f t="shared" si="8"/>
        <v/>
      </c>
    </row>
    <row r="20" spans="1:19" x14ac:dyDescent="0.3">
      <c r="A20" t="s">
        <v>202</v>
      </c>
      <c r="L20" s="34" t="str">
        <f t="shared" ref="L20" si="9">RIGHT(A20,5)</f>
        <v>g.csv</v>
      </c>
      <c r="M20" s="34" t="str">
        <f t="shared" si="1"/>
        <v/>
      </c>
      <c r="N20" s="34" t="str">
        <f t="shared" si="3"/>
        <v/>
      </c>
      <c r="O20" s="34" t="str">
        <f t="shared" si="4"/>
        <v/>
      </c>
      <c r="P20" s="34" t="str">
        <f t="shared" si="5"/>
        <v/>
      </c>
      <c r="Q20" s="34" t="str">
        <f t="shared" si="6"/>
        <v/>
      </c>
      <c r="R20" s="34" t="str">
        <f t="shared" si="7"/>
        <v/>
      </c>
      <c r="S20" s="34" t="str">
        <f t="shared" si="8"/>
        <v/>
      </c>
    </row>
    <row r="21" spans="1:19" x14ac:dyDescent="0.3">
      <c r="A21">
        <v>1</v>
      </c>
      <c r="B21">
        <v>2.4326341437566401E-2</v>
      </c>
      <c r="C21">
        <v>0</v>
      </c>
      <c r="D21">
        <v>4.63075812758637E-4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34" t="str">
        <f t="shared" ref="L21:L84" si="10">L20</f>
        <v>g.csv</v>
      </c>
      <c r="M21" s="34" t="str">
        <f t="shared" si="1"/>
        <v/>
      </c>
      <c r="N21" s="34" t="str">
        <f t="shared" si="3"/>
        <v/>
      </c>
      <c r="O21" s="34" t="str">
        <f t="shared" si="4"/>
        <v/>
      </c>
      <c r="P21" s="34" t="str">
        <f t="shared" si="5"/>
        <v/>
      </c>
      <c r="Q21" s="34" t="str">
        <f t="shared" si="6"/>
        <v/>
      </c>
      <c r="R21" s="34" t="str">
        <f t="shared" si="7"/>
        <v/>
      </c>
      <c r="S21" s="34" t="str">
        <f t="shared" si="8"/>
        <v/>
      </c>
    </row>
    <row r="22" spans="1:19" x14ac:dyDescent="0.3">
      <c r="A22">
        <v>2</v>
      </c>
      <c r="B22">
        <v>1.24901236634556E-2</v>
      </c>
      <c r="C22">
        <v>-1.2204294832319499E-6</v>
      </c>
      <c r="D22">
        <v>4.63075812758637E-4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34" t="str">
        <f t="shared" si="10"/>
        <v>g.csv</v>
      </c>
      <c r="M22" s="34" t="str">
        <f t="shared" si="1"/>
        <v/>
      </c>
      <c r="N22" s="34" t="str">
        <f t="shared" si="3"/>
        <v/>
      </c>
      <c r="O22" s="34" t="str">
        <f t="shared" si="4"/>
        <v/>
      </c>
      <c r="P22" s="34" t="str">
        <f t="shared" si="5"/>
        <v/>
      </c>
      <c r="Q22" s="34" t="str">
        <f t="shared" si="6"/>
        <v/>
      </c>
      <c r="R22" s="34" t="str">
        <f t="shared" si="7"/>
        <v/>
      </c>
      <c r="S22" s="34" t="str">
        <f t="shared" si="8"/>
        <v/>
      </c>
    </row>
    <row r="23" spans="1:19" x14ac:dyDescent="0.3">
      <c r="A23">
        <v>3</v>
      </c>
      <c r="B23">
        <v>6.2659499845080097E-3</v>
      </c>
      <c r="C23">
        <v>-1.42924095445335E-6</v>
      </c>
      <c r="D23">
        <v>4.6317096100212E-4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34" t="str">
        <f t="shared" si="10"/>
        <v>g.csv</v>
      </c>
      <c r="M23" s="34" t="str">
        <f t="shared" si="1"/>
        <v/>
      </c>
      <c r="N23" s="34" t="str">
        <f t="shared" si="3"/>
        <v/>
      </c>
      <c r="O23" s="34" t="str">
        <f t="shared" si="4"/>
        <v/>
      </c>
      <c r="P23" s="34" t="str">
        <f t="shared" si="5"/>
        <v/>
      </c>
      <c r="Q23" s="34" t="str">
        <f t="shared" si="6"/>
        <v/>
      </c>
      <c r="R23" s="34" t="str">
        <f t="shared" si="7"/>
        <v/>
      </c>
      <c r="S23" s="34" t="str">
        <f t="shared" si="8"/>
        <v/>
      </c>
    </row>
    <row r="24" spans="1:19" x14ac:dyDescent="0.3">
      <c r="A24">
        <v>4</v>
      </c>
      <c r="B24">
        <v>-5.8027034627694297E-3</v>
      </c>
      <c r="C24">
        <v>-1.83381317994481E-6</v>
      </c>
      <c r="D24">
        <v>4.63875263178913E-4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 s="34" t="str">
        <f t="shared" si="10"/>
        <v>g.csv</v>
      </c>
      <c r="M24" s="34" t="str">
        <f t="shared" si="1"/>
        <v/>
      </c>
      <c r="N24" s="34" t="str">
        <f t="shared" si="3"/>
        <v/>
      </c>
      <c r="O24" s="34" t="str">
        <f t="shared" si="4"/>
        <v/>
      </c>
      <c r="P24" s="34" t="str">
        <f t="shared" si="5"/>
        <v/>
      </c>
      <c r="Q24" s="34" t="str">
        <f t="shared" si="6"/>
        <v/>
      </c>
      <c r="R24" s="34" t="str">
        <f t="shared" si="7"/>
        <v/>
      </c>
      <c r="S24" s="34" t="str">
        <f t="shared" si="8"/>
        <v/>
      </c>
    </row>
    <row r="25" spans="1:19" x14ac:dyDescent="0.3">
      <c r="A25">
        <v>5</v>
      </c>
      <c r="B25">
        <v>-1.18179567687056E-2</v>
      </c>
      <c r="C25">
        <v>-1.83381317994481E-6</v>
      </c>
      <c r="D25">
        <v>4.6440456798407998E-4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 s="34" t="str">
        <f t="shared" si="10"/>
        <v>g.csv</v>
      </c>
      <c r="M25" s="34" t="str">
        <f t="shared" si="1"/>
        <v/>
      </c>
      <c r="N25" s="34" t="str">
        <f t="shared" si="3"/>
        <v/>
      </c>
      <c r="O25" s="34" t="str">
        <f t="shared" si="4"/>
        <v/>
      </c>
      <c r="P25" s="34" t="str">
        <f t="shared" si="5"/>
        <v/>
      </c>
      <c r="Q25" s="34" t="str">
        <f t="shared" si="6"/>
        <v/>
      </c>
      <c r="R25" s="34" t="str">
        <f t="shared" si="7"/>
        <v/>
      </c>
      <c r="S25" s="34" t="str">
        <f t="shared" si="8"/>
        <v/>
      </c>
    </row>
    <row r="26" spans="1:19" x14ac:dyDescent="0.3">
      <c r="A26">
        <v>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 s="34" t="str">
        <f t="shared" si="10"/>
        <v>g.csv</v>
      </c>
      <c r="M26" s="34" t="str">
        <f t="shared" si="1"/>
        <v/>
      </c>
      <c r="N26" s="34" t="str">
        <f t="shared" si="3"/>
        <v/>
      </c>
      <c r="O26" s="34" t="str">
        <f t="shared" si="4"/>
        <v/>
      </c>
      <c r="P26" s="34" t="str">
        <f t="shared" si="5"/>
        <v/>
      </c>
      <c r="Q26" s="34" t="str">
        <f t="shared" si="6"/>
        <v/>
      </c>
      <c r="R26" s="34" t="str">
        <f t="shared" si="7"/>
        <v/>
      </c>
      <c r="S26" s="34" t="str">
        <f t="shared" si="8"/>
        <v/>
      </c>
    </row>
    <row r="27" spans="1:19" x14ac:dyDescent="0.3">
      <c r="A27">
        <v>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 s="34" t="str">
        <f t="shared" si="10"/>
        <v>g.csv</v>
      </c>
      <c r="M27" s="34" t="str">
        <f t="shared" si="1"/>
        <v/>
      </c>
      <c r="N27" s="34" t="str">
        <f t="shared" si="3"/>
        <v/>
      </c>
      <c r="O27" s="34" t="str">
        <f t="shared" si="4"/>
        <v/>
      </c>
      <c r="P27" s="34" t="str">
        <f t="shared" si="5"/>
        <v/>
      </c>
      <c r="Q27" s="34" t="str">
        <f t="shared" si="6"/>
        <v/>
      </c>
      <c r="R27" s="34" t="str">
        <f t="shared" si="7"/>
        <v/>
      </c>
      <c r="S27" s="34" t="str">
        <f t="shared" si="8"/>
        <v/>
      </c>
    </row>
    <row r="28" spans="1:19" x14ac:dyDescent="0.3">
      <c r="A28">
        <v>0</v>
      </c>
      <c r="B28">
        <v>0</v>
      </c>
      <c r="C28">
        <v>0</v>
      </c>
      <c r="D28">
        <v>0</v>
      </c>
      <c r="E28">
        <v>1</v>
      </c>
      <c r="F28">
        <v>13.8454287043135</v>
      </c>
      <c r="G28">
        <v>0</v>
      </c>
      <c r="H28">
        <v>2.3283064365386901E-10</v>
      </c>
      <c r="I28">
        <v>-13.8454287043135</v>
      </c>
      <c r="J28">
        <v>0</v>
      </c>
      <c r="K28">
        <v>9.31322574615478E-10</v>
      </c>
      <c r="L28" s="34" t="str">
        <f t="shared" si="10"/>
        <v>g.csv</v>
      </c>
      <c r="M28" s="34" t="str">
        <f t="shared" si="1"/>
        <v/>
      </c>
      <c r="N28" s="34" t="str">
        <f t="shared" si="3"/>
        <v/>
      </c>
      <c r="O28" s="34" t="str">
        <f t="shared" si="4"/>
        <v/>
      </c>
      <c r="P28" s="34" t="str">
        <f t="shared" si="5"/>
        <v/>
      </c>
      <c r="Q28" s="34" t="str">
        <f t="shared" si="6"/>
        <v/>
      </c>
      <c r="R28" s="34" t="str">
        <f t="shared" si="7"/>
        <v/>
      </c>
      <c r="S28" s="34" t="str">
        <f t="shared" si="8"/>
        <v/>
      </c>
    </row>
    <row r="29" spans="1:19" x14ac:dyDescent="0.3">
      <c r="A29">
        <v>0</v>
      </c>
      <c r="B29">
        <v>0</v>
      </c>
      <c r="C29">
        <v>0</v>
      </c>
      <c r="D29">
        <v>0</v>
      </c>
      <c r="E29">
        <v>2</v>
      </c>
      <c r="F29">
        <v>4.5051541013050604</v>
      </c>
      <c r="G29">
        <v>29.334120286861399</v>
      </c>
      <c r="H29">
        <v>-8.1794960231054503</v>
      </c>
      <c r="I29">
        <v>-4.5051541013050604</v>
      </c>
      <c r="J29">
        <v>-29.334120286861399</v>
      </c>
      <c r="K29">
        <v>402.43007267964998</v>
      </c>
      <c r="L29" s="34" t="str">
        <f t="shared" si="10"/>
        <v>g.csv</v>
      </c>
      <c r="M29" s="34" t="str">
        <f t="shared" si="1"/>
        <v/>
      </c>
      <c r="N29" s="34" t="str">
        <f t="shared" si="3"/>
        <v/>
      </c>
      <c r="O29" s="34" t="str">
        <f t="shared" si="4"/>
        <v/>
      </c>
      <c r="P29" s="34" t="str">
        <f t="shared" si="5"/>
        <v/>
      </c>
      <c r="Q29" s="34" t="str">
        <f t="shared" si="6"/>
        <v/>
      </c>
      <c r="R29" s="34" t="str">
        <f t="shared" si="7"/>
        <v/>
      </c>
      <c r="S29" s="34" t="str">
        <f t="shared" si="8"/>
        <v/>
      </c>
    </row>
    <row r="30" spans="1:19" x14ac:dyDescent="0.3">
      <c r="A30">
        <v>0</v>
      </c>
      <c r="B30">
        <v>0</v>
      </c>
      <c r="C30">
        <v>0</v>
      </c>
      <c r="D30">
        <v>0</v>
      </c>
      <c r="E30">
        <v>3</v>
      </c>
      <c r="F30">
        <v>4.5051541013050702</v>
      </c>
      <c r="G30">
        <v>29.3341202873853</v>
      </c>
      <c r="H30">
        <v>-402.43007268512099</v>
      </c>
      <c r="I30">
        <v>-4.5051541013050702</v>
      </c>
      <c r="J30">
        <v>-29.3341202873853</v>
      </c>
      <c r="K30">
        <v>1166.2905649689401</v>
      </c>
      <c r="L30" s="34" t="str">
        <f t="shared" si="10"/>
        <v>g.csv</v>
      </c>
      <c r="M30" s="34" t="str">
        <f t="shared" si="1"/>
        <v/>
      </c>
      <c r="N30" s="34" t="str">
        <f t="shared" si="3"/>
        <v/>
      </c>
      <c r="O30" s="34" t="str">
        <f t="shared" si="4"/>
        <v/>
      </c>
      <c r="P30" s="34" t="str">
        <f t="shared" si="5"/>
        <v/>
      </c>
      <c r="Q30" s="34" t="str">
        <f t="shared" si="6"/>
        <v/>
      </c>
      <c r="R30" s="34" t="str">
        <f t="shared" si="7"/>
        <v/>
      </c>
      <c r="S30" s="34" t="str">
        <f t="shared" si="8"/>
        <v/>
      </c>
    </row>
    <row r="31" spans="1:19" x14ac:dyDescent="0.3">
      <c r="A31">
        <v>0</v>
      </c>
      <c r="B31">
        <v>0</v>
      </c>
      <c r="C31">
        <v>0</v>
      </c>
      <c r="D31">
        <v>0</v>
      </c>
      <c r="E31">
        <v>4</v>
      </c>
      <c r="F31">
        <v>7.1054273576010003E-15</v>
      </c>
      <c r="G31">
        <v>-5.8207660913467397E-10</v>
      </c>
      <c r="H31">
        <v>-1184.4000000045601</v>
      </c>
      <c r="I31">
        <v>-7.1054273576010003E-15</v>
      </c>
      <c r="J31">
        <v>5.8207660913467397E-10</v>
      </c>
      <c r="K31">
        <v>1184.39999999478</v>
      </c>
      <c r="L31" s="34" t="str">
        <f t="shared" si="10"/>
        <v>g.csv</v>
      </c>
      <c r="M31" s="34" t="str">
        <f t="shared" si="1"/>
        <v/>
      </c>
      <c r="N31" s="34" t="str">
        <f t="shared" si="3"/>
        <v/>
      </c>
      <c r="O31" s="34" t="str">
        <f t="shared" si="4"/>
        <v/>
      </c>
      <c r="P31" s="34" t="str">
        <f t="shared" si="5"/>
        <v/>
      </c>
      <c r="Q31" s="34" t="str">
        <f t="shared" si="6"/>
        <v/>
      </c>
      <c r="R31" s="34" t="str">
        <f t="shared" si="7"/>
        <v/>
      </c>
      <c r="S31" s="34" t="str">
        <f t="shared" si="8"/>
        <v/>
      </c>
    </row>
    <row r="32" spans="1:19" x14ac:dyDescent="0.3">
      <c r="A32">
        <v>0</v>
      </c>
      <c r="B32">
        <v>0</v>
      </c>
      <c r="C32">
        <v>0</v>
      </c>
      <c r="D32">
        <v>0</v>
      </c>
      <c r="E32">
        <v>5</v>
      </c>
      <c r="F32">
        <v>-15.7235382286392</v>
      </c>
      <c r="G32">
        <v>0.11337304826122301</v>
      </c>
      <c r="H32">
        <v>9.4675547567600393</v>
      </c>
      <c r="I32">
        <v>15.7235382286392</v>
      </c>
      <c r="J32">
        <v>-0.11337304826122301</v>
      </c>
      <c r="K32">
        <v>4.7335532684407902</v>
      </c>
      <c r="L32" s="34" t="str">
        <f t="shared" si="10"/>
        <v>g.csv</v>
      </c>
      <c r="M32" s="34" t="str">
        <f t="shared" si="1"/>
        <v/>
      </c>
      <c r="N32" s="34">
        <f t="shared" si="3"/>
        <v>-15.7235382286392</v>
      </c>
      <c r="O32" s="34">
        <f t="shared" si="4"/>
        <v>0.11337304826122301</v>
      </c>
      <c r="P32" s="34">
        <f t="shared" si="5"/>
        <v>9.4675547567600393</v>
      </c>
      <c r="Q32" s="34">
        <f t="shared" si="6"/>
        <v>15.7235382286392</v>
      </c>
      <c r="R32" s="34">
        <f t="shared" si="7"/>
        <v>-0.11337304826122301</v>
      </c>
      <c r="S32" s="34">
        <f t="shared" si="8"/>
        <v>4.7335532684407902</v>
      </c>
    </row>
    <row r="33" spans="1:19" x14ac:dyDescent="0.3">
      <c r="A33">
        <v>0</v>
      </c>
      <c r="B33">
        <v>0</v>
      </c>
      <c r="C33">
        <v>0</v>
      </c>
      <c r="D33">
        <v>0</v>
      </c>
      <c r="E33">
        <v>6</v>
      </c>
      <c r="F33">
        <v>-14.3012668149078</v>
      </c>
      <c r="G33">
        <v>9.7222891071318401E-2</v>
      </c>
      <c r="H33">
        <v>8.6418802763328006</v>
      </c>
      <c r="I33">
        <v>14.3012668149078</v>
      </c>
      <c r="J33">
        <v>-9.7222891071318401E-2</v>
      </c>
      <c r="K33">
        <v>4.1268347399444503</v>
      </c>
      <c r="L33" s="34" t="str">
        <f t="shared" si="10"/>
        <v>g.csv</v>
      </c>
      <c r="M33" s="34" t="str">
        <f t="shared" si="1"/>
        <v/>
      </c>
      <c r="N33" s="34">
        <f t="shared" si="3"/>
        <v>-14.3012668149078</v>
      </c>
      <c r="O33" s="34">
        <f t="shared" si="4"/>
        <v>9.7222891071318401E-2</v>
      </c>
      <c r="P33" s="34">
        <f t="shared" si="5"/>
        <v>8.6418802763328006</v>
      </c>
      <c r="Q33" s="34">
        <f t="shared" si="6"/>
        <v>14.3012668149078</v>
      </c>
      <c r="R33" s="34">
        <f t="shared" si="7"/>
        <v>-9.7222891071318401E-2</v>
      </c>
      <c r="S33" s="34">
        <f t="shared" si="8"/>
        <v>4.1268347399444503</v>
      </c>
    </row>
    <row r="34" spans="1:19" x14ac:dyDescent="0.3">
      <c r="A34">
        <v>0</v>
      </c>
      <c r="B34">
        <v>0</v>
      </c>
      <c r="C34">
        <v>0</v>
      </c>
      <c r="D34">
        <v>0</v>
      </c>
      <c r="E34">
        <v>7</v>
      </c>
      <c r="F34">
        <v>30.785113274401802</v>
      </c>
      <c r="G34">
        <v>9.0240814382784806E-2</v>
      </c>
      <c r="H34">
        <v>8.1794960195688908</v>
      </c>
      <c r="I34">
        <v>-30.785113274401802</v>
      </c>
      <c r="J34">
        <v>-9.0240814382784806E-2</v>
      </c>
      <c r="K34">
        <v>3.6722317884971698</v>
      </c>
      <c r="L34" s="34" t="str">
        <f t="shared" si="10"/>
        <v>g.csv</v>
      </c>
      <c r="M34" s="34" t="str">
        <f t="shared" si="1"/>
        <v/>
      </c>
      <c r="N34" s="34">
        <f t="shared" si="3"/>
        <v>30.785113274401802</v>
      </c>
      <c r="O34" s="34">
        <f t="shared" si="4"/>
        <v>9.0240814382784806E-2</v>
      </c>
      <c r="P34" s="34">
        <f t="shared" si="5"/>
        <v>8.1794960195688908</v>
      </c>
      <c r="Q34" s="34">
        <f t="shared" si="6"/>
        <v>-30.785113274401802</v>
      </c>
      <c r="R34" s="34">
        <f t="shared" si="7"/>
        <v>-9.0240814382784806E-2</v>
      </c>
      <c r="S34" s="34">
        <f t="shared" si="8"/>
        <v>3.6722317884971698</v>
      </c>
    </row>
    <row r="35" spans="1:19" x14ac:dyDescent="0.3">
      <c r="M35" s="34" t="str">
        <f t="shared" si="1"/>
        <v/>
      </c>
      <c r="N35" s="34" t="str">
        <f t="shared" si="3"/>
        <v/>
      </c>
      <c r="O35" s="34" t="str">
        <f t="shared" si="4"/>
        <v/>
      </c>
      <c r="P35" s="34" t="str">
        <f t="shared" si="5"/>
        <v/>
      </c>
      <c r="Q35" s="34" t="str">
        <f t="shared" si="6"/>
        <v/>
      </c>
      <c r="R35" s="34" t="str">
        <f t="shared" si="7"/>
        <v/>
      </c>
      <c r="S35" s="34" t="str">
        <f t="shared" si="8"/>
        <v/>
      </c>
    </row>
    <row r="36" spans="1:19" x14ac:dyDescent="0.3">
      <c r="M36" s="34" t="str">
        <f t="shared" si="1"/>
        <v/>
      </c>
      <c r="N36" s="34" t="str">
        <f t="shared" si="3"/>
        <v/>
      </c>
      <c r="O36" s="34" t="str">
        <f t="shared" si="4"/>
        <v/>
      </c>
      <c r="P36" s="34" t="str">
        <f t="shared" si="5"/>
        <v/>
      </c>
      <c r="Q36" s="34" t="str">
        <f t="shared" si="6"/>
        <v/>
      </c>
      <c r="R36" s="34" t="str">
        <f t="shared" si="7"/>
        <v/>
      </c>
      <c r="S36" s="34" t="str">
        <f t="shared" si="8"/>
        <v/>
      </c>
    </row>
    <row r="37" spans="1:19" x14ac:dyDescent="0.3">
      <c r="A37" t="s">
        <v>203</v>
      </c>
      <c r="L37" s="34" t="str">
        <f t="shared" ref="L37" si="11">RIGHT(A37,5)</f>
        <v>s.csv</v>
      </c>
      <c r="M37" s="34" t="str">
        <f t="shared" si="1"/>
        <v/>
      </c>
      <c r="N37" s="34" t="str">
        <f t="shared" si="3"/>
        <v/>
      </c>
      <c r="O37" s="34" t="str">
        <f t="shared" si="4"/>
        <v/>
      </c>
      <c r="P37" s="34" t="str">
        <f t="shared" si="5"/>
        <v/>
      </c>
      <c r="Q37" s="34" t="str">
        <f t="shared" si="6"/>
        <v/>
      </c>
      <c r="R37" s="34" t="str">
        <f t="shared" si="7"/>
        <v/>
      </c>
      <c r="S37" s="34" t="str">
        <f t="shared" si="8"/>
        <v/>
      </c>
    </row>
    <row r="38" spans="1:19" x14ac:dyDescent="0.3">
      <c r="A38">
        <v>1</v>
      </c>
      <c r="B38">
        <v>2.1013687150139501E-2</v>
      </c>
      <c r="C38">
        <v>0</v>
      </c>
      <c r="D38">
        <v>4.0103142408609701E-4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 s="34" t="str">
        <f t="shared" ref="L38" si="12">L37</f>
        <v>s.csv</v>
      </c>
      <c r="M38" s="34">
        <f t="shared" si="1"/>
        <v>207797.51492851239</v>
      </c>
      <c r="N38" s="34" t="str">
        <f t="shared" si="3"/>
        <v/>
      </c>
      <c r="O38" s="34" t="str">
        <f t="shared" si="4"/>
        <v/>
      </c>
      <c r="P38" s="34" t="str">
        <f t="shared" si="5"/>
        <v/>
      </c>
      <c r="Q38" s="34" t="str">
        <f t="shared" si="6"/>
        <v/>
      </c>
      <c r="R38" s="34" t="str">
        <f t="shared" si="7"/>
        <v/>
      </c>
      <c r="S38" s="34" t="str">
        <f t="shared" si="8"/>
        <v/>
      </c>
    </row>
    <row r="39" spans="1:19" x14ac:dyDescent="0.3">
      <c r="A39">
        <v>2</v>
      </c>
      <c r="B39">
        <v>1.07745879893491E-2</v>
      </c>
      <c r="C39">
        <v>-1.0302312572130501E-6</v>
      </c>
      <c r="D39">
        <v>4.00150043894373E-4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 s="34" t="str">
        <f t="shared" si="10"/>
        <v>s.csv</v>
      </c>
      <c r="M39" s="34" t="str">
        <f t="shared" si="1"/>
        <v/>
      </c>
      <c r="N39" s="34" t="str">
        <f t="shared" si="3"/>
        <v/>
      </c>
      <c r="O39" s="34" t="str">
        <f t="shared" si="4"/>
        <v/>
      </c>
      <c r="P39" s="34" t="str">
        <f t="shared" si="5"/>
        <v/>
      </c>
      <c r="Q39" s="34" t="str">
        <f t="shared" si="6"/>
        <v/>
      </c>
      <c r="R39" s="34" t="str">
        <f t="shared" si="7"/>
        <v/>
      </c>
      <c r="S39" s="34" t="str">
        <f t="shared" si="8"/>
        <v/>
      </c>
    </row>
    <row r="40" spans="1:19" x14ac:dyDescent="0.3">
      <c r="A40">
        <v>3</v>
      </c>
      <c r="B40">
        <v>5.3993323706216702E-3</v>
      </c>
      <c r="C40">
        <v>-1.20205632662032E-6</v>
      </c>
      <c r="D40">
        <v>3.9976548004686002E-4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 s="34" t="str">
        <f t="shared" si="10"/>
        <v>s.csv</v>
      </c>
      <c r="M40" s="34" t="str">
        <f t="shared" si="1"/>
        <v/>
      </c>
      <c r="N40" s="34" t="str">
        <f t="shared" si="3"/>
        <v/>
      </c>
      <c r="O40" s="34" t="str">
        <f t="shared" si="4"/>
        <v/>
      </c>
      <c r="P40" s="34" t="str">
        <f t="shared" si="5"/>
        <v/>
      </c>
      <c r="Q40" s="34" t="str">
        <f t="shared" si="6"/>
        <v/>
      </c>
      <c r="R40" s="34" t="str">
        <f t="shared" si="7"/>
        <v/>
      </c>
      <c r="S40" s="34" t="str">
        <f t="shared" si="8"/>
        <v/>
      </c>
    </row>
    <row r="41" spans="1:19" x14ac:dyDescent="0.3">
      <c r="A41">
        <v>4</v>
      </c>
      <c r="B41">
        <v>-5.0054199739608396E-3</v>
      </c>
      <c r="C41">
        <v>-1.53496739859693E-6</v>
      </c>
      <c r="D41">
        <v>3.9946935355851299E-4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 s="34" t="str">
        <f t="shared" si="10"/>
        <v>s.csv</v>
      </c>
      <c r="M41" s="34" t="str">
        <f t="shared" si="1"/>
        <v/>
      </c>
      <c r="N41" s="34" t="str">
        <f t="shared" si="3"/>
        <v/>
      </c>
      <c r="O41" s="34" t="str">
        <f t="shared" si="4"/>
        <v/>
      </c>
      <c r="P41" s="34" t="str">
        <f t="shared" si="5"/>
        <v/>
      </c>
      <c r="Q41" s="34" t="str">
        <f t="shared" si="6"/>
        <v/>
      </c>
      <c r="R41" s="34" t="str">
        <f t="shared" si="7"/>
        <v/>
      </c>
      <c r="S41" s="34" t="str">
        <f t="shared" si="8"/>
        <v/>
      </c>
    </row>
    <row r="42" spans="1:19" x14ac:dyDescent="0.3">
      <c r="A42">
        <v>5</v>
      </c>
      <c r="B42">
        <v>-1.0182542796079099E-2</v>
      </c>
      <c r="C42">
        <v>-1.53496739859692E-6</v>
      </c>
      <c r="D42">
        <v>3.9946935355851402E-4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 s="34" t="str">
        <f t="shared" si="10"/>
        <v>s.csv</v>
      </c>
      <c r="M42" s="34" t="str">
        <f t="shared" si="1"/>
        <v/>
      </c>
      <c r="N42" s="34" t="str">
        <f t="shared" si="3"/>
        <v/>
      </c>
      <c r="O42" s="34" t="str">
        <f t="shared" si="4"/>
        <v/>
      </c>
      <c r="P42" s="34" t="str">
        <f t="shared" si="5"/>
        <v/>
      </c>
      <c r="Q42" s="34" t="str">
        <f t="shared" si="6"/>
        <v/>
      </c>
      <c r="R42" s="34" t="str">
        <f t="shared" si="7"/>
        <v/>
      </c>
      <c r="S42" s="34" t="str">
        <f t="shared" si="8"/>
        <v/>
      </c>
    </row>
    <row r="43" spans="1:19" x14ac:dyDescent="0.3">
      <c r="A43">
        <v>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 s="34" t="str">
        <f t="shared" si="10"/>
        <v>s.csv</v>
      </c>
      <c r="M43" s="34" t="str">
        <f t="shared" si="1"/>
        <v/>
      </c>
      <c r="N43" s="34" t="str">
        <f t="shared" si="3"/>
        <v/>
      </c>
      <c r="O43" s="34" t="str">
        <f t="shared" si="4"/>
        <v/>
      </c>
      <c r="P43" s="34" t="str">
        <f t="shared" si="5"/>
        <v/>
      </c>
      <c r="Q43" s="34" t="str">
        <f t="shared" si="6"/>
        <v/>
      </c>
      <c r="R43" s="34" t="str">
        <f t="shared" si="7"/>
        <v/>
      </c>
      <c r="S43" s="34" t="str">
        <f t="shared" si="8"/>
        <v/>
      </c>
    </row>
    <row r="44" spans="1:19" x14ac:dyDescent="0.3">
      <c r="A44">
        <v>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 s="34" t="str">
        <f t="shared" si="10"/>
        <v>s.csv</v>
      </c>
      <c r="M44" s="34" t="str">
        <f t="shared" si="1"/>
        <v/>
      </c>
      <c r="N44" s="34" t="str">
        <f t="shared" si="3"/>
        <v/>
      </c>
      <c r="O44" s="34" t="str">
        <f t="shared" si="4"/>
        <v/>
      </c>
      <c r="P44" s="34" t="str">
        <f t="shared" si="5"/>
        <v/>
      </c>
      <c r="Q44" s="34" t="str">
        <f t="shared" si="6"/>
        <v/>
      </c>
      <c r="R44" s="34" t="str">
        <f t="shared" si="7"/>
        <v/>
      </c>
      <c r="S44" s="34" t="str">
        <f t="shared" si="8"/>
        <v/>
      </c>
    </row>
    <row r="45" spans="1:19" x14ac:dyDescent="0.3">
      <c r="A45">
        <v>0</v>
      </c>
      <c r="B45">
        <v>0</v>
      </c>
      <c r="C45">
        <v>0</v>
      </c>
      <c r="D45">
        <v>0</v>
      </c>
      <c r="E45">
        <v>1</v>
      </c>
      <c r="F45">
        <v>11.6876834070941</v>
      </c>
      <c r="G45">
        <v>-1.7462298274040199E-10</v>
      </c>
      <c r="H45">
        <v>999.99999999767101</v>
      </c>
      <c r="I45">
        <v>-11.6876834070941</v>
      </c>
      <c r="J45">
        <v>1.7462298274040199E-10</v>
      </c>
      <c r="K45">
        <v>-1000.00000000186</v>
      </c>
      <c r="L45" s="34" t="str">
        <f t="shared" si="10"/>
        <v>s.csv</v>
      </c>
      <c r="M45" s="34" t="str">
        <f t="shared" si="1"/>
        <v/>
      </c>
      <c r="N45" s="34" t="str">
        <f t="shared" si="3"/>
        <v/>
      </c>
      <c r="O45" s="34" t="str">
        <f t="shared" si="4"/>
        <v/>
      </c>
      <c r="P45" s="34" t="str">
        <f t="shared" si="5"/>
        <v/>
      </c>
      <c r="Q45" s="34" t="str">
        <f t="shared" si="6"/>
        <v/>
      </c>
      <c r="R45" s="34" t="str">
        <f t="shared" si="7"/>
        <v/>
      </c>
      <c r="S45" s="34" t="str">
        <f t="shared" si="8"/>
        <v/>
      </c>
    </row>
    <row r="46" spans="1:19" x14ac:dyDescent="0.3">
      <c r="A46">
        <v>0</v>
      </c>
      <c r="B46">
        <v>0</v>
      </c>
      <c r="C46">
        <v>0</v>
      </c>
      <c r="D46">
        <v>0</v>
      </c>
      <c r="E46">
        <v>2</v>
      </c>
      <c r="F46">
        <v>3.7071642262721398</v>
      </c>
      <c r="G46">
        <v>25.329280649311801</v>
      </c>
      <c r="H46">
        <v>1000.00000000465</v>
      </c>
      <c r="I46">
        <v>-3.7071642262721398</v>
      </c>
      <c r="J46">
        <v>-25.329280649311801</v>
      </c>
      <c r="K46">
        <v>-659.57446807809094</v>
      </c>
      <c r="L46" s="34" t="str">
        <f t="shared" si="10"/>
        <v>s.csv</v>
      </c>
      <c r="M46" s="34" t="str">
        <f t="shared" si="1"/>
        <v/>
      </c>
      <c r="N46" s="34" t="str">
        <f t="shared" si="3"/>
        <v/>
      </c>
      <c r="O46" s="34" t="str">
        <f t="shared" si="4"/>
        <v/>
      </c>
      <c r="P46" s="34" t="str">
        <f t="shared" si="5"/>
        <v/>
      </c>
      <c r="Q46" s="34" t="str">
        <f t="shared" si="6"/>
        <v/>
      </c>
      <c r="R46" s="34" t="str">
        <f t="shared" si="7"/>
        <v/>
      </c>
      <c r="S46" s="34" t="str">
        <f t="shared" si="8"/>
        <v/>
      </c>
    </row>
    <row r="47" spans="1:19" x14ac:dyDescent="0.3">
      <c r="A47">
        <v>0</v>
      </c>
      <c r="B47">
        <v>0</v>
      </c>
      <c r="C47">
        <v>0</v>
      </c>
      <c r="D47">
        <v>0</v>
      </c>
      <c r="E47">
        <v>3</v>
      </c>
      <c r="F47">
        <v>3.70716422627215</v>
      </c>
      <c r="G47">
        <v>25.329280648496901</v>
      </c>
      <c r="H47">
        <v>659.57446808379598</v>
      </c>
      <c r="I47">
        <v>-3.70716422627215</v>
      </c>
      <c r="J47">
        <v>-25.329280648496901</v>
      </c>
      <c r="K47">
        <v>3.4924596548080399E-9</v>
      </c>
      <c r="L47" s="34" t="str">
        <f t="shared" si="10"/>
        <v>s.csv</v>
      </c>
      <c r="M47" s="34" t="str">
        <f t="shared" si="1"/>
        <v/>
      </c>
      <c r="N47" s="34" t="str">
        <f t="shared" si="3"/>
        <v/>
      </c>
      <c r="O47" s="34" t="str">
        <f t="shared" si="4"/>
        <v/>
      </c>
      <c r="P47" s="34" t="str">
        <f t="shared" si="5"/>
        <v/>
      </c>
      <c r="Q47" s="34" t="str">
        <f t="shared" si="6"/>
        <v/>
      </c>
      <c r="R47" s="34" t="str">
        <f t="shared" si="7"/>
        <v/>
      </c>
      <c r="S47" s="34" t="str">
        <f t="shared" si="8"/>
        <v/>
      </c>
    </row>
    <row r="48" spans="1:19" x14ac:dyDescent="0.3">
      <c r="A48">
        <v>0</v>
      </c>
      <c r="B48">
        <v>0</v>
      </c>
      <c r="C48">
        <v>0</v>
      </c>
      <c r="D48">
        <v>0</v>
      </c>
      <c r="E48">
        <v>4</v>
      </c>
      <c r="F48">
        <v>-1.4210854715202001E-14</v>
      </c>
      <c r="G48">
        <v>-3.4924596548080398E-10</v>
      </c>
      <c r="H48">
        <v>-5.5879354476928703E-9</v>
      </c>
      <c r="I48">
        <v>1.4210854715202001E-14</v>
      </c>
      <c r="J48">
        <v>3.4924596548080398E-10</v>
      </c>
      <c r="K48">
        <v>0</v>
      </c>
      <c r="L48" s="34" t="str">
        <f t="shared" si="10"/>
        <v>s.csv</v>
      </c>
      <c r="M48" s="34" t="str">
        <f t="shared" si="1"/>
        <v/>
      </c>
      <c r="N48" s="34" t="str">
        <f t="shared" si="3"/>
        <v/>
      </c>
      <c r="O48" s="34" t="str">
        <f t="shared" si="4"/>
        <v/>
      </c>
      <c r="P48" s="34" t="str">
        <f t="shared" si="5"/>
        <v/>
      </c>
      <c r="Q48" s="34" t="str">
        <f t="shared" si="6"/>
        <v/>
      </c>
      <c r="R48" s="34" t="str">
        <f t="shared" si="7"/>
        <v/>
      </c>
      <c r="S48" s="34" t="str">
        <f t="shared" si="8"/>
        <v/>
      </c>
    </row>
    <row r="49" spans="1:19" x14ac:dyDescent="0.3">
      <c r="A49">
        <v>0</v>
      </c>
      <c r="B49">
        <v>0</v>
      </c>
      <c r="C49">
        <v>0</v>
      </c>
      <c r="D49">
        <v>0</v>
      </c>
      <c r="E49">
        <v>5</v>
      </c>
      <c r="F49">
        <v>-13.563145664073801</v>
      </c>
      <c r="G49">
        <v>-1.4975894659231201E-6</v>
      </c>
      <c r="H49">
        <v>0</v>
      </c>
      <c r="I49">
        <v>13.563145664073801</v>
      </c>
      <c r="J49">
        <v>1.4975894659231201E-6</v>
      </c>
      <c r="K49">
        <v>-1.8758805650153E-4</v>
      </c>
      <c r="L49" s="34" t="str">
        <f t="shared" si="10"/>
        <v>s.csv</v>
      </c>
      <c r="M49" s="34" t="str">
        <f t="shared" si="1"/>
        <v/>
      </c>
      <c r="N49" s="34" t="str">
        <f t="shared" si="3"/>
        <v/>
      </c>
      <c r="O49" s="34" t="str">
        <f t="shared" si="4"/>
        <v/>
      </c>
      <c r="P49" s="34" t="str">
        <f t="shared" si="5"/>
        <v/>
      </c>
      <c r="Q49" s="34" t="str">
        <f t="shared" si="6"/>
        <v/>
      </c>
      <c r="R49" s="34" t="str">
        <f t="shared" si="7"/>
        <v/>
      </c>
      <c r="S49" s="34" t="str">
        <f t="shared" si="8"/>
        <v/>
      </c>
    </row>
    <row r="50" spans="1:19" x14ac:dyDescent="0.3">
      <c r="A50">
        <v>0</v>
      </c>
      <c r="B50">
        <v>0</v>
      </c>
      <c r="C50">
        <v>0</v>
      </c>
      <c r="D50">
        <v>0</v>
      </c>
      <c r="E50">
        <v>6</v>
      </c>
      <c r="F50">
        <v>-12.3363288116661</v>
      </c>
      <c r="G50">
        <v>-1.2748415296721599E-3</v>
      </c>
      <c r="H50">
        <v>0</v>
      </c>
      <c r="I50">
        <v>12.3363288116661</v>
      </c>
      <c r="J50">
        <v>1.2748415296721599E-3</v>
      </c>
      <c r="K50">
        <v>-0.16743061231699699</v>
      </c>
      <c r="L50" s="34" t="str">
        <f t="shared" si="10"/>
        <v>s.csv</v>
      </c>
      <c r="M50" s="34" t="str">
        <f t="shared" si="1"/>
        <v/>
      </c>
      <c r="N50" s="34" t="str">
        <f t="shared" si="3"/>
        <v/>
      </c>
      <c r="O50" s="34" t="str">
        <f t="shared" si="4"/>
        <v/>
      </c>
      <c r="P50" s="34" t="str">
        <f t="shared" si="5"/>
        <v/>
      </c>
      <c r="Q50" s="34" t="str">
        <f t="shared" si="6"/>
        <v/>
      </c>
      <c r="R50" s="34" t="str">
        <f t="shared" si="7"/>
        <v/>
      </c>
      <c r="S50" s="34" t="str">
        <f t="shared" si="8"/>
        <v/>
      </c>
    </row>
    <row r="51" spans="1:19" x14ac:dyDescent="0.3">
      <c r="A51">
        <v>0</v>
      </c>
      <c r="B51">
        <v>0</v>
      </c>
      <c r="C51">
        <v>0</v>
      </c>
      <c r="D51">
        <v>0</v>
      </c>
      <c r="E51">
        <v>7</v>
      </c>
      <c r="F51">
        <v>26.556753134175</v>
      </c>
      <c r="G51">
        <v>-2.7423680392315501E-3</v>
      </c>
      <c r="H51">
        <v>0</v>
      </c>
      <c r="I51">
        <v>-26.556753134175</v>
      </c>
      <c r="J51">
        <v>2.7423680392315501E-3</v>
      </c>
      <c r="K51">
        <v>-0.360167400669198</v>
      </c>
      <c r="L51" s="34" t="str">
        <f t="shared" si="10"/>
        <v>s.csv</v>
      </c>
      <c r="M51" s="34" t="str">
        <f t="shared" si="1"/>
        <v/>
      </c>
      <c r="N51" s="34" t="str">
        <f t="shared" si="3"/>
        <v/>
      </c>
      <c r="O51" s="34" t="str">
        <f t="shared" si="4"/>
        <v/>
      </c>
      <c r="P51" s="34" t="str">
        <f t="shared" si="5"/>
        <v/>
      </c>
      <c r="Q51" s="34" t="str">
        <f t="shared" si="6"/>
        <v/>
      </c>
      <c r="R51" s="34" t="str">
        <f t="shared" si="7"/>
        <v/>
      </c>
      <c r="S51" s="34" t="str">
        <f t="shared" si="8"/>
        <v/>
      </c>
    </row>
    <row r="52" spans="1:19" x14ac:dyDescent="0.3">
      <c r="M52" s="34" t="str">
        <f t="shared" si="1"/>
        <v/>
      </c>
      <c r="N52" s="34" t="str">
        <f t="shared" si="3"/>
        <v/>
      </c>
      <c r="O52" s="34" t="str">
        <f t="shared" si="4"/>
        <v/>
      </c>
      <c r="P52" s="34" t="str">
        <f t="shared" si="5"/>
        <v/>
      </c>
      <c r="Q52" s="34" t="str">
        <f t="shared" si="6"/>
        <v/>
      </c>
      <c r="R52" s="34" t="str">
        <f t="shared" si="7"/>
        <v/>
      </c>
      <c r="S52" s="34" t="str">
        <f t="shared" si="8"/>
        <v/>
      </c>
    </row>
    <row r="53" spans="1:19" x14ac:dyDescent="0.3">
      <c r="M53" s="34" t="str">
        <f t="shared" si="1"/>
        <v/>
      </c>
      <c r="N53" s="34" t="str">
        <f t="shared" si="3"/>
        <v/>
      </c>
      <c r="O53" s="34" t="str">
        <f t="shared" si="4"/>
        <v/>
      </c>
      <c r="P53" s="34" t="str">
        <f t="shared" si="5"/>
        <v/>
      </c>
      <c r="Q53" s="34" t="str">
        <f t="shared" si="6"/>
        <v/>
      </c>
      <c r="R53" s="34" t="str">
        <f t="shared" si="7"/>
        <v/>
      </c>
      <c r="S53" s="34" t="str">
        <f t="shared" si="8"/>
        <v/>
      </c>
    </row>
    <row r="54" spans="1:19" x14ac:dyDescent="0.3">
      <c r="A54" t="s">
        <v>204</v>
      </c>
      <c r="L54" s="34" t="str">
        <f t="shared" ref="L54" si="13">RIGHT(A54,5)</f>
        <v>l.csv</v>
      </c>
      <c r="M54" s="34" t="str">
        <f t="shared" si="1"/>
        <v/>
      </c>
      <c r="N54" s="34" t="str">
        <f t="shared" si="3"/>
        <v/>
      </c>
      <c r="O54" s="34" t="str">
        <f t="shared" si="4"/>
        <v/>
      </c>
      <c r="P54" s="34" t="str">
        <f t="shared" si="5"/>
        <v/>
      </c>
      <c r="Q54" s="34" t="str">
        <f t="shared" si="6"/>
        <v/>
      </c>
      <c r="R54" s="34" t="str">
        <f t="shared" si="7"/>
        <v/>
      </c>
      <c r="S54" s="34" t="str">
        <f t="shared" si="8"/>
        <v/>
      </c>
    </row>
    <row r="55" spans="1:19" x14ac:dyDescent="0.3">
      <c r="A55">
        <v>1</v>
      </c>
      <c r="B55">
        <v>2.1205814661455599E-2</v>
      </c>
      <c r="C55">
        <v>0</v>
      </c>
      <c r="D55">
        <v>2.45963002456419E-4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 s="34" t="str">
        <f t="shared" ref="L55" si="14">L54</f>
        <v>l.csv</v>
      </c>
      <c r="M55" s="34" t="str">
        <f t="shared" si="1"/>
        <v/>
      </c>
      <c r="N55" s="34" t="str">
        <f t="shared" si="3"/>
        <v/>
      </c>
      <c r="O55" s="34" t="str">
        <f t="shared" si="4"/>
        <v/>
      </c>
      <c r="P55" s="34" t="str">
        <f t="shared" si="5"/>
        <v/>
      </c>
      <c r="Q55" s="34" t="str">
        <f t="shared" si="6"/>
        <v/>
      </c>
      <c r="R55" s="34" t="str">
        <f t="shared" si="7"/>
        <v/>
      </c>
      <c r="S55" s="34" t="str">
        <f t="shared" si="8"/>
        <v/>
      </c>
    </row>
    <row r="56" spans="1:19" x14ac:dyDescent="0.3">
      <c r="A56">
        <v>2</v>
      </c>
      <c r="B56">
        <v>1.49190003186695E-2</v>
      </c>
      <c r="C56">
        <v>-3.13502934758627E-7</v>
      </c>
      <c r="D56">
        <v>2.45963002456419E-4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 s="34" t="str">
        <f t="shared" si="10"/>
        <v>l.csv</v>
      </c>
      <c r="M56" s="34" t="str">
        <f t="shared" si="1"/>
        <v/>
      </c>
      <c r="N56" s="34" t="str">
        <f t="shared" si="3"/>
        <v/>
      </c>
      <c r="O56" s="34" t="str">
        <f t="shared" si="4"/>
        <v/>
      </c>
      <c r="P56" s="34" t="str">
        <f t="shared" si="5"/>
        <v/>
      </c>
      <c r="Q56" s="34" t="str">
        <f t="shared" si="6"/>
        <v/>
      </c>
      <c r="R56" s="34" t="str">
        <f t="shared" si="7"/>
        <v/>
      </c>
      <c r="S56" s="34" t="str">
        <f t="shared" si="8"/>
        <v/>
      </c>
    </row>
    <row r="57" spans="1:19" x14ac:dyDescent="0.3">
      <c r="A57">
        <v>3</v>
      </c>
      <c r="B57">
        <v>1.1613069569598599E-2</v>
      </c>
      <c r="C57">
        <v>-2.8524394660766001E-7</v>
      </c>
      <c r="D57">
        <v>2.46004636309579E-4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 s="34" t="str">
        <f t="shared" si="10"/>
        <v>l.csv</v>
      </c>
      <c r="M57" s="34" t="str">
        <f t="shared" si="1"/>
        <v/>
      </c>
      <c r="N57" s="34" t="str">
        <f t="shared" si="3"/>
        <v/>
      </c>
      <c r="O57" s="34" t="str">
        <f t="shared" si="4"/>
        <v/>
      </c>
      <c r="P57" s="34" t="str">
        <f t="shared" si="5"/>
        <v/>
      </c>
      <c r="Q57" s="34" t="str">
        <f t="shared" si="6"/>
        <v/>
      </c>
      <c r="R57" s="34" t="str">
        <f t="shared" si="7"/>
        <v/>
      </c>
      <c r="S57" s="34" t="str">
        <f t="shared" si="8"/>
        <v/>
      </c>
    </row>
    <row r="58" spans="1:19" x14ac:dyDescent="0.3">
      <c r="A58">
        <v>4</v>
      </c>
      <c r="B58">
        <v>5.20572953575395E-3</v>
      </c>
      <c r="C58">
        <v>-2.3049215706516101E-7</v>
      </c>
      <c r="D58">
        <v>2.4608351525706902E-4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 s="34" t="str">
        <f t="shared" si="10"/>
        <v>l.csv</v>
      </c>
      <c r="M58" s="34" t="str">
        <f t="shared" si="1"/>
        <v/>
      </c>
      <c r="N58" s="34" t="str">
        <f t="shared" si="3"/>
        <v/>
      </c>
      <c r="O58" s="34" t="str">
        <f t="shared" si="4"/>
        <v/>
      </c>
      <c r="P58" s="34" t="str">
        <f t="shared" si="5"/>
        <v/>
      </c>
      <c r="Q58" s="34" t="str">
        <f t="shared" si="6"/>
        <v/>
      </c>
      <c r="R58" s="34" t="str">
        <f t="shared" si="7"/>
        <v/>
      </c>
      <c r="S58" s="34" t="str">
        <f t="shared" si="8"/>
        <v/>
      </c>
    </row>
    <row r="59" spans="1:19" x14ac:dyDescent="0.3">
      <c r="A59">
        <v>5</v>
      </c>
      <c r="B59">
        <v>2.0164871780223299E-3</v>
      </c>
      <c r="C59">
        <v>-2.3049215706516101E-7</v>
      </c>
      <c r="D59">
        <v>2.4608351525706902E-4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 s="34" t="str">
        <f t="shared" si="10"/>
        <v>l.csv</v>
      </c>
      <c r="M59" s="34" t="str">
        <f t="shared" si="1"/>
        <v/>
      </c>
      <c r="N59" s="34" t="str">
        <f t="shared" si="3"/>
        <v/>
      </c>
      <c r="O59" s="34" t="str">
        <f t="shared" si="4"/>
        <v/>
      </c>
      <c r="P59" s="34" t="str">
        <f t="shared" si="5"/>
        <v/>
      </c>
      <c r="Q59" s="34" t="str">
        <f t="shared" si="6"/>
        <v/>
      </c>
      <c r="R59" s="34" t="str">
        <f t="shared" si="7"/>
        <v/>
      </c>
      <c r="S59" s="34" t="str">
        <f t="shared" si="8"/>
        <v/>
      </c>
    </row>
    <row r="60" spans="1:19" x14ac:dyDescent="0.3">
      <c r="A60">
        <v>6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 s="34" t="str">
        <f t="shared" si="10"/>
        <v>l.csv</v>
      </c>
      <c r="M60" s="34" t="str">
        <f t="shared" si="1"/>
        <v/>
      </c>
      <c r="N60" s="34" t="str">
        <f t="shared" si="3"/>
        <v/>
      </c>
      <c r="O60" s="34" t="str">
        <f t="shared" si="4"/>
        <v/>
      </c>
      <c r="P60" s="34" t="str">
        <f t="shared" si="5"/>
        <v/>
      </c>
      <c r="Q60" s="34" t="str">
        <f t="shared" si="6"/>
        <v/>
      </c>
      <c r="R60" s="34" t="str">
        <f t="shared" si="7"/>
        <v/>
      </c>
      <c r="S60" s="34" t="str">
        <f t="shared" si="8"/>
        <v/>
      </c>
    </row>
    <row r="61" spans="1:19" x14ac:dyDescent="0.3">
      <c r="A61">
        <v>7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 s="34" t="str">
        <f t="shared" si="10"/>
        <v>l.csv</v>
      </c>
      <c r="M61" s="34" t="str">
        <f t="shared" si="1"/>
        <v/>
      </c>
      <c r="N61" s="34" t="str">
        <f t="shared" si="3"/>
        <v/>
      </c>
      <c r="O61" s="34" t="str">
        <f t="shared" si="4"/>
        <v/>
      </c>
      <c r="P61" s="34" t="str">
        <f t="shared" si="5"/>
        <v/>
      </c>
      <c r="Q61" s="34" t="str">
        <f t="shared" si="6"/>
        <v/>
      </c>
      <c r="R61" s="34" t="str">
        <f t="shared" si="7"/>
        <v/>
      </c>
      <c r="S61" s="34" t="str">
        <f t="shared" si="8"/>
        <v/>
      </c>
    </row>
    <row r="62" spans="1:19" x14ac:dyDescent="0.3">
      <c r="A62">
        <v>0</v>
      </c>
      <c r="B62">
        <v>0</v>
      </c>
      <c r="C62">
        <v>0</v>
      </c>
      <c r="D62">
        <v>0</v>
      </c>
      <c r="E62">
        <v>1</v>
      </c>
      <c r="F62">
        <v>3.5566024841507802</v>
      </c>
      <c r="G62">
        <v>-1.81898940354585E-10</v>
      </c>
      <c r="H62">
        <v>-1.9790604710578902E-9</v>
      </c>
      <c r="I62">
        <v>-3.5566024841507802</v>
      </c>
      <c r="J62">
        <v>1.81898940354585E-10</v>
      </c>
      <c r="K62">
        <v>-1.1641532182693401E-9</v>
      </c>
      <c r="L62" s="34" t="str">
        <f t="shared" si="10"/>
        <v>l.csv</v>
      </c>
      <c r="M62" s="34" t="str">
        <f t="shared" si="1"/>
        <v/>
      </c>
      <c r="N62" s="34" t="str">
        <f t="shared" si="3"/>
        <v/>
      </c>
      <c r="O62" s="34" t="str">
        <f t="shared" si="4"/>
        <v/>
      </c>
      <c r="P62" s="34" t="str">
        <f t="shared" si="5"/>
        <v/>
      </c>
      <c r="Q62" s="34" t="str">
        <f t="shared" si="6"/>
        <v/>
      </c>
      <c r="R62" s="34" t="str">
        <f t="shared" si="7"/>
        <v/>
      </c>
      <c r="S62" s="34" t="str">
        <f t="shared" si="8"/>
        <v/>
      </c>
    </row>
    <row r="63" spans="1:19" x14ac:dyDescent="0.3">
      <c r="A63">
        <v>0</v>
      </c>
      <c r="B63">
        <v>0</v>
      </c>
      <c r="C63">
        <v>0</v>
      </c>
      <c r="D63">
        <v>0</v>
      </c>
      <c r="E63">
        <v>2</v>
      </c>
      <c r="F63">
        <v>-0.60969397716697604</v>
      </c>
      <c r="G63">
        <v>13.1566498991451</v>
      </c>
      <c r="H63">
        <v>-1.42217385838739</v>
      </c>
      <c r="I63">
        <v>0.60969397716697604</v>
      </c>
      <c r="J63">
        <v>-13.1566498991451</v>
      </c>
      <c r="K63">
        <v>178.24754850240399</v>
      </c>
      <c r="L63" s="34" t="str">
        <f t="shared" si="10"/>
        <v>l.csv</v>
      </c>
      <c r="M63" s="34" t="str">
        <f t="shared" si="1"/>
        <v/>
      </c>
      <c r="N63" s="34" t="str">
        <f t="shared" si="3"/>
        <v/>
      </c>
      <c r="O63" s="34" t="str">
        <f t="shared" si="4"/>
        <v/>
      </c>
      <c r="P63" s="34" t="str">
        <f t="shared" si="5"/>
        <v/>
      </c>
      <c r="Q63" s="34" t="str">
        <f t="shared" si="6"/>
        <v/>
      </c>
      <c r="R63" s="34" t="str">
        <f t="shared" si="7"/>
        <v/>
      </c>
      <c r="S63" s="34" t="str">
        <f t="shared" si="8"/>
        <v/>
      </c>
    </row>
    <row r="64" spans="1:19" x14ac:dyDescent="0.3">
      <c r="A64">
        <v>0</v>
      </c>
      <c r="B64">
        <v>0</v>
      </c>
      <c r="C64">
        <v>0</v>
      </c>
      <c r="D64">
        <v>0</v>
      </c>
      <c r="E64">
        <v>3</v>
      </c>
      <c r="F64">
        <v>-0.60969397716697304</v>
      </c>
      <c r="G64">
        <v>-6.9433501015882904</v>
      </c>
      <c r="H64">
        <v>-178.24754849716501</v>
      </c>
      <c r="I64">
        <v>0.60969397716697304</v>
      </c>
      <c r="J64">
        <v>6.9433501015882904</v>
      </c>
      <c r="K64">
        <v>-2.5572881486732499</v>
      </c>
      <c r="L64" s="34" t="str">
        <f t="shared" si="10"/>
        <v>l.csv</v>
      </c>
      <c r="M64" s="34" t="str">
        <f t="shared" si="1"/>
        <v/>
      </c>
      <c r="N64" s="34" t="str">
        <f t="shared" si="3"/>
        <v/>
      </c>
      <c r="O64" s="34" t="str">
        <f t="shared" si="4"/>
        <v/>
      </c>
      <c r="P64" s="34" t="str">
        <f t="shared" si="5"/>
        <v/>
      </c>
      <c r="Q64" s="34" t="str">
        <f t="shared" si="6"/>
        <v/>
      </c>
      <c r="R64" s="34" t="str">
        <f t="shared" si="7"/>
        <v/>
      </c>
      <c r="S64" s="34" t="str">
        <f t="shared" si="8"/>
        <v/>
      </c>
    </row>
    <row r="65" spans="1:19" x14ac:dyDescent="0.3">
      <c r="A65">
        <v>0</v>
      </c>
      <c r="B65">
        <v>0</v>
      </c>
      <c r="C65">
        <v>0</v>
      </c>
      <c r="D65">
        <v>0</v>
      </c>
      <c r="E65">
        <v>4</v>
      </c>
      <c r="F65">
        <v>0</v>
      </c>
      <c r="G65">
        <v>2.0372681319713499E-10</v>
      </c>
      <c r="H65">
        <v>1.1641532182693401E-9</v>
      </c>
      <c r="I65">
        <v>0</v>
      </c>
      <c r="J65">
        <v>-2.0372681319713499E-10</v>
      </c>
      <c r="K65">
        <v>0</v>
      </c>
      <c r="L65" s="34" t="str">
        <f t="shared" si="10"/>
        <v>l.csv</v>
      </c>
      <c r="M65" s="34" t="str">
        <f t="shared" si="1"/>
        <v/>
      </c>
      <c r="N65" s="34" t="str">
        <f t="shared" si="3"/>
        <v/>
      </c>
      <c r="O65" s="34" t="str">
        <f t="shared" si="4"/>
        <v/>
      </c>
      <c r="P65" s="34" t="str">
        <f t="shared" si="5"/>
        <v/>
      </c>
      <c r="Q65" s="34" t="str">
        <f t="shared" si="6"/>
        <v/>
      </c>
      <c r="R65" s="34" t="str">
        <f t="shared" si="7"/>
        <v/>
      </c>
      <c r="S65" s="34" t="str">
        <f t="shared" si="8"/>
        <v/>
      </c>
    </row>
    <row r="66" spans="1:19" x14ac:dyDescent="0.3">
      <c r="A66">
        <v>0</v>
      </c>
      <c r="B66">
        <v>0</v>
      </c>
      <c r="C66">
        <v>0</v>
      </c>
      <c r="D66">
        <v>0</v>
      </c>
      <c r="E66">
        <v>5</v>
      </c>
      <c r="F66">
        <v>1.76493117319348</v>
      </c>
      <c r="G66">
        <v>7.5327676365207199E-3</v>
      </c>
      <c r="H66">
        <v>0.62843604656020202</v>
      </c>
      <c r="I66">
        <v>-1.76493117319348</v>
      </c>
      <c r="J66">
        <v>-7.5327676365207199E-3</v>
      </c>
      <c r="K66">
        <v>0.31421449547400099</v>
      </c>
      <c r="L66" s="34" t="str">
        <f t="shared" si="10"/>
        <v>l.csv</v>
      </c>
      <c r="M66" s="34" t="str">
        <f t="shared" si="1"/>
        <v/>
      </c>
      <c r="N66" s="34">
        <f t="shared" si="3"/>
        <v>1.76493117319348</v>
      </c>
      <c r="O66" s="34">
        <f t="shared" si="4"/>
        <v>7.5327676365207199E-3</v>
      </c>
      <c r="P66" s="34">
        <f t="shared" si="5"/>
        <v>0.62843604656020202</v>
      </c>
      <c r="Q66" s="34">
        <f t="shared" si="6"/>
        <v>-1.76493117319348</v>
      </c>
      <c r="R66" s="34">
        <f t="shared" si="7"/>
        <v>-7.5327676365207199E-3</v>
      </c>
      <c r="S66" s="34">
        <f t="shared" si="8"/>
        <v>0.31421449547400099</v>
      </c>
    </row>
    <row r="67" spans="1:19" x14ac:dyDescent="0.3">
      <c r="A67">
        <v>0</v>
      </c>
      <c r="B67">
        <v>0</v>
      </c>
      <c r="C67">
        <v>0</v>
      </c>
      <c r="D67">
        <v>0</v>
      </c>
      <c r="E67">
        <v>6</v>
      </c>
      <c r="F67">
        <v>5.2150219932864701</v>
      </c>
      <c r="G67">
        <v>2.31745718985828E-2</v>
      </c>
      <c r="H67">
        <v>1.9288520994020399</v>
      </c>
      <c r="I67">
        <v>-5.2150219932864701</v>
      </c>
      <c r="J67">
        <v>-2.31745718985828E-2</v>
      </c>
      <c r="K67">
        <v>0.99331806562587599</v>
      </c>
      <c r="L67" s="34" t="str">
        <f t="shared" si="10"/>
        <v>l.csv</v>
      </c>
      <c r="M67" s="34" t="str">
        <f t="shared" si="1"/>
        <v/>
      </c>
      <c r="N67" s="34">
        <f t="shared" si="3"/>
        <v>5.2150219932864701</v>
      </c>
      <c r="O67" s="34">
        <f t="shared" si="4"/>
        <v>2.31745718985828E-2</v>
      </c>
      <c r="P67" s="34">
        <f t="shared" si="5"/>
        <v>1.9288520994020399</v>
      </c>
      <c r="Q67" s="34">
        <f t="shared" si="6"/>
        <v>-5.2150219932864701</v>
      </c>
      <c r="R67" s="34">
        <f t="shared" si="7"/>
        <v>-2.31745718985828E-2</v>
      </c>
      <c r="S67" s="34">
        <f t="shared" si="8"/>
        <v>0.99331806562587599</v>
      </c>
    </row>
    <row r="68" spans="1:19" x14ac:dyDescent="0.3">
      <c r="A68">
        <v>0</v>
      </c>
      <c r="B68">
        <v>0</v>
      </c>
      <c r="C68">
        <v>0</v>
      </c>
      <c r="D68">
        <v>0</v>
      </c>
      <c r="E68">
        <v>7</v>
      </c>
      <c r="F68">
        <v>13.8005522670465</v>
      </c>
      <c r="G68">
        <v>1.48285404466337E-2</v>
      </c>
      <c r="H68">
        <v>1.42217386164322</v>
      </c>
      <c r="I68">
        <v>-13.8005522670465</v>
      </c>
      <c r="J68">
        <v>-1.48285404466337E-2</v>
      </c>
      <c r="K68">
        <v>0.52362730616825104</v>
      </c>
      <c r="L68" s="34" t="str">
        <f t="shared" si="10"/>
        <v>l.csv</v>
      </c>
      <c r="M68" s="34" t="str">
        <f t="shared" si="1"/>
        <v/>
      </c>
      <c r="N68" s="34">
        <f t="shared" si="3"/>
        <v>13.8005522670465</v>
      </c>
      <c r="O68" s="34">
        <f t="shared" si="4"/>
        <v>1.48285404466337E-2</v>
      </c>
      <c r="P68" s="34">
        <f t="shared" si="5"/>
        <v>1.42217386164322</v>
      </c>
      <c r="Q68" s="34">
        <f t="shared" si="6"/>
        <v>-13.8005522670465</v>
      </c>
      <c r="R68" s="34">
        <f t="shared" si="7"/>
        <v>-1.48285404466337E-2</v>
      </c>
      <c r="S68" s="34">
        <f t="shared" si="8"/>
        <v>0.52362730616825104</v>
      </c>
    </row>
    <row r="69" spans="1:19" x14ac:dyDescent="0.3">
      <c r="M69" s="34" t="str">
        <f t="shared" ref="M69:M132" si="15">IF(AND(L69="s.csv",A69=1),ABS(1000/12/D69),"")</f>
        <v/>
      </c>
      <c r="N69" s="34" t="str">
        <f t="shared" si="3"/>
        <v/>
      </c>
      <c r="O69" s="34" t="str">
        <f t="shared" si="4"/>
        <v/>
      </c>
      <c r="P69" s="34" t="str">
        <f t="shared" si="5"/>
        <v/>
      </c>
      <c r="Q69" s="34" t="str">
        <f t="shared" si="6"/>
        <v/>
      </c>
      <c r="R69" s="34" t="str">
        <f t="shared" si="7"/>
        <v/>
      </c>
      <c r="S69" s="34" t="str">
        <f t="shared" si="8"/>
        <v/>
      </c>
    </row>
    <row r="70" spans="1:19" x14ac:dyDescent="0.3">
      <c r="M70" s="34" t="str">
        <f t="shared" si="15"/>
        <v/>
      </c>
      <c r="N70" s="34" t="str">
        <f t="shared" si="3"/>
        <v/>
      </c>
      <c r="O70" s="34" t="str">
        <f t="shared" si="4"/>
        <v/>
      </c>
      <c r="P70" s="34" t="str">
        <f t="shared" si="5"/>
        <v/>
      </c>
      <c r="Q70" s="34" t="str">
        <f t="shared" si="6"/>
        <v/>
      </c>
      <c r="R70" s="34" t="str">
        <f t="shared" si="7"/>
        <v/>
      </c>
      <c r="S70" s="34" t="str">
        <f t="shared" si="8"/>
        <v/>
      </c>
    </row>
    <row r="71" spans="1:19" x14ac:dyDescent="0.3">
      <c r="A71" t="s">
        <v>205</v>
      </c>
      <c r="L71" s="34" t="str">
        <f t="shared" ref="L71" si="16">RIGHT(A71,5)</f>
        <v>g.csv</v>
      </c>
      <c r="M71" s="34" t="str">
        <f t="shared" si="15"/>
        <v/>
      </c>
      <c r="N71" s="34" t="str">
        <f t="shared" si="3"/>
        <v/>
      </c>
      <c r="O71" s="34" t="str">
        <f t="shared" si="4"/>
        <v/>
      </c>
      <c r="P71" s="34" t="str">
        <f t="shared" si="5"/>
        <v/>
      </c>
      <c r="Q71" s="34" t="str">
        <f t="shared" si="6"/>
        <v/>
      </c>
      <c r="R71" s="34" t="str">
        <f t="shared" si="7"/>
        <v/>
      </c>
      <c r="S71" s="34" t="str">
        <f t="shared" si="8"/>
        <v/>
      </c>
    </row>
    <row r="72" spans="1:19" x14ac:dyDescent="0.3">
      <c r="A72">
        <v>1</v>
      </c>
      <c r="B72">
        <v>6.82715655762514E-2</v>
      </c>
      <c r="C72">
        <v>0</v>
      </c>
      <c r="D72">
        <v>1.3840064352734799E-3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 s="34" t="str">
        <f t="shared" ref="L72" si="17">L71</f>
        <v>g.csv</v>
      </c>
      <c r="M72" s="34" t="str">
        <f t="shared" si="15"/>
        <v/>
      </c>
      <c r="N72" s="34" t="str">
        <f t="shared" si="3"/>
        <v/>
      </c>
      <c r="O72" s="34" t="str">
        <f t="shared" si="4"/>
        <v/>
      </c>
      <c r="P72" s="34" t="str">
        <f t="shared" si="5"/>
        <v/>
      </c>
      <c r="Q72" s="34" t="str">
        <f t="shared" si="6"/>
        <v/>
      </c>
      <c r="R72" s="34" t="str">
        <f t="shared" si="7"/>
        <v/>
      </c>
      <c r="S72" s="34" t="str">
        <f t="shared" si="8"/>
        <v/>
      </c>
    </row>
    <row r="73" spans="1:19" x14ac:dyDescent="0.3">
      <c r="A73">
        <v>2</v>
      </c>
      <c r="B73">
        <v>3.2896361090661103E-2</v>
      </c>
      <c r="C73">
        <v>-1.06587349895786E-6</v>
      </c>
      <c r="D73">
        <v>1.3840064352734799E-3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 s="34" t="str">
        <f t="shared" si="10"/>
        <v>g.csv</v>
      </c>
      <c r="M73" s="34" t="str">
        <f t="shared" si="15"/>
        <v/>
      </c>
      <c r="N73" s="34" t="str">
        <f t="shared" si="3"/>
        <v/>
      </c>
      <c r="O73" s="34" t="str">
        <f t="shared" si="4"/>
        <v/>
      </c>
      <c r="P73" s="34" t="str">
        <f t="shared" si="5"/>
        <v/>
      </c>
      <c r="Q73" s="34" t="str">
        <f t="shared" si="6"/>
        <v/>
      </c>
      <c r="R73" s="34" t="str">
        <f t="shared" si="7"/>
        <v/>
      </c>
      <c r="S73" s="34" t="str">
        <f t="shared" si="8"/>
        <v/>
      </c>
    </row>
    <row r="74" spans="1:19" x14ac:dyDescent="0.3">
      <c r="A74">
        <v>3</v>
      </c>
      <c r="B74">
        <v>1.42948812146345E-2</v>
      </c>
      <c r="C74">
        <v>-1.1974297476021301E-6</v>
      </c>
      <c r="D74">
        <v>1.38410102157475E-3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 s="34" t="str">
        <f t="shared" si="10"/>
        <v>g.csv</v>
      </c>
      <c r="M74" s="34" t="str">
        <f t="shared" si="15"/>
        <v/>
      </c>
      <c r="N74" s="34" t="str">
        <f t="shared" si="3"/>
        <v/>
      </c>
      <c r="O74" s="34" t="str">
        <f t="shared" si="4"/>
        <v/>
      </c>
      <c r="P74" s="34" t="str">
        <f t="shared" si="5"/>
        <v/>
      </c>
      <c r="Q74" s="34" t="str">
        <f t="shared" si="6"/>
        <v/>
      </c>
      <c r="R74" s="34" t="str">
        <f t="shared" si="7"/>
        <v/>
      </c>
      <c r="S74" s="34" t="str">
        <f t="shared" si="8"/>
        <v/>
      </c>
    </row>
    <row r="75" spans="1:19" x14ac:dyDescent="0.3">
      <c r="A75">
        <v>4</v>
      </c>
      <c r="B75">
        <v>-2.1754714721088999E-2</v>
      </c>
      <c r="C75">
        <v>-1.4523199793504E-6</v>
      </c>
      <c r="D75">
        <v>1.3847981199507601E-3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 s="34" t="str">
        <f t="shared" si="10"/>
        <v>g.csv</v>
      </c>
      <c r="M75" s="34" t="str">
        <f t="shared" si="15"/>
        <v/>
      </c>
      <c r="N75" s="34" t="str">
        <f t="shared" si="3"/>
        <v/>
      </c>
      <c r="O75" s="34" t="str">
        <f t="shared" si="4"/>
        <v/>
      </c>
      <c r="P75" s="34" t="str">
        <f t="shared" si="5"/>
        <v/>
      </c>
      <c r="Q75" s="34" t="str">
        <f t="shared" si="6"/>
        <v/>
      </c>
      <c r="R75" s="34" t="str">
        <f t="shared" si="7"/>
        <v/>
      </c>
      <c r="S75" s="34" t="str">
        <f t="shared" si="8"/>
        <v/>
      </c>
    </row>
    <row r="76" spans="1:19" x14ac:dyDescent="0.3">
      <c r="A76">
        <v>5</v>
      </c>
      <c r="B76">
        <v>-3.9705079599793497E-2</v>
      </c>
      <c r="C76">
        <v>-1.4523199793504E-6</v>
      </c>
      <c r="D76">
        <v>1.3853199168863599E-3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 s="34" t="str">
        <f t="shared" si="10"/>
        <v>g.csv</v>
      </c>
      <c r="M76" s="34" t="str">
        <f t="shared" si="15"/>
        <v/>
      </c>
      <c r="N76" s="34" t="str">
        <f t="shared" ref="N76:N139" si="18">IF(AND(OR($L76="l.csv",$L76="g.csv"),$E76&gt;4),F76,"")</f>
        <v/>
      </c>
      <c r="O76" s="34" t="str">
        <f t="shared" ref="O76:O139" si="19">IF(AND(OR($L76="l.csv",$L76="g.csv"),$E76&gt;4),G76,"")</f>
        <v/>
      </c>
      <c r="P76" s="34" t="str">
        <f t="shared" ref="P76:P139" si="20">IF(AND(OR($L76="l.csv",$L76="g.csv"),$E76&gt;4),H76,"")</f>
        <v/>
      </c>
      <c r="Q76" s="34" t="str">
        <f t="shared" ref="Q76:Q139" si="21">IF(AND(OR($L76="l.csv",$L76="g.csv"),$E76&gt;4),I76,"")</f>
        <v/>
      </c>
      <c r="R76" s="34" t="str">
        <f t="shared" ref="R76:R139" si="22">IF(AND(OR($L76="l.csv",$L76="g.csv"),$E76&gt;4),J76,"")</f>
        <v/>
      </c>
      <c r="S76" s="34" t="str">
        <f t="shared" ref="S76:S139" si="23">IF(AND(OR($L76="l.csv",$L76="g.csv"),$E76&gt;4),K76,"")</f>
        <v/>
      </c>
    </row>
    <row r="77" spans="1:19" x14ac:dyDescent="0.3">
      <c r="A77">
        <v>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 s="34" t="str">
        <f t="shared" si="10"/>
        <v>g.csv</v>
      </c>
      <c r="M77" s="34" t="str">
        <f t="shared" si="15"/>
        <v/>
      </c>
      <c r="N77" s="34" t="str">
        <f t="shared" si="18"/>
        <v/>
      </c>
      <c r="O77" s="34" t="str">
        <f t="shared" si="19"/>
        <v/>
      </c>
      <c r="P77" s="34" t="str">
        <f t="shared" si="20"/>
        <v/>
      </c>
      <c r="Q77" s="34" t="str">
        <f t="shared" si="21"/>
        <v/>
      </c>
      <c r="R77" s="34" t="str">
        <f t="shared" si="22"/>
        <v/>
      </c>
      <c r="S77" s="34" t="str">
        <f t="shared" si="23"/>
        <v/>
      </c>
    </row>
    <row r="78" spans="1:19" x14ac:dyDescent="0.3">
      <c r="A78">
        <v>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 s="34" t="str">
        <f t="shared" si="10"/>
        <v>g.csv</v>
      </c>
      <c r="M78" s="34" t="str">
        <f t="shared" si="15"/>
        <v/>
      </c>
      <c r="N78" s="34" t="str">
        <f t="shared" si="18"/>
        <v/>
      </c>
      <c r="O78" s="34" t="str">
        <f t="shared" si="19"/>
        <v/>
      </c>
      <c r="P78" s="34" t="str">
        <f t="shared" si="20"/>
        <v/>
      </c>
      <c r="Q78" s="34" t="str">
        <f t="shared" si="21"/>
        <v/>
      </c>
      <c r="R78" s="34" t="str">
        <f t="shared" si="22"/>
        <v/>
      </c>
      <c r="S78" s="34" t="str">
        <f t="shared" si="23"/>
        <v/>
      </c>
    </row>
    <row r="79" spans="1:19" x14ac:dyDescent="0.3">
      <c r="A79">
        <v>0</v>
      </c>
      <c r="B79">
        <v>0</v>
      </c>
      <c r="C79">
        <v>0</v>
      </c>
      <c r="D79">
        <v>0</v>
      </c>
      <c r="E79">
        <v>1</v>
      </c>
      <c r="F79">
        <v>12.0920345996209</v>
      </c>
      <c r="G79">
        <v>-4.0745362639427102E-10</v>
      </c>
      <c r="H79">
        <v>-9.31322574615478E-10</v>
      </c>
      <c r="I79">
        <v>-12.0920345996209</v>
      </c>
      <c r="J79">
        <v>4.0745362639427102E-10</v>
      </c>
      <c r="K79">
        <v>0</v>
      </c>
      <c r="L79" s="34" t="str">
        <f t="shared" si="10"/>
        <v>g.csv</v>
      </c>
      <c r="M79" s="34" t="str">
        <f t="shared" si="15"/>
        <v/>
      </c>
      <c r="N79" s="34" t="str">
        <f t="shared" si="18"/>
        <v/>
      </c>
      <c r="O79" s="34" t="str">
        <f t="shared" si="19"/>
        <v/>
      </c>
      <c r="P79" s="34" t="str">
        <f t="shared" si="20"/>
        <v/>
      </c>
      <c r="Q79" s="34" t="str">
        <f t="shared" si="21"/>
        <v/>
      </c>
      <c r="R79" s="34" t="str">
        <f t="shared" si="22"/>
        <v/>
      </c>
      <c r="S79" s="34" t="str">
        <f t="shared" si="23"/>
        <v/>
      </c>
    </row>
    <row r="80" spans="1:19" x14ac:dyDescent="0.3">
      <c r="A80">
        <v>0</v>
      </c>
      <c r="B80">
        <v>0</v>
      </c>
      <c r="C80">
        <v>0</v>
      </c>
      <c r="D80">
        <v>0</v>
      </c>
      <c r="E80">
        <v>2</v>
      </c>
      <c r="F80">
        <v>2.8383554297341398</v>
      </c>
      <c r="G80">
        <v>28.989128645276601</v>
      </c>
      <c r="H80">
        <v>-9.2853169599547893</v>
      </c>
      <c r="I80">
        <v>-2.8383554297341398</v>
      </c>
      <c r="J80">
        <v>-28.989128645276601</v>
      </c>
      <c r="K80">
        <v>398.89920595102001</v>
      </c>
      <c r="L80" s="34" t="str">
        <f t="shared" si="10"/>
        <v>g.csv</v>
      </c>
      <c r="M80" s="34" t="str">
        <f t="shared" si="15"/>
        <v/>
      </c>
      <c r="N80" s="34" t="str">
        <f t="shared" si="18"/>
        <v/>
      </c>
      <c r="O80" s="34" t="str">
        <f t="shared" si="19"/>
        <v/>
      </c>
      <c r="P80" s="34" t="str">
        <f t="shared" si="20"/>
        <v/>
      </c>
      <c r="Q80" s="34" t="str">
        <f t="shared" si="21"/>
        <v/>
      </c>
      <c r="R80" s="34" t="str">
        <f t="shared" si="22"/>
        <v/>
      </c>
      <c r="S80" s="34" t="str">
        <f t="shared" si="23"/>
        <v/>
      </c>
    </row>
    <row r="81" spans="1:19" x14ac:dyDescent="0.3">
      <c r="A81">
        <v>0</v>
      </c>
      <c r="B81">
        <v>0</v>
      </c>
      <c r="C81">
        <v>0</v>
      </c>
      <c r="D81">
        <v>0</v>
      </c>
      <c r="E81">
        <v>3</v>
      </c>
      <c r="F81">
        <v>2.8383554297341602</v>
      </c>
      <c r="G81">
        <v>28.989128641784099</v>
      </c>
      <c r="H81">
        <v>-398.899205927271</v>
      </c>
      <c r="I81">
        <v>-2.8383554297341602</v>
      </c>
      <c r="J81">
        <v>-28.989128641784099</v>
      </c>
      <c r="K81">
        <v>1153.7761157611301</v>
      </c>
      <c r="L81" s="34" t="str">
        <f t="shared" si="10"/>
        <v>g.csv</v>
      </c>
      <c r="M81" s="34" t="str">
        <f t="shared" si="15"/>
        <v/>
      </c>
      <c r="N81" s="34" t="str">
        <f t="shared" si="18"/>
        <v/>
      </c>
      <c r="O81" s="34" t="str">
        <f t="shared" si="19"/>
        <v/>
      </c>
      <c r="P81" s="34" t="str">
        <f t="shared" si="20"/>
        <v/>
      </c>
      <c r="Q81" s="34" t="str">
        <f t="shared" si="21"/>
        <v/>
      </c>
      <c r="R81" s="34" t="str">
        <f t="shared" si="22"/>
        <v/>
      </c>
      <c r="S81" s="34" t="str">
        <f t="shared" si="23"/>
        <v/>
      </c>
    </row>
    <row r="82" spans="1:19" x14ac:dyDescent="0.3">
      <c r="A82">
        <v>0</v>
      </c>
      <c r="B82">
        <v>0</v>
      </c>
      <c r="C82">
        <v>0</v>
      </c>
      <c r="D82">
        <v>0</v>
      </c>
      <c r="E82">
        <v>4</v>
      </c>
      <c r="F82">
        <v>0</v>
      </c>
      <c r="G82">
        <v>-1.62981450557708E-9</v>
      </c>
      <c r="H82">
        <v>-1167.6000000322199</v>
      </c>
      <c r="I82">
        <v>0</v>
      </c>
      <c r="J82">
        <v>1.62981450557708E-9</v>
      </c>
      <c r="K82">
        <v>1167.5999999958999</v>
      </c>
      <c r="L82" s="34" t="str">
        <f t="shared" si="10"/>
        <v>g.csv</v>
      </c>
      <c r="M82" s="34" t="str">
        <f t="shared" si="15"/>
        <v/>
      </c>
      <c r="N82" s="34" t="str">
        <f t="shared" si="18"/>
        <v/>
      </c>
      <c r="O82" s="34" t="str">
        <f t="shared" si="19"/>
        <v/>
      </c>
      <c r="P82" s="34" t="str">
        <f t="shared" si="20"/>
        <v/>
      </c>
      <c r="Q82" s="34" t="str">
        <f t="shared" si="21"/>
        <v/>
      </c>
      <c r="R82" s="34" t="str">
        <f t="shared" si="22"/>
        <v/>
      </c>
      <c r="S82" s="34" t="str">
        <f t="shared" si="23"/>
        <v/>
      </c>
    </row>
    <row r="83" spans="1:19" x14ac:dyDescent="0.3">
      <c r="A83">
        <v>0</v>
      </c>
      <c r="B83">
        <v>0</v>
      </c>
      <c r="C83">
        <v>0</v>
      </c>
      <c r="D83">
        <v>0</v>
      </c>
      <c r="E83">
        <v>5</v>
      </c>
      <c r="F83">
        <v>-7.3756375377308796</v>
      </c>
      <c r="G83">
        <v>4.2389445543520497E-2</v>
      </c>
      <c r="H83">
        <v>3.5364249625683102</v>
      </c>
      <c r="I83">
        <v>7.3756375377308796</v>
      </c>
      <c r="J83">
        <v>-4.2389445543520497E-2</v>
      </c>
      <c r="K83">
        <v>1.7681902527478399</v>
      </c>
      <c r="L83" s="34" t="str">
        <f t="shared" si="10"/>
        <v>g.csv</v>
      </c>
      <c r="M83" s="34" t="str">
        <f t="shared" si="15"/>
        <v/>
      </c>
      <c r="N83" s="34">
        <f t="shared" si="18"/>
        <v>-7.3756375377308796</v>
      </c>
      <c r="O83" s="34">
        <f t="shared" si="19"/>
        <v>4.2389445543520497E-2</v>
      </c>
      <c r="P83" s="34">
        <f t="shared" si="20"/>
        <v>3.5364249625683102</v>
      </c>
      <c r="Q83" s="34">
        <f t="shared" si="21"/>
        <v>7.3756375377308796</v>
      </c>
      <c r="R83" s="34">
        <f t="shared" si="22"/>
        <v>-4.2389445543520497E-2</v>
      </c>
      <c r="S83" s="34">
        <f t="shared" si="23"/>
        <v>1.7681902527478399</v>
      </c>
    </row>
    <row r="84" spans="1:19" x14ac:dyDescent="0.3">
      <c r="A84">
        <v>0</v>
      </c>
      <c r="B84">
        <v>0</v>
      </c>
      <c r="C84">
        <v>0</v>
      </c>
      <c r="D84">
        <v>0</v>
      </c>
      <c r="E84">
        <v>6</v>
      </c>
      <c r="F84">
        <v>-21.793248511110601</v>
      </c>
      <c r="G84">
        <v>0.12142023809571199</v>
      </c>
      <c r="H84">
        <v>10.287459294443</v>
      </c>
      <c r="I84">
        <v>21.793248511110601</v>
      </c>
      <c r="J84">
        <v>-0.12142023809571199</v>
      </c>
      <c r="K84">
        <v>5.0228816579856002</v>
      </c>
      <c r="L84" s="34" t="str">
        <f t="shared" si="10"/>
        <v>g.csv</v>
      </c>
      <c r="M84" s="34" t="str">
        <f t="shared" si="15"/>
        <v/>
      </c>
      <c r="N84" s="34">
        <f t="shared" si="18"/>
        <v>-21.793248511110601</v>
      </c>
      <c r="O84" s="34">
        <f t="shared" si="19"/>
        <v>0.12142023809571199</v>
      </c>
      <c r="P84" s="34">
        <f t="shared" si="20"/>
        <v>10.287459294443</v>
      </c>
      <c r="Q84" s="34">
        <f t="shared" si="21"/>
        <v>21.793248511110601</v>
      </c>
      <c r="R84" s="34">
        <f t="shared" si="22"/>
        <v>-0.12142023809571199</v>
      </c>
      <c r="S84" s="34">
        <f t="shared" si="23"/>
        <v>5.0228816579856002</v>
      </c>
    </row>
    <row r="85" spans="1:19" x14ac:dyDescent="0.3">
      <c r="A85">
        <v>0</v>
      </c>
      <c r="B85">
        <v>0</v>
      </c>
      <c r="C85">
        <v>0</v>
      </c>
      <c r="D85">
        <v>0</v>
      </c>
      <c r="E85">
        <v>7</v>
      </c>
      <c r="F85">
        <v>30.4300764093454</v>
      </c>
      <c r="G85">
        <v>0.102992012528861</v>
      </c>
      <c r="H85">
        <v>9.2853169786212799</v>
      </c>
      <c r="I85">
        <v>-30.4300764093454</v>
      </c>
      <c r="J85">
        <v>-0.102992012528861</v>
      </c>
      <c r="K85">
        <v>4.2292955333206397</v>
      </c>
      <c r="L85" s="34" t="str">
        <f t="shared" ref="L85:L148" si="24">L84</f>
        <v>g.csv</v>
      </c>
      <c r="M85" s="34" t="str">
        <f t="shared" si="15"/>
        <v/>
      </c>
      <c r="N85" s="34">
        <f t="shared" si="18"/>
        <v>30.4300764093454</v>
      </c>
      <c r="O85" s="34">
        <f t="shared" si="19"/>
        <v>0.102992012528861</v>
      </c>
      <c r="P85" s="34">
        <f t="shared" si="20"/>
        <v>9.2853169786212799</v>
      </c>
      <c r="Q85" s="34">
        <f t="shared" si="21"/>
        <v>-30.4300764093454</v>
      </c>
      <c r="R85" s="34">
        <f t="shared" si="22"/>
        <v>-0.102992012528861</v>
      </c>
      <c r="S85" s="34">
        <f t="shared" si="23"/>
        <v>4.2292955333206397</v>
      </c>
    </row>
    <row r="86" spans="1:19" x14ac:dyDescent="0.3">
      <c r="M86" s="34" t="str">
        <f t="shared" si="15"/>
        <v/>
      </c>
      <c r="N86" s="34" t="str">
        <f t="shared" si="18"/>
        <v/>
      </c>
      <c r="O86" s="34" t="str">
        <f t="shared" si="19"/>
        <v/>
      </c>
      <c r="P86" s="34" t="str">
        <f t="shared" si="20"/>
        <v/>
      </c>
      <c r="Q86" s="34" t="str">
        <f t="shared" si="21"/>
        <v/>
      </c>
      <c r="R86" s="34" t="str">
        <f t="shared" si="22"/>
        <v/>
      </c>
      <c r="S86" s="34" t="str">
        <f t="shared" si="23"/>
        <v/>
      </c>
    </row>
    <row r="87" spans="1:19" x14ac:dyDescent="0.3">
      <c r="M87" s="34" t="str">
        <f t="shared" si="15"/>
        <v/>
      </c>
      <c r="N87" s="34" t="str">
        <f t="shared" si="18"/>
        <v/>
      </c>
      <c r="O87" s="34" t="str">
        <f t="shared" si="19"/>
        <v/>
      </c>
      <c r="P87" s="34" t="str">
        <f t="shared" si="20"/>
        <v/>
      </c>
      <c r="Q87" s="34" t="str">
        <f t="shared" si="21"/>
        <v/>
      </c>
      <c r="R87" s="34" t="str">
        <f t="shared" si="22"/>
        <v/>
      </c>
      <c r="S87" s="34" t="str">
        <f t="shared" si="23"/>
        <v/>
      </c>
    </row>
    <row r="88" spans="1:19" x14ac:dyDescent="0.3">
      <c r="A88" t="s">
        <v>206</v>
      </c>
      <c r="L88" s="34" t="str">
        <f t="shared" ref="L88" si="25">RIGHT(A88,5)</f>
        <v>s.csv</v>
      </c>
      <c r="M88" s="34" t="str">
        <f t="shared" si="15"/>
        <v/>
      </c>
      <c r="N88" s="34" t="str">
        <f t="shared" si="18"/>
        <v/>
      </c>
      <c r="O88" s="34" t="str">
        <f t="shared" si="19"/>
        <v/>
      </c>
      <c r="P88" s="34" t="str">
        <f t="shared" si="20"/>
        <v/>
      </c>
      <c r="Q88" s="34" t="str">
        <f t="shared" si="21"/>
        <v/>
      </c>
      <c r="R88" s="34" t="str">
        <f t="shared" si="22"/>
        <v/>
      </c>
      <c r="S88" s="34" t="str">
        <f t="shared" si="23"/>
        <v/>
      </c>
    </row>
    <row r="89" spans="1:19" x14ac:dyDescent="0.3">
      <c r="A89">
        <v>1</v>
      </c>
      <c r="B89">
        <v>5.96226597207185E-2</v>
      </c>
      <c r="C89">
        <v>0</v>
      </c>
      <c r="D89">
        <v>1.2097938305392201E-3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 s="34" t="str">
        <f t="shared" ref="L89" si="26">L88</f>
        <v>s.csv</v>
      </c>
      <c r="M89" s="34">
        <f t="shared" si="15"/>
        <v>68882.26012542205</v>
      </c>
      <c r="N89" s="34" t="str">
        <f t="shared" si="18"/>
        <v/>
      </c>
      <c r="O89" s="34" t="str">
        <f t="shared" si="19"/>
        <v/>
      </c>
      <c r="P89" s="34" t="str">
        <f t="shared" si="20"/>
        <v/>
      </c>
      <c r="Q89" s="34" t="str">
        <f t="shared" si="21"/>
        <v/>
      </c>
      <c r="R89" s="34" t="str">
        <f t="shared" si="22"/>
        <v/>
      </c>
      <c r="S89" s="34" t="str">
        <f t="shared" si="23"/>
        <v/>
      </c>
    </row>
    <row r="90" spans="1:19" x14ac:dyDescent="0.3">
      <c r="A90">
        <v>2</v>
      </c>
      <c r="B90">
        <v>2.87115934509861E-2</v>
      </c>
      <c r="C90">
        <v>-9.1001070296408701E-7</v>
      </c>
      <c r="D90">
        <v>1.2089124503475001E-3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 s="34" t="str">
        <f t="shared" si="24"/>
        <v>s.csv</v>
      </c>
      <c r="M90" s="34" t="str">
        <f t="shared" si="15"/>
        <v/>
      </c>
      <c r="N90" s="34" t="str">
        <f t="shared" si="18"/>
        <v/>
      </c>
      <c r="O90" s="34" t="str">
        <f t="shared" si="19"/>
        <v/>
      </c>
      <c r="P90" s="34" t="str">
        <f t="shared" si="20"/>
        <v/>
      </c>
      <c r="Q90" s="34" t="str">
        <f t="shared" si="21"/>
        <v/>
      </c>
      <c r="R90" s="34" t="str">
        <f t="shared" si="22"/>
        <v/>
      </c>
      <c r="S90" s="34" t="str">
        <f t="shared" si="23"/>
        <v/>
      </c>
    </row>
    <row r="91" spans="1:19" x14ac:dyDescent="0.3">
      <c r="A91">
        <v>3</v>
      </c>
      <c r="B91">
        <v>1.2466571089528601E-2</v>
      </c>
      <c r="C91">
        <v>-1.0182667349791901E-6</v>
      </c>
      <c r="D91">
        <v>1.20852788649998E-3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 s="34" t="str">
        <f t="shared" si="24"/>
        <v>s.csv</v>
      </c>
      <c r="M91" s="34" t="str">
        <f t="shared" si="15"/>
        <v/>
      </c>
      <c r="N91" s="34" t="str">
        <f t="shared" si="18"/>
        <v/>
      </c>
      <c r="O91" s="34" t="str">
        <f t="shared" si="19"/>
        <v/>
      </c>
      <c r="P91" s="34" t="str">
        <f t="shared" si="20"/>
        <v/>
      </c>
      <c r="Q91" s="34" t="str">
        <f t="shared" si="21"/>
        <v/>
      </c>
      <c r="R91" s="34" t="str">
        <f t="shared" si="22"/>
        <v/>
      </c>
      <c r="S91" s="34" t="str">
        <f t="shared" si="23"/>
        <v/>
      </c>
    </row>
    <row r="92" spans="1:19" x14ac:dyDescent="0.3">
      <c r="A92">
        <v>4</v>
      </c>
      <c r="B92">
        <v>-1.8998354319093299E-2</v>
      </c>
      <c r="C92">
        <v>-1.2280127970084501E-6</v>
      </c>
      <c r="D92">
        <v>1.2082317600116399E-3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 s="34" t="str">
        <f t="shared" si="24"/>
        <v>s.csv</v>
      </c>
      <c r="M92" s="34" t="str">
        <f t="shared" si="15"/>
        <v/>
      </c>
      <c r="N92" s="34" t="str">
        <f t="shared" si="18"/>
        <v/>
      </c>
      <c r="O92" s="34" t="str">
        <f t="shared" si="19"/>
        <v/>
      </c>
      <c r="P92" s="34" t="str">
        <f t="shared" si="20"/>
        <v/>
      </c>
      <c r="Q92" s="34" t="str">
        <f t="shared" si="21"/>
        <v/>
      </c>
      <c r="R92" s="34" t="str">
        <f t="shared" si="22"/>
        <v/>
      </c>
      <c r="S92" s="34" t="str">
        <f t="shared" si="23"/>
        <v/>
      </c>
    </row>
    <row r="93" spans="1:19" x14ac:dyDescent="0.3">
      <c r="A93">
        <v>5</v>
      </c>
      <c r="B93">
        <v>-3.4657037928844198E-2</v>
      </c>
      <c r="C93">
        <v>-1.2280127970084501E-6</v>
      </c>
      <c r="D93">
        <v>1.2082317600116399E-3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 s="34" t="str">
        <f t="shared" si="24"/>
        <v>s.csv</v>
      </c>
      <c r="M93" s="34" t="str">
        <f t="shared" si="15"/>
        <v/>
      </c>
      <c r="N93" s="34" t="str">
        <f t="shared" si="18"/>
        <v/>
      </c>
      <c r="O93" s="34" t="str">
        <f t="shared" si="19"/>
        <v/>
      </c>
      <c r="P93" s="34" t="str">
        <f t="shared" si="20"/>
        <v/>
      </c>
      <c r="Q93" s="34" t="str">
        <f t="shared" si="21"/>
        <v/>
      </c>
      <c r="R93" s="34" t="str">
        <f t="shared" si="22"/>
        <v/>
      </c>
      <c r="S93" s="34" t="str">
        <f t="shared" si="23"/>
        <v/>
      </c>
    </row>
    <row r="94" spans="1:19" x14ac:dyDescent="0.3">
      <c r="A94">
        <v>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 s="34" t="str">
        <f t="shared" si="24"/>
        <v>s.csv</v>
      </c>
      <c r="M94" s="34" t="str">
        <f t="shared" si="15"/>
        <v/>
      </c>
      <c r="N94" s="34" t="str">
        <f t="shared" si="18"/>
        <v/>
      </c>
      <c r="O94" s="34" t="str">
        <f t="shared" si="19"/>
        <v/>
      </c>
      <c r="P94" s="34" t="str">
        <f t="shared" si="20"/>
        <v/>
      </c>
      <c r="Q94" s="34" t="str">
        <f t="shared" si="21"/>
        <v/>
      </c>
      <c r="R94" s="34" t="str">
        <f t="shared" si="22"/>
        <v/>
      </c>
      <c r="S94" s="34" t="str">
        <f t="shared" si="23"/>
        <v/>
      </c>
    </row>
    <row r="95" spans="1:19" x14ac:dyDescent="0.3">
      <c r="A95">
        <v>7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 s="34" t="str">
        <f t="shared" si="24"/>
        <v>s.csv</v>
      </c>
      <c r="M95" s="34" t="str">
        <f t="shared" si="15"/>
        <v/>
      </c>
      <c r="N95" s="34" t="str">
        <f t="shared" si="18"/>
        <v/>
      </c>
      <c r="O95" s="34" t="str">
        <f t="shared" si="19"/>
        <v/>
      </c>
      <c r="P95" s="34" t="str">
        <f t="shared" si="20"/>
        <v/>
      </c>
      <c r="Q95" s="34" t="str">
        <f t="shared" si="21"/>
        <v/>
      </c>
      <c r="R95" s="34" t="str">
        <f t="shared" si="22"/>
        <v/>
      </c>
      <c r="S95" s="34" t="str">
        <f t="shared" si="23"/>
        <v/>
      </c>
    </row>
    <row r="96" spans="1:19" x14ac:dyDescent="0.3">
      <c r="A96">
        <v>0</v>
      </c>
      <c r="B96">
        <v>0</v>
      </c>
      <c r="C96">
        <v>0</v>
      </c>
      <c r="D96">
        <v>0</v>
      </c>
      <c r="E96">
        <v>1</v>
      </c>
      <c r="F96">
        <v>10.3238150840844</v>
      </c>
      <c r="G96">
        <v>-3.4924596548080398E-10</v>
      </c>
      <c r="H96">
        <v>999.99999999534305</v>
      </c>
      <c r="I96">
        <v>-10.3238150840844</v>
      </c>
      <c r="J96">
        <v>3.4924596548080398E-10</v>
      </c>
      <c r="K96">
        <v>-1000.00000000279</v>
      </c>
      <c r="L96" s="34" t="str">
        <f t="shared" si="24"/>
        <v>s.csv</v>
      </c>
      <c r="M96" s="34" t="str">
        <f t="shared" si="15"/>
        <v/>
      </c>
      <c r="N96" s="34" t="str">
        <f t="shared" si="18"/>
        <v/>
      </c>
      <c r="O96" s="34" t="str">
        <f t="shared" si="19"/>
        <v/>
      </c>
      <c r="P96" s="34" t="str">
        <f t="shared" si="20"/>
        <v/>
      </c>
      <c r="Q96" s="34" t="str">
        <f t="shared" si="21"/>
        <v/>
      </c>
      <c r="R96" s="34" t="str">
        <f t="shared" si="22"/>
        <v/>
      </c>
      <c r="S96" s="34" t="str">
        <f t="shared" si="23"/>
        <v/>
      </c>
    </row>
    <row r="97" spans="1:19" x14ac:dyDescent="0.3">
      <c r="A97">
        <v>0</v>
      </c>
      <c r="B97">
        <v>0</v>
      </c>
      <c r="C97">
        <v>0</v>
      </c>
      <c r="D97">
        <v>0</v>
      </c>
      <c r="E97">
        <v>2</v>
      </c>
      <c r="F97">
        <v>2.33564805501871</v>
      </c>
      <c r="G97">
        <v>25.329280645819299</v>
      </c>
      <c r="H97">
        <v>999.99999998230396</v>
      </c>
      <c r="I97">
        <v>-2.33564805501871</v>
      </c>
      <c r="J97">
        <v>-25.329280645819299</v>
      </c>
      <c r="K97">
        <v>-659.57446810044303</v>
      </c>
      <c r="L97" s="34" t="str">
        <f t="shared" si="24"/>
        <v>s.csv</v>
      </c>
      <c r="M97" s="34" t="str">
        <f t="shared" si="15"/>
        <v/>
      </c>
      <c r="N97" s="34" t="str">
        <f t="shared" si="18"/>
        <v/>
      </c>
      <c r="O97" s="34" t="str">
        <f t="shared" si="19"/>
        <v/>
      </c>
      <c r="P97" s="34" t="str">
        <f t="shared" si="20"/>
        <v/>
      </c>
      <c r="Q97" s="34" t="str">
        <f t="shared" si="21"/>
        <v/>
      </c>
      <c r="R97" s="34" t="str">
        <f t="shared" si="22"/>
        <v/>
      </c>
      <c r="S97" s="34" t="str">
        <f t="shared" si="23"/>
        <v/>
      </c>
    </row>
    <row r="98" spans="1:19" x14ac:dyDescent="0.3">
      <c r="A98">
        <v>0</v>
      </c>
      <c r="B98">
        <v>0</v>
      </c>
      <c r="C98">
        <v>0</v>
      </c>
      <c r="D98">
        <v>0</v>
      </c>
      <c r="E98">
        <v>3</v>
      </c>
      <c r="F98">
        <v>2.33564805501871</v>
      </c>
      <c r="G98">
        <v>25.329280648787901</v>
      </c>
      <c r="H98">
        <v>659.57446808973305</v>
      </c>
      <c r="I98">
        <v>-2.33564805501871</v>
      </c>
      <c r="J98">
        <v>-25.329280648787901</v>
      </c>
      <c r="K98">
        <v>5.5879354476928703E-9</v>
      </c>
      <c r="L98" s="34" t="str">
        <f t="shared" si="24"/>
        <v>s.csv</v>
      </c>
      <c r="M98" s="34" t="str">
        <f t="shared" si="15"/>
        <v/>
      </c>
      <c r="N98" s="34" t="str">
        <f t="shared" si="18"/>
        <v/>
      </c>
      <c r="O98" s="34" t="str">
        <f t="shared" si="19"/>
        <v/>
      </c>
      <c r="P98" s="34" t="str">
        <f t="shared" si="20"/>
        <v/>
      </c>
      <c r="Q98" s="34" t="str">
        <f t="shared" si="21"/>
        <v/>
      </c>
      <c r="R98" s="34" t="str">
        <f t="shared" si="22"/>
        <v/>
      </c>
      <c r="S98" s="34" t="str">
        <f t="shared" si="23"/>
        <v/>
      </c>
    </row>
    <row r="99" spans="1:19" x14ac:dyDescent="0.3">
      <c r="A99">
        <v>0</v>
      </c>
      <c r="B99">
        <v>0</v>
      </c>
      <c r="C99">
        <v>0</v>
      </c>
      <c r="D99">
        <v>0</v>
      </c>
      <c r="E99">
        <v>4</v>
      </c>
      <c r="F99">
        <v>0</v>
      </c>
      <c r="G99">
        <v>-1.3969838619232099E-9</v>
      </c>
      <c r="H99">
        <v>-1.7695128917693999E-8</v>
      </c>
      <c r="I99">
        <v>0</v>
      </c>
      <c r="J99">
        <v>1.3969838619232099E-9</v>
      </c>
      <c r="K99">
        <v>-1.3038516044616699E-8</v>
      </c>
      <c r="L99" s="34" t="str">
        <f t="shared" si="24"/>
        <v>s.csv</v>
      </c>
      <c r="M99" s="34" t="str">
        <f t="shared" si="15"/>
        <v/>
      </c>
      <c r="N99" s="34" t="str">
        <f t="shared" si="18"/>
        <v/>
      </c>
      <c r="O99" s="34" t="str">
        <f t="shared" si="19"/>
        <v/>
      </c>
      <c r="P99" s="34" t="str">
        <f t="shared" si="20"/>
        <v/>
      </c>
      <c r="Q99" s="34" t="str">
        <f t="shared" si="21"/>
        <v/>
      </c>
      <c r="R99" s="34" t="str">
        <f t="shared" si="22"/>
        <v/>
      </c>
      <c r="S99" s="34" t="str">
        <f t="shared" si="23"/>
        <v/>
      </c>
    </row>
    <row r="100" spans="1:19" x14ac:dyDescent="0.3">
      <c r="A100">
        <v>0</v>
      </c>
      <c r="B100">
        <v>0</v>
      </c>
      <c r="C100">
        <v>0</v>
      </c>
      <c r="D100">
        <v>0</v>
      </c>
      <c r="E100">
        <v>5</v>
      </c>
      <c r="F100">
        <v>-6.4411313624434499</v>
      </c>
      <c r="G100">
        <v>-1.50194938175622E-7</v>
      </c>
      <c r="H100">
        <v>0</v>
      </c>
      <c r="I100">
        <v>6.4411313624434499</v>
      </c>
      <c r="J100">
        <v>1.50194938175622E-7</v>
      </c>
      <c r="K100">
        <v>-1.8795394563297401E-5</v>
      </c>
      <c r="L100" s="34" t="str">
        <f t="shared" si="24"/>
        <v>s.csv</v>
      </c>
      <c r="M100" s="34" t="str">
        <f t="shared" si="15"/>
        <v/>
      </c>
      <c r="N100" s="34" t="str">
        <f t="shared" si="18"/>
        <v/>
      </c>
      <c r="O100" s="34" t="str">
        <f t="shared" si="19"/>
        <v/>
      </c>
      <c r="P100" s="34" t="str">
        <f t="shared" si="20"/>
        <v/>
      </c>
      <c r="Q100" s="34" t="str">
        <f t="shared" si="21"/>
        <v/>
      </c>
      <c r="R100" s="34" t="str">
        <f t="shared" si="22"/>
        <v/>
      </c>
      <c r="S100" s="34" t="str">
        <f t="shared" si="23"/>
        <v/>
      </c>
    </row>
    <row r="101" spans="1:19" x14ac:dyDescent="0.3">
      <c r="A101">
        <v>0</v>
      </c>
      <c r="B101">
        <v>0</v>
      </c>
      <c r="C101">
        <v>0</v>
      </c>
      <c r="D101">
        <v>0</v>
      </c>
      <c r="E101">
        <v>6</v>
      </c>
      <c r="F101">
        <v>-19.032010804034702</v>
      </c>
      <c r="G101">
        <v>-8.3695246811954505E-4</v>
      </c>
      <c r="H101">
        <v>0</v>
      </c>
      <c r="I101">
        <v>19.032010804034702</v>
      </c>
      <c r="J101">
        <v>8.3695246811954505E-4</v>
      </c>
      <c r="K101">
        <v>-0.105534529077307</v>
      </c>
      <c r="L101" s="34" t="str">
        <f t="shared" si="24"/>
        <v>s.csv</v>
      </c>
      <c r="M101" s="34" t="str">
        <f t="shared" si="15"/>
        <v/>
      </c>
      <c r="N101" s="34" t="str">
        <f t="shared" si="18"/>
        <v/>
      </c>
      <c r="O101" s="34" t="str">
        <f t="shared" si="19"/>
        <v/>
      </c>
      <c r="P101" s="34" t="str">
        <f t="shared" si="20"/>
        <v/>
      </c>
      <c r="Q101" s="34" t="str">
        <f t="shared" si="21"/>
        <v/>
      </c>
      <c r="R101" s="34" t="str">
        <f t="shared" si="22"/>
        <v/>
      </c>
      <c r="S101" s="34" t="str">
        <f t="shared" si="23"/>
        <v/>
      </c>
    </row>
    <row r="102" spans="1:19" x14ac:dyDescent="0.3">
      <c r="A102">
        <v>0</v>
      </c>
      <c r="B102">
        <v>0</v>
      </c>
      <c r="C102">
        <v>0</v>
      </c>
      <c r="D102">
        <v>0</v>
      </c>
      <c r="E102">
        <v>7</v>
      </c>
      <c r="F102">
        <v>26.5590523754828</v>
      </c>
      <c r="G102">
        <v>-2.7494128906893002E-3</v>
      </c>
      <c r="H102">
        <v>0</v>
      </c>
      <c r="I102">
        <v>-26.5590523754828</v>
      </c>
      <c r="J102">
        <v>2.7494128906893002E-3</v>
      </c>
      <c r="K102">
        <v>-0.36077797627834701</v>
      </c>
      <c r="L102" s="34" t="str">
        <f t="shared" si="24"/>
        <v>s.csv</v>
      </c>
      <c r="M102" s="34" t="str">
        <f t="shared" si="15"/>
        <v/>
      </c>
      <c r="N102" s="34" t="str">
        <f t="shared" si="18"/>
        <v/>
      </c>
      <c r="O102" s="34" t="str">
        <f t="shared" si="19"/>
        <v/>
      </c>
      <c r="P102" s="34" t="str">
        <f t="shared" si="20"/>
        <v/>
      </c>
      <c r="Q102" s="34" t="str">
        <f t="shared" si="21"/>
        <v/>
      </c>
      <c r="R102" s="34" t="str">
        <f t="shared" si="22"/>
        <v/>
      </c>
      <c r="S102" s="34" t="str">
        <f t="shared" si="23"/>
        <v/>
      </c>
    </row>
    <row r="103" spans="1:19" x14ac:dyDescent="0.3">
      <c r="M103" s="34" t="str">
        <f t="shared" si="15"/>
        <v/>
      </c>
      <c r="N103" s="34" t="str">
        <f t="shared" si="18"/>
        <v/>
      </c>
      <c r="O103" s="34" t="str">
        <f t="shared" si="19"/>
        <v/>
      </c>
      <c r="P103" s="34" t="str">
        <f t="shared" si="20"/>
        <v/>
      </c>
      <c r="Q103" s="34" t="str">
        <f t="shared" si="21"/>
        <v/>
      </c>
      <c r="R103" s="34" t="str">
        <f t="shared" si="22"/>
        <v/>
      </c>
      <c r="S103" s="34" t="str">
        <f t="shared" si="23"/>
        <v/>
      </c>
    </row>
    <row r="104" spans="1:19" x14ac:dyDescent="0.3">
      <c r="M104" s="34" t="str">
        <f t="shared" si="15"/>
        <v/>
      </c>
      <c r="N104" s="34" t="str">
        <f t="shared" si="18"/>
        <v/>
      </c>
      <c r="O104" s="34" t="str">
        <f t="shared" si="19"/>
        <v/>
      </c>
      <c r="P104" s="34" t="str">
        <f t="shared" si="20"/>
        <v/>
      </c>
      <c r="Q104" s="34" t="str">
        <f t="shared" si="21"/>
        <v/>
      </c>
      <c r="R104" s="34" t="str">
        <f t="shared" si="22"/>
        <v/>
      </c>
      <c r="S104" s="34" t="str">
        <f t="shared" si="23"/>
        <v/>
      </c>
    </row>
    <row r="105" spans="1:19" x14ac:dyDescent="0.3">
      <c r="A105" t="s">
        <v>207</v>
      </c>
      <c r="L105" s="34" t="str">
        <f t="shared" ref="L105" si="27">RIGHT(A105,5)</f>
        <v>l.csv</v>
      </c>
      <c r="M105" s="34" t="str">
        <f t="shared" si="15"/>
        <v/>
      </c>
      <c r="N105" s="34" t="str">
        <f t="shared" si="18"/>
        <v/>
      </c>
      <c r="O105" s="34" t="str">
        <f t="shared" si="19"/>
        <v/>
      </c>
      <c r="P105" s="34" t="str">
        <f t="shared" si="20"/>
        <v/>
      </c>
      <c r="Q105" s="34" t="str">
        <f t="shared" si="21"/>
        <v/>
      </c>
      <c r="R105" s="34" t="str">
        <f t="shared" si="22"/>
        <v/>
      </c>
      <c r="S105" s="34" t="str">
        <f t="shared" si="23"/>
        <v/>
      </c>
    </row>
    <row r="106" spans="1:19" x14ac:dyDescent="0.3">
      <c r="A106">
        <v>1</v>
      </c>
      <c r="B106">
        <v>1.7505402762443199E-2</v>
      </c>
      <c r="C106">
        <v>0</v>
      </c>
      <c r="D106">
        <v>4.0705411242302999E-4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 s="34" t="str">
        <f t="shared" ref="L106" si="28">L105</f>
        <v>l.csv</v>
      </c>
      <c r="M106" s="34" t="str">
        <f t="shared" si="15"/>
        <v/>
      </c>
      <c r="N106" s="34" t="str">
        <f t="shared" si="18"/>
        <v/>
      </c>
      <c r="O106" s="34" t="str">
        <f t="shared" si="19"/>
        <v/>
      </c>
      <c r="P106" s="34" t="str">
        <f t="shared" si="20"/>
        <v/>
      </c>
      <c r="Q106" s="34" t="str">
        <f t="shared" si="21"/>
        <v/>
      </c>
      <c r="R106" s="34" t="str">
        <f t="shared" si="22"/>
        <v/>
      </c>
      <c r="S106" s="34" t="str">
        <f t="shared" si="23"/>
        <v/>
      </c>
    </row>
    <row r="107" spans="1:19" x14ac:dyDescent="0.3">
      <c r="A107">
        <v>2</v>
      </c>
      <c r="B107">
        <v>7.1010996489105404E-3</v>
      </c>
      <c r="C107">
        <v>-1.8131775570064601E-7</v>
      </c>
      <c r="D107">
        <v>4.0705411242302999E-4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 s="34" t="str">
        <f t="shared" si="24"/>
        <v>l.csv</v>
      </c>
      <c r="M107" s="34" t="str">
        <f t="shared" si="15"/>
        <v/>
      </c>
      <c r="N107" s="34" t="str">
        <f t="shared" si="18"/>
        <v/>
      </c>
      <c r="O107" s="34" t="str">
        <f t="shared" si="19"/>
        <v/>
      </c>
      <c r="P107" s="34" t="str">
        <f t="shared" si="20"/>
        <v/>
      </c>
      <c r="Q107" s="34" t="str">
        <f t="shared" si="21"/>
        <v/>
      </c>
      <c r="R107" s="34" t="str">
        <f t="shared" si="22"/>
        <v/>
      </c>
      <c r="S107" s="34" t="str">
        <f t="shared" si="23"/>
        <v/>
      </c>
    </row>
    <row r="108" spans="1:19" x14ac:dyDescent="0.3">
      <c r="A108">
        <v>3</v>
      </c>
      <c r="B108">
        <v>6.5149412756450396E-3</v>
      </c>
      <c r="C108">
        <v>-1.8085956068288901E-7</v>
      </c>
      <c r="D108">
        <v>4.07054905475338E-4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 s="34" t="str">
        <f t="shared" si="24"/>
        <v>l.csv</v>
      </c>
      <c r="M108" s="34" t="str">
        <f t="shared" si="15"/>
        <v/>
      </c>
      <c r="N108" s="34" t="str">
        <f t="shared" si="18"/>
        <v/>
      </c>
      <c r="O108" s="34" t="str">
        <f t="shared" si="19"/>
        <v/>
      </c>
      <c r="P108" s="34" t="str">
        <f t="shared" si="20"/>
        <v/>
      </c>
      <c r="Q108" s="34" t="str">
        <f t="shared" si="21"/>
        <v/>
      </c>
      <c r="R108" s="34" t="str">
        <f t="shared" si="22"/>
        <v/>
      </c>
      <c r="S108" s="34" t="str">
        <f t="shared" si="23"/>
        <v/>
      </c>
    </row>
    <row r="109" spans="1:19" x14ac:dyDescent="0.3">
      <c r="A109">
        <v>4</v>
      </c>
      <c r="B109">
        <v>7.9984270737409597E-4</v>
      </c>
      <c r="C109">
        <v>-1.7639215925975999E-7</v>
      </c>
      <c r="D109">
        <v>4.0705880086120701E-4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 s="34" t="str">
        <f t="shared" si="24"/>
        <v>l.csv</v>
      </c>
      <c r="M109" s="34" t="str">
        <f t="shared" si="15"/>
        <v/>
      </c>
      <c r="N109" s="34" t="str">
        <f t="shared" si="18"/>
        <v/>
      </c>
      <c r="O109" s="34" t="str">
        <f t="shared" si="19"/>
        <v/>
      </c>
      <c r="P109" s="34" t="str">
        <f t="shared" si="20"/>
        <v/>
      </c>
      <c r="Q109" s="34" t="str">
        <f t="shared" si="21"/>
        <v/>
      </c>
      <c r="R109" s="34" t="str">
        <f t="shared" si="22"/>
        <v/>
      </c>
      <c r="S109" s="34" t="str">
        <f t="shared" si="23"/>
        <v/>
      </c>
    </row>
    <row r="110" spans="1:19" x14ac:dyDescent="0.3">
      <c r="A110">
        <v>5</v>
      </c>
      <c r="B110">
        <v>-4.4756393517871498E-3</v>
      </c>
      <c r="C110">
        <v>-1.7639215925975999E-7</v>
      </c>
      <c r="D110">
        <v>4.0705880086120701E-4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 s="34" t="str">
        <f t="shared" si="24"/>
        <v>l.csv</v>
      </c>
      <c r="M110" s="34" t="str">
        <f t="shared" si="15"/>
        <v/>
      </c>
      <c r="N110" s="34" t="str">
        <f t="shared" si="18"/>
        <v/>
      </c>
      <c r="O110" s="34" t="str">
        <f t="shared" si="19"/>
        <v/>
      </c>
      <c r="P110" s="34" t="str">
        <f t="shared" si="20"/>
        <v/>
      </c>
      <c r="Q110" s="34" t="str">
        <f t="shared" si="21"/>
        <v/>
      </c>
      <c r="R110" s="34" t="str">
        <f t="shared" si="22"/>
        <v/>
      </c>
      <c r="S110" s="34" t="str">
        <f t="shared" si="23"/>
        <v/>
      </c>
    </row>
    <row r="111" spans="1:19" x14ac:dyDescent="0.3">
      <c r="A111">
        <v>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 s="34" t="str">
        <f t="shared" si="24"/>
        <v>l.csv</v>
      </c>
      <c r="M111" s="34" t="str">
        <f t="shared" si="15"/>
        <v/>
      </c>
      <c r="N111" s="34" t="str">
        <f t="shared" si="18"/>
        <v/>
      </c>
      <c r="O111" s="34" t="str">
        <f t="shared" si="19"/>
        <v/>
      </c>
      <c r="P111" s="34" t="str">
        <f t="shared" si="20"/>
        <v/>
      </c>
      <c r="Q111" s="34" t="str">
        <f t="shared" si="21"/>
        <v/>
      </c>
      <c r="R111" s="34" t="str">
        <f t="shared" si="22"/>
        <v/>
      </c>
      <c r="S111" s="34" t="str">
        <f t="shared" si="23"/>
        <v/>
      </c>
    </row>
    <row r="112" spans="1:19" x14ac:dyDescent="0.3">
      <c r="A112">
        <v>7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 s="34" t="str">
        <f t="shared" si="24"/>
        <v>l.csv</v>
      </c>
      <c r="M112" s="34" t="str">
        <f t="shared" si="15"/>
        <v/>
      </c>
      <c r="N112" s="34" t="str">
        <f t="shared" si="18"/>
        <v/>
      </c>
      <c r="O112" s="34" t="str">
        <f t="shared" si="19"/>
        <v/>
      </c>
      <c r="P112" s="34" t="str">
        <f t="shared" si="20"/>
        <v/>
      </c>
      <c r="Q112" s="34" t="str">
        <f t="shared" si="21"/>
        <v/>
      </c>
      <c r="R112" s="34" t="str">
        <f t="shared" si="22"/>
        <v/>
      </c>
      <c r="S112" s="34" t="str">
        <f t="shared" si="23"/>
        <v/>
      </c>
    </row>
    <row r="113" spans="1:19" x14ac:dyDescent="0.3">
      <c r="A113">
        <v>0</v>
      </c>
      <c r="B113">
        <v>0</v>
      </c>
      <c r="C113">
        <v>0</v>
      </c>
      <c r="D113">
        <v>0</v>
      </c>
      <c r="E113">
        <v>1</v>
      </c>
      <c r="F113">
        <v>2.05699886299969</v>
      </c>
      <c r="G113">
        <v>-7.2759576141834194E-11</v>
      </c>
      <c r="H113">
        <v>-1.3969838619232099E-9</v>
      </c>
      <c r="I113">
        <v>-2.05699886299969</v>
      </c>
      <c r="J113">
        <v>7.2759576141834194E-11</v>
      </c>
      <c r="K113">
        <v>-4.65661287307739E-10</v>
      </c>
      <c r="L113" s="34" t="str">
        <f t="shared" si="24"/>
        <v>l.csv</v>
      </c>
      <c r="M113" s="34" t="str">
        <f t="shared" si="15"/>
        <v/>
      </c>
      <c r="N113" s="34" t="str">
        <f t="shared" si="18"/>
        <v/>
      </c>
      <c r="O113" s="34" t="str">
        <f t="shared" si="19"/>
        <v/>
      </c>
      <c r="P113" s="34" t="str">
        <f t="shared" si="20"/>
        <v/>
      </c>
      <c r="Q113" s="34" t="str">
        <f t="shared" si="21"/>
        <v/>
      </c>
      <c r="R113" s="34" t="str">
        <f t="shared" si="22"/>
        <v/>
      </c>
      <c r="S113" s="34" t="str">
        <f t="shared" si="23"/>
        <v/>
      </c>
    </row>
    <row r="114" spans="1:19" x14ac:dyDescent="0.3">
      <c r="A114">
        <v>0</v>
      </c>
      <c r="B114">
        <v>0</v>
      </c>
      <c r="C114">
        <v>0</v>
      </c>
      <c r="D114">
        <v>0</v>
      </c>
      <c r="E114">
        <v>2</v>
      </c>
      <c r="F114">
        <v>-9.2266157981917701E-2</v>
      </c>
      <c r="G114">
        <v>13.941193938255299</v>
      </c>
      <c r="H114">
        <v>-5.9335166551172698</v>
      </c>
      <c r="I114">
        <v>9.2266157981917701E-2</v>
      </c>
      <c r="J114">
        <v>-13.941193938255299</v>
      </c>
      <c r="K114">
        <v>26.008835963904801</v>
      </c>
      <c r="L114" s="34" t="str">
        <f t="shared" si="24"/>
        <v>l.csv</v>
      </c>
      <c r="M114" s="34" t="str">
        <f t="shared" si="15"/>
        <v/>
      </c>
      <c r="N114" s="34" t="str">
        <f t="shared" si="18"/>
        <v/>
      </c>
      <c r="O114" s="34" t="str">
        <f t="shared" si="19"/>
        <v/>
      </c>
      <c r="P114" s="34" t="str">
        <f t="shared" si="20"/>
        <v/>
      </c>
      <c r="Q114" s="34" t="str">
        <f t="shared" si="21"/>
        <v/>
      </c>
      <c r="R114" s="34" t="str">
        <f t="shared" si="22"/>
        <v/>
      </c>
      <c r="S114" s="34" t="str">
        <f t="shared" si="23"/>
        <v/>
      </c>
    </row>
    <row r="115" spans="1:19" x14ac:dyDescent="0.3">
      <c r="A115">
        <v>0</v>
      </c>
      <c r="B115">
        <v>0</v>
      </c>
      <c r="C115">
        <v>0</v>
      </c>
      <c r="D115">
        <v>0</v>
      </c>
      <c r="E115">
        <v>3</v>
      </c>
      <c r="F115">
        <v>-9.2266157981914093E-2</v>
      </c>
      <c r="G115">
        <v>-2.5588061391608701</v>
      </c>
      <c r="H115">
        <v>-26.00883599394</v>
      </c>
      <c r="I115">
        <v>9.2266157981914093E-2</v>
      </c>
      <c r="J115">
        <v>2.5588061391608701</v>
      </c>
      <c r="K115">
        <v>-9.9168022004887408</v>
      </c>
      <c r="L115" s="34" t="str">
        <f t="shared" si="24"/>
        <v>l.csv</v>
      </c>
      <c r="M115" s="34" t="str">
        <f t="shared" si="15"/>
        <v/>
      </c>
      <c r="N115" s="34" t="str">
        <f t="shared" si="18"/>
        <v/>
      </c>
      <c r="O115" s="34" t="str">
        <f t="shared" si="19"/>
        <v/>
      </c>
      <c r="P115" s="34" t="str">
        <f t="shared" si="20"/>
        <v/>
      </c>
      <c r="Q115" s="34" t="str">
        <f t="shared" si="21"/>
        <v/>
      </c>
      <c r="R115" s="34" t="str">
        <f t="shared" si="22"/>
        <v/>
      </c>
      <c r="S115" s="34" t="str">
        <f t="shared" si="23"/>
        <v/>
      </c>
    </row>
    <row r="116" spans="1:19" x14ac:dyDescent="0.3">
      <c r="A116">
        <v>0</v>
      </c>
      <c r="B116">
        <v>0</v>
      </c>
      <c r="C116">
        <v>0</v>
      </c>
      <c r="D116">
        <v>0</v>
      </c>
      <c r="E116">
        <v>4</v>
      </c>
      <c r="F116">
        <v>-1.33226762955018E-15</v>
      </c>
      <c r="G116">
        <v>-1.7462298274040199E-10</v>
      </c>
      <c r="H116">
        <v>-9.31322574615478E-10</v>
      </c>
      <c r="I116">
        <v>1.33226762955018E-15</v>
      </c>
      <c r="J116">
        <v>1.7462298274040199E-10</v>
      </c>
      <c r="K116">
        <v>-1.3969838619232099E-9</v>
      </c>
      <c r="L116" s="34" t="str">
        <f t="shared" si="24"/>
        <v>l.csv</v>
      </c>
      <c r="M116" s="34" t="str">
        <f t="shared" si="15"/>
        <v/>
      </c>
      <c r="N116" s="34" t="str">
        <f t="shared" si="18"/>
        <v/>
      </c>
      <c r="O116" s="34" t="str">
        <f t="shared" si="19"/>
        <v/>
      </c>
      <c r="P116" s="34" t="str">
        <f t="shared" si="20"/>
        <v/>
      </c>
      <c r="Q116" s="34" t="str">
        <f t="shared" si="21"/>
        <v/>
      </c>
      <c r="R116" s="34" t="str">
        <f t="shared" si="22"/>
        <v/>
      </c>
      <c r="S116" s="34" t="str">
        <f t="shared" si="23"/>
        <v/>
      </c>
    </row>
    <row r="117" spans="1:19" x14ac:dyDescent="0.3">
      <c r="A117">
        <v>0</v>
      </c>
      <c r="B117">
        <v>0</v>
      </c>
      <c r="C117">
        <v>0</v>
      </c>
      <c r="D117">
        <v>0</v>
      </c>
      <c r="E117">
        <v>5</v>
      </c>
      <c r="F117">
        <v>0.974208417581649</v>
      </c>
      <c r="G117">
        <v>5.36059593098017E-2</v>
      </c>
      <c r="H117">
        <v>3.7345562417306102</v>
      </c>
      <c r="I117">
        <v>-0.974208417581649</v>
      </c>
      <c r="J117">
        <v>-5.36059593098017E-2</v>
      </c>
      <c r="K117">
        <v>1.86726650614366</v>
      </c>
      <c r="L117" s="34" t="str">
        <f t="shared" si="24"/>
        <v>l.csv</v>
      </c>
      <c r="M117" s="34" t="str">
        <f t="shared" si="15"/>
        <v/>
      </c>
      <c r="N117" s="34">
        <f t="shared" si="18"/>
        <v>0.974208417581649</v>
      </c>
      <c r="O117" s="34">
        <f t="shared" si="19"/>
        <v>5.36059593098017E-2</v>
      </c>
      <c r="P117" s="34">
        <f t="shared" si="20"/>
        <v>3.7345562417306102</v>
      </c>
      <c r="Q117" s="34">
        <f t="shared" si="21"/>
        <v>-0.974208417581649</v>
      </c>
      <c r="R117" s="34">
        <f t="shared" si="22"/>
        <v>-5.36059593098017E-2</v>
      </c>
      <c r="S117" s="34">
        <f t="shared" si="23"/>
        <v>1.86726650614366</v>
      </c>
    </row>
    <row r="118" spans="1:19" x14ac:dyDescent="0.3">
      <c r="A118">
        <v>0</v>
      </c>
      <c r="B118">
        <v>0</v>
      </c>
      <c r="C118">
        <v>0</v>
      </c>
      <c r="D118">
        <v>0</v>
      </c>
      <c r="E118">
        <v>6</v>
      </c>
      <c r="F118">
        <v>1.58886813567616</v>
      </c>
      <c r="G118">
        <v>8.7901429548816107E-2</v>
      </c>
      <c r="H118">
        <v>6.1822459596885198</v>
      </c>
      <c r="I118">
        <v>-1.58886813567616</v>
      </c>
      <c r="J118">
        <v>-8.7901429548816107E-2</v>
      </c>
      <c r="K118">
        <v>3.1036905136006898</v>
      </c>
      <c r="L118" s="34" t="str">
        <f t="shared" si="24"/>
        <v>l.csv</v>
      </c>
      <c r="M118" s="34" t="str">
        <f t="shared" si="15"/>
        <v/>
      </c>
      <c r="N118" s="34">
        <f t="shared" si="18"/>
        <v>1.58886813567616</v>
      </c>
      <c r="O118" s="34">
        <f t="shared" si="19"/>
        <v>8.7901429548816107E-2</v>
      </c>
      <c r="P118" s="34">
        <f t="shared" si="20"/>
        <v>6.1822459596885198</v>
      </c>
      <c r="Q118" s="34">
        <f t="shared" si="21"/>
        <v>-1.58886813567616</v>
      </c>
      <c r="R118" s="34">
        <f t="shared" si="22"/>
        <v>-8.7901429548816107E-2</v>
      </c>
      <c r="S118" s="34">
        <f t="shared" si="23"/>
        <v>3.1036905136006898</v>
      </c>
    </row>
    <row r="119" spans="1:19" x14ac:dyDescent="0.3">
      <c r="A119">
        <v>0</v>
      </c>
      <c r="B119">
        <v>0</v>
      </c>
      <c r="C119">
        <v>0</v>
      </c>
      <c r="D119">
        <v>0</v>
      </c>
      <c r="E119">
        <v>7</v>
      </c>
      <c r="F119">
        <v>14.105648028717701</v>
      </c>
      <c r="G119">
        <v>8.3192780385120402E-2</v>
      </c>
      <c r="H119">
        <v>5.9335165927737403</v>
      </c>
      <c r="I119">
        <v>-14.105648028717701</v>
      </c>
      <c r="J119">
        <v>-8.3192780385120402E-2</v>
      </c>
      <c r="K119">
        <v>2.8549966049952502</v>
      </c>
      <c r="L119" s="34" t="str">
        <f t="shared" si="24"/>
        <v>l.csv</v>
      </c>
      <c r="M119" s="34" t="str">
        <f t="shared" si="15"/>
        <v/>
      </c>
      <c r="N119" s="34">
        <f t="shared" si="18"/>
        <v>14.105648028717701</v>
      </c>
      <c r="O119" s="34">
        <f t="shared" si="19"/>
        <v>8.3192780385120402E-2</v>
      </c>
      <c r="P119" s="34">
        <f t="shared" si="20"/>
        <v>5.9335165927737403</v>
      </c>
      <c r="Q119" s="34">
        <f t="shared" si="21"/>
        <v>-14.105648028717701</v>
      </c>
      <c r="R119" s="34">
        <f t="shared" si="22"/>
        <v>-8.3192780385120402E-2</v>
      </c>
      <c r="S119" s="34">
        <f t="shared" si="23"/>
        <v>2.8549966049952502</v>
      </c>
    </row>
    <row r="120" spans="1:19" x14ac:dyDescent="0.3">
      <c r="M120" s="34" t="str">
        <f t="shared" si="15"/>
        <v/>
      </c>
      <c r="N120" s="34" t="str">
        <f t="shared" si="18"/>
        <v/>
      </c>
      <c r="O120" s="34" t="str">
        <f t="shared" si="19"/>
        <v/>
      </c>
      <c r="P120" s="34" t="str">
        <f t="shared" si="20"/>
        <v/>
      </c>
      <c r="Q120" s="34" t="str">
        <f t="shared" si="21"/>
        <v/>
      </c>
      <c r="R120" s="34" t="str">
        <f t="shared" si="22"/>
        <v/>
      </c>
      <c r="S120" s="34" t="str">
        <f t="shared" si="23"/>
        <v/>
      </c>
    </row>
    <row r="121" spans="1:19" x14ac:dyDescent="0.3">
      <c r="M121" s="34" t="str">
        <f t="shared" si="15"/>
        <v/>
      </c>
      <c r="N121" s="34" t="str">
        <f t="shared" si="18"/>
        <v/>
      </c>
      <c r="O121" s="34" t="str">
        <f t="shared" si="19"/>
        <v/>
      </c>
      <c r="P121" s="34" t="str">
        <f t="shared" si="20"/>
        <v/>
      </c>
      <c r="Q121" s="34" t="str">
        <f t="shared" si="21"/>
        <v/>
      </c>
      <c r="R121" s="34" t="str">
        <f t="shared" si="22"/>
        <v/>
      </c>
      <c r="S121" s="34" t="str">
        <f t="shared" si="23"/>
        <v/>
      </c>
    </row>
    <row r="122" spans="1:19" x14ac:dyDescent="0.3">
      <c r="A122" t="s">
        <v>208</v>
      </c>
      <c r="L122" s="34" t="str">
        <f t="shared" ref="L122" si="29">RIGHT(A122,5)</f>
        <v>g.csv</v>
      </c>
      <c r="M122" s="34" t="str">
        <f t="shared" si="15"/>
        <v/>
      </c>
      <c r="N122" s="34" t="str">
        <f t="shared" si="18"/>
        <v/>
      </c>
      <c r="O122" s="34" t="str">
        <f t="shared" si="19"/>
        <v/>
      </c>
      <c r="P122" s="34" t="str">
        <f t="shared" si="20"/>
        <v/>
      </c>
      <c r="Q122" s="34" t="str">
        <f t="shared" si="21"/>
        <v/>
      </c>
      <c r="R122" s="34" t="str">
        <f t="shared" si="22"/>
        <v/>
      </c>
      <c r="S122" s="34" t="str">
        <f t="shared" si="23"/>
        <v/>
      </c>
    </row>
    <row r="123" spans="1:19" x14ac:dyDescent="0.3">
      <c r="A123">
        <v>1</v>
      </c>
      <c r="B123">
        <v>0.109740745615933</v>
      </c>
      <c r="C123">
        <v>0</v>
      </c>
      <c r="D123">
        <v>3.12371384370626E-3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 s="34" t="str">
        <f t="shared" ref="L123" si="30">L122</f>
        <v>g.csv</v>
      </c>
      <c r="M123" s="34" t="str">
        <f t="shared" si="15"/>
        <v/>
      </c>
      <c r="N123" s="34" t="str">
        <f t="shared" si="18"/>
        <v/>
      </c>
      <c r="O123" s="34" t="str">
        <f t="shared" si="19"/>
        <v/>
      </c>
      <c r="P123" s="34" t="str">
        <f t="shared" si="20"/>
        <v/>
      </c>
      <c r="Q123" s="34" t="str">
        <f t="shared" si="21"/>
        <v/>
      </c>
      <c r="R123" s="34" t="str">
        <f t="shared" si="22"/>
        <v/>
      </c>
      <c r="S123" s="34" t="str">
        <f t="shared" si="23"/>
        <v/>
      </c>
    </row>
    <row r="124" spans="1:19" x14ac:dyDescent="0.3">
      <c r="A124">
        <v>2</v>
      </c>
      <c r="B124">
        <v>2.9898619770801299E-2</v>
      </c>
      <c r="C124">
        <v>-1.3914544187212301E-6</v>
      </c>
      <c r="D124">
        <v>3.12371384370626E-3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 s="34" t="str">
        <f t="shared" si="24"/>
        <v>g.csv</v>
      </c>
      <c r="M124" s="34" t="str">
        <f t="shared" si="15"/>
        <v/>
      </c>
      <c r="N124" s="34" t="str">
        <f t="shared" si="18"/>
        <v/>
      </c>
      <c r="O124" s="34" t="str">
        <f t="shared" si="19"/>
        <v/>
      </c>
      <c r="P124" s="34" t="str">
        <f t="shared" si="20"/>
        <v/>
      </c>
      <c r="Q124" s="34" t="str">
        <f t="shared" si="21"/>
        <v/>
      </c>
      <c r="R124" s="34" t="str">
        <f t="shared" si="22"/>
        <v/>
      </c>
      <c r="S124" s="34" t="str">
        <f t="shared" si="23"/>
        <v/>
      </c>
    </row>
    <row r="125" spans="1:19" x14ac:dyDescent="0.3">
      <c r="A125">
        <v>3</v>
      </c>
      <c r="B125">
        <v>2.5400469173739299E-2</v>
      </c>
      <c r="C125">
        <v>-1.4234198953306301E-6</v>
      </c>
      <c r="D125">
        <v>3.1237182400935398E-3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 s="34" t="str">
        <f t="shared" si="24"/>
        <v>g.csv</v>
      </c>
      <c r="M125" s="34" t="str">
        <f t="shared" si="15"/>
        <v/>
      </c>
      <c r="N125" s="34" t="str">
        <f t="shared" si="18"/>
        <v/>
      </c>
      <c r="O125" s="34" t="str">
        <f t="shared" si="19"/>
        <v/>
      </c>
      <c r="P125" s="34" t="str">
        <f t="shared" si="20"/>
        <v/>
      </c>
      <c r="Q125" s="34" t="str">
        <f t="shared" si="21"/>
        <v/>
      </c>
      <c r="R125" s="34" t="str">
        <f t="shared" si="22"/>
        <v/>
      </c>
      <c r="S125" s="34" t="str">
        <f t="shared" si="23"/>
        <v/>
      </c>
    </row>
    <row r="126" spans="1:19" x14ac:dyDescent="0.3">
      <c r="A126">
        <v>4</v>
      </c>
      <c r="B126">
        <v>-1.8457912283585499E-2</v>
      </c>
      <c r="C126">
        <v>-1.73508329227225E-6</v>
      </c>
      <c r="D126">
        <v>3.1239808940167102E-3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 s="34" t="str">
        <f t="shared" si="24"/>
        <v>g.csv</v>
      </c>
      <c r="M126" s="34" t="str">
        <f t="shared" si="15"/>
        <v/>
      </c>
      <c r="N126" s="34" t="str">
        <f t="shared" si="18"/>
        <v/>
      </c>
      <c r="O126" s="34" t="str">
        <f t="shared" si="19"/>
        <v/>
      </c>
      <c r="P126" s="34" t="str">
        <f t="shared" si="20"/>
        <v/>
      </c>
      <c r="Q126" s="34" t="str">
        <f t="shared" si="21"/>
        <v/>
      </c>
      <c r="R126" s="34" t="str">
        <f t="shared" si="22"/>
        <v/>
      </c>
      <c r="S126" s="34" t="str">
        <f t="shared" si="23"/>
        <v/>
      </c>
    </row>
    <row r="127" spans="1:19" x14ac:dyDescent="0.3">
      <c r="A127">
        <v>5</v>
      </c>
      <c r="B127">
        <v>-5.8947686281012698E-2</v>
      </c>
      <c r="C127">
        <v>-1.73508329227225E-6</v>
      </c>
      <c r="D127">
        <v>3.1244410191664899E-3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 s="34" t="str">
        <f t="shared" si="24"/>
        <v>g.csv</v>
      </c>
      <c r="M127" s="34" t="str">
        <f t="shared" si="15"/>
        <v/>
      </c>
      <c r="N127" s="34" t="str">
        <f t="shared" si="18"/>
        <v/>
      </c>
      <c r="O127" s="34" t="str">
        <f t="shared" si="19"/>
        <v/>
      </c>
      <c r="P127" s="34" t="str">
        <f t="shared" si="20"/>
        <v/>
      </c>
      <c r="Q127" s="34" t="str">
        <f t="shared" si="21"/>
        <v/>
      </c>
      <c r="R127" s="34" t="str">
        <f t="shared" si="22"/>
        <v/>
      </c>
      <c r="S127" s="34" t="str">
        <f t="shared" si="23"/>
        <v/>
      </c>
    </row>
    <row r="128" spans="1:19" x14ac:dyDescent="0.3">
      <c r="A128">
        <v>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 s="34" t="str">
        <f t="shared" si="24"/>
        <v>g.csv</v>
      </c>
      <c r="M128" s="34" t="str">
        <f t="shared" si="15"/>
        <v/>
      </c>
      <c r="N128" s="34" t="str">
        <f t="shared" si="18"/>
        <v/>
      </c>
      <c r="O128" s="34" t="str">
        <f t="shared" si="19"/>
        <v/>
      </c>
      <c r="P128" s="34" t="str">
        <f t="shared" si="20"/>
        <v/>
      </c>
      <c r="Q128" s="34" t="str">
        <f t="shared" si="21"/>
        <v/>
      </c>
      <c r="R128" s="34" t="str">
        <f t="shared" si="22"/>
        <v/>
      </c>
      <c r="S128" s="34" t="str">
        <f t="shared" si="23"/>
        <v/>
      </c>
    </row>
    <row r="129" spans="1:19" x14ac:dyDescent="0.3">
      <c r="A129">
        <v>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 s="34" t="str">
        <f t="shared" si="24"/>
        <v>g.csv</v>
      </c>
      <c r="M129" s="34" t="str">
        <f t="shared" si="15"/>
        <v/>
      </c>
      <c r="N129" s="34" t="str">
        <f t="shared" si="18"/>
        <v/>
      </c>
      <c r="O129" s="34" t="str">
        <f t="shared" si="19"/>
        <v/>
      </c>
      <c r="P129" s="34" t="str">
        <f t="shared" si="20"/>
        <v/>
      </c>
      <c r="Q129" s="34" t="str">
        <f t="shared" si="21"/>
        <v/>
      </c>
      <c r="R129" s="34" t="str">
        <f t="shared" si="22"/>
        <v/>
      </c>
      <c r="S129" s="34" t="str">
        <f t="shared" si="23"/>
        <v/>
      </c>
    </row>
    <row r="130" spans="1:19" x14ac:dyDescent="0.3">
      <c r="A130">
        <v>0</v>
      </c>
      <c r="B130">
        <v>0</v>
      </c>
      <c r="C130">
        <v>0</v>
      </c>
      <c r="D130">
        <v>0</v>
      </c>
      <c r="E130">
        <v>1</v>
      </c>
      <c r="F130">
        <v>15.7856584214012</v>
      </c>
      <c r="G130">
        <v>-5.8207660913467397E-10</v>
      </c>
      <c r="H130">
        <v>-5.5879354476928703E-9</v>
      </c>
      <c r="I130">
        <v>-15.7856584214012</v>
      </c>
      <c r="J130">
        <v>5.8207660913467397E-10</v>
      </c>
      <c r="K130">
        <v>-1.86264514923095E-9</v>
      </c>
      <c r="L130" s="34" t="str">
        <f t="shared" si="24"/>
        <v>g.csv</v>
      </c>
      <c r="M130" s="34" t="str">
        <f t="shared" si="15"/>
        <v/>
      </c>
      <c r="N130" s="34" t="str">
        <f t="shared" si="18"/>
        <v/>
      </c>
      <c r="O130" s="34" t="str">
        <f t="shared" si="19"/>
        <v/>
      </c>
      <c r="P130" s="34" t="str">
        <f t="shared" si="20"/>
        <v/>
      </c>
      <c r="Q130" s="34" t="str">
        <f t="shared" si="21"/>
        <v/>
      </c>
      <c r="R130" s="34" t="str">
        <f t="shared" si="22"/>
        <v/>
      </c>
      <c r="S130" s="34" t="str">
        <f t="shared" si="23"/>
        <v/>
      </c>
    </row>
    <row r="131" spans="1:19" x14ac:dyDescent="0.3">
      <c r="A131">
        <v>0</v>
      </c>
      <c r="B131">
        <v>0</v>
      </c>
      <c r="C131">
        <v>0</v>
      </c>
      <c r="D131">
        <v>0</v>
      </c>
      <c r="E131">
        <v>2</v>
      </c>
      <c r="F131">
        <v>6.4368480679887004</v>
      </c>
      <c r="G131">
        <v>58.6537431180477</v>
      </c>
      <c r="H131">
        <v>-46.307570919394401</v>
      </c>
      <c r="I131">
        <v>-6.4368480679887004</v>
      </c>
      <c r="J131">
        <v>-58.6537431180477</v>
      </c>
      <c r="K131">
        <v>130.768961697816</v>
      </c>
      <c r="L131" s="34" t="str">
        <f t="shared" si="24"/>
        <v>g.csv</v>
      </c>
      <c r="M131" s="34" t="str">
        <f t="shared" si="15"/>
        <v/>
      </c>
      <c r="N131" s="34" t="str">
        <f t="shared" si="18"/>
        <v/>
      </c>
      <c r="O131" s="34" t="str">
        <f t="shared" si="19"/>
        <v/>
      </c>
      <c r="P131" s="34" t="str">
        <f t="shared" si="20"/>
        <v/>
      </c>
      <c r="Q131" s="34" t="str">
        <f t="shared" si="21"/>
        <v/>
      </c>
      <c r="R131" s="34" t="str">
        <f t="shared" si="22"/>
        <v/>
      </c>
      <c r="S131" s="34" t="str">
        <f t="shared" si="23"/>
        <v/>
      </c>
    </row>
    <row r="132" spans="1:19" x14ac:dyDescent="0.3">
      <c r="A132">
        <v>0</v>
      </c>
      <c r="B132">
        <v>0</v>
      </c>
      <c r="C132">
        <v>0</v>
      </c>
      <c r="D132">
        <v>0</v>
      </c>
      <c r="E132">
        <v>3</v>
      </c>
      <c r="F132">
        <v>6.4368480679886702</v>
      </c>
      <c r="G132">
        <v>58.653743912000202</v>
      </c>
      <c r="H132">
        <v>-130.768962398171</v>
      </c>
      <c r="I132">
        <v>-6.4368480679886702</v>
      </c>
      <c r="J132">
        <v>-58.653743912000202</v>
      </c>
      <c r="K132">
        <v>954.267526905983</v>
      </c>
      <c r="L132" s="34" t="str">
        <f t="shared" si="24"/>
        <v>g.csv</v>
      </c>
      <c r="M132" s="34" t="str">
        <f t="shared" si="15"/>
        <v/>
      </c>
      <c r="N132" s="34" t="str">
        <f t="shared" si="18"/>
        <v/>
      </c>
      <c r="O132" s="34" t="str">
        <f t="shared" si="19"/>
        <v/>
      </c>
      <c r="P132" s="34" t="str">
        <f t="shared" si="20"/>
        <v/>
      </c>
      <c r="Q132" s="34" t="str">
        <f t="shared" si="21"/>
        <v/>
      </c>
      <c r="R132" s="34" t="str">
        <f t="shared" si="22"/>
        <v/>
      </c>
      <c r="S132" s="34" t="str">
        <f t="shared" si="23"/>
        <v/>
      </c>
    </row>
    <row r="133" spans="1:19" x14ac:dyDescent="0.3">
      <c r="A133">
        <v>0</v>
      </c>
      <c r="B133">
        <v>0</v>
      </c>
      <c r="C133">
        <v>0</v>
      </c>
      <c r="D133">
        <v>0</v>
      </c>
      <c r="E133">
        <v>4</v>
      </c>
      <c r="F133">
        <v>-7.1054273576010003E-15</v>
      </c>
      <c r="G133">
        <v>-2.7939677238464302E-9</v>
      </c>
      <c r="H133">
        <v>-1029.6000000163899</v>
      </c>
      <c r="I133">
        <v>7.1054273576010003E-15</v>
      </c>
      <c r="J133">
        <v>2.7939677238464302E-9</v>
      </c>
      <c r="K133">
        <v>1029.59999997913</v>
      </c>
      <c r="L133" s="34" t="str">
        <f t="shared" si="24"/>
        <v>g.csv</v>
      </c>
      <c r="M133" s="34" t="str">
        <f t="shared" ref="M133:M196" si="31">IF(AND(L133="s.csv",A133=1),ABS(1000/12/D133),"")</f>
        <v/>
      </c>
      <c r="N133" s="34" t="str">
        <f t="shared" si="18"/>
        <v/>
      </c>
      <c r="O133" s="34" t="str">
        <f t="shared" si="19"/>
        <v/>
      </c>
      <c r="P133" s="34" t="str">
        <f t="shared" si="20"/>
        <v/>
      </c>
      <c r="Q133" s="34" t="str">
        <f t="shared" si="21"/>
        <v/>
      </c>
      <c r="R133" s="34" t="str">
        <f t="shared" si="22"/>
        <v/>
      </c>
      <c r="S133" s="34" t="str">
        <f t="shared" si="23"/>
        <v/>
      </c>
    </row>
    <row r="134" spans="1:19" x14ac:dyDescent="0.3">
      <c r="A134">
        <v>0</v>
      </c>
      <c r="B134">
        <v>0</v>
      </c>
      <c r="C134">
        <v>0</v>
      </c>
      <c r="D134">
        <v>0</v>
      </c>
      <c r="E134">
        <v>5</v>
      </c>
      <c r="F134">
        <v>-22.4817371614071</v>
      </c>
      <c r="G134">
        <v>0.41139904376665198</v>
      </c>
      <c r="H134">
        <v>28.6608762146295</v>
      </c>
      <c r="I134">
        <v>22.4817371614071</v>
      </c>
      <c r="J134">
        <v>-0.41139904376665198</v>
      </c>
      <c r="K134">
        <v>14.3303238589855</v>
      </c>
      <c r="L134" s="34" t="str">
        <f t="shared" si="24"/>
        <v>g.csv</v>
      </c>
      <c r="M134" s="34" t="str">
        <f t="shared" si="31"/>
        <v/>
      </c>
      <c r="N134" s="34">
        <f t="shared" si="18"/>
        <v>-22.4817371614071</v>
      </c>
      <c r="O134" s="34">
        <f t="shared" si="19"/>
        <v>0.41139904376665198</v>
      </c>
      <c r="P134" s="34">
        <f t="shared" si="20"/>
        <v>28.6608762146295</v>
      </c>
      <c r="Q134" s="34">
        <f t="shared" si="21"/>
        <v>22.4817371614071</v>
      </c>
      <c r="R134" s="34">
        <f t="shared" si="22"/>
        <v>-0.41139904376665198</v>
      </c>
      <c r="S134" s="34">
        <f t="shared" si="23"/>
        <v>14.3303238589855</v>
      </c>
    </row>
    <row r="135" spans="1:19" x14ac:dyDescent="0.3">
      <c r="A135">
        <v>0</v>
      </c>
      <c r="B135">
        <v>0</v>
      </c>
      <c r="C135">
        <v>0</v>
      </c>
      <c r="D135">
        <v>0</v>
      </c>
      <c r="E135">
        <v>6</v>
      </c>
      <c r="F135">
        <v>-36.664486653026401</v>
      </c>
      <c r="G135">
        <v>0.65994450389265902</v>
      </c>
      <c r="H135">
        <v>46.6715968859695</v>
      </c>
      <c r="I135">
        <v>36.664486653026401</v>
      </c>
      <c r="J135">
        <v>-0.65994450389265902</v>
      </c>
      <c r="K135">
        <v>23.0451616525284</v>
      </c>
      <c r="L135" s="34" t="str">
        <f t="shared" si="24"/>
        <v>g.csv</v>
      </c>
      <c r="M135" s="34" t="str">
        <f t="shared" si="31"/>
        <v/>
      </c>
      <c r="N135" s="34">
        <f t="shared" si="18"/>
        <v>-36.664486653026401</v>
      </c>
      <c r="O135" s="34">
        <f t="shared" si="19"/>
        <v>0.65994450389265902</v>
      </c>
      <c r="P135" s="34">
        <f t="shared" si="20"/>
        <v>46.6715968859695</v>
      </c>
      <c r="Q135" s="34">
        <f t="shared" si="21"/>
        <v>36.664486653026401</v>
      </c>
      <c r="R135" s="34">
        <f t="shared" si="22"/>
        <v>-0.65994450389265902</v>
      </c>
      <c r="S135" s="34">
        <f t="shared" si="23"/>
        <v>23.0451616525284</v>
      </c>
    </row>
    <row r="136" spans="1:19" x14ac:dyDescent="0.3">
      <c r="A136">
        <v>0</v>
      </c>
      <c r="B136">
        <v>0</v>
      </c>
      <c r="C136">
        <v>0</v>
      </c>
      <c r="D136">
        <v>0</v>
      </c>
      <c r="E136">
        <v>7</v>
      </c>
      <c r="F136">
        <v>59.390533240251699</v>
      </c>
      <c r="G136">
        <v>0.65307180822935695</v>
      </c>
      <c r="H136">
        <v>46.3075701086929</v>
      </c>
      <c r="I136">
        <v>-59.390533240251699</v>
      </c>
      <c r="J136">
        <v>-0.65307180822935695</v>
      </c>
      <c r="K136">
        <v>22.6831545568946</v>
      </c>
      <c r="L136" s="34" t="str">
        <f t="shared" si="24"/>
        <v>g.csv</v>
      </c>
      <c r="M136" s="34" t="str">
        <f t="shared" si="31"/>
        <v/>
      </c>
      <c r="N136" s="34">
        <f t="shared" si="18"/>
        <v>59.390533240251699</v>
      </c>
      <c r="O136" s="34">
        <f t="shared" si="19"/>
        <v>0.65307180822935695</v>
      </c>
      <c r="P136" s="34">
        <f t="shared" si="20"/>
        <v>46.3075701086929</v>
      </c>
      <c r="Q136" s="34">
        <f t="shared" si="21"/>
        <v>-59.390533240251699</v>
      </c>
      <c r="R136" s="34">
        <f t="shared" si="22"/>
        <v>-0.65307180822935695</v>
      </c>
      <c r="S136" s="34">
        <f t="shared" si="23"/>
        <v>22.6831545568946</v>
      </c>
    </row>
    <row r="137" spans="1:19" x14ac:dyDescent="0.3">
      <c r="M137" s="34" t="str">
        <f t="shared" si="31"/>
        <v/>
      </c>
      <c r="N137" s="34" t="str">
        <f t="shared" si="18"/>
        <v/>
      </c>
      <c r="O137" s="34" t="str">
        <f t="shared" si="19"/>
        <v/>
      </c>
      <c r="P137" s="34" t="str">
        <f t="shared" si="20"/>
        <v/>
      </c>
      <c r="Q137" s="34" t="str">
        <f t="shared" si="21"/>
        <v/>
      </c>
      <c r="R137" s="34" t="str">
        <f t="shared" si="22"/>
        <v/>
      </c>
      <c r="S137" s="34" t="str">
        <f t="shared" si="23"/>
        <v/>
      </c>
    </row>
    <row r="138" spans="1:19" x14ac:dyDescent="0.3">
      <c r="M138" s="34" t="str">
        <f t="shared" si="31"/>
        <v/>
      </c>
      <c r="N138" s="34" t="str">
        <f t="shared" si="18"/>
        <v/>
      </c>
      <c r="O138" s="34" t="str">
        <f t="shared" si="19"/>
        <v/>
      </c>
      <c r="P138" s="34" t="str">
        <f t="shared" si="20"/>
        <v/>
      </c>
      <c r="Q138" s="34" t="str">
        <f t="shared" si="21"/>
        <v/>
      </c>
      <c r="R138" s="34" t="str">
        <f t="shared" si="22"/>
        <v/>
      </c>
      <c r="S138" s="34" t="str">
        <f t="shared" si="23"/>
        <v/>
      </c>
    </row>
    <row r="139" spans="1:19" x14ac:dyDescent="0.3">
      <c r="A139" t="s">
        <v>209</v>
      </c>
      <c r="L139" s="34" t="str">
        <f t="shared" ref="L139" si="32">RIGHT(A139,5)</f>
        <v>s.csv</v>
      </c>
      <c r="M139" s="34" t="str">
        <f t="shared" si="31"/>
        <v/>
      </c>
      <c r="N139" s="34" t="str">
        <f t="shared" si="18"/>
        <v/>
      </c>
      <c r="O139" s="34" t="str">
        <f t="shared" si="19"/>
        <v/>
      </c>
      <c r="P139" s="34" t="str">
        <f t="shared" si="20"/>
        <v/>
      </c>
      <c r="Q139" s="34" t="str">
        <f t="shared" si="21"/>
        <v/>
      </c>
      <c r="R139" s="34" t="str">
        <f t="shared" si="22"/>
        <v/>
      </c>
      <c r="S139" s="34" t="str">
        <f t="shared" si="23"/>
        <v/>
      </c>
    </row>
    <row r="140" spans="1:19" x14ac:dyDescent="0.3">
      <c r="A140">
        <v>1</v>
      </c>
      <c r="B140">
        <v>0.120684860596478</v>
      </c>
      <c r="C140">
        <v>0</v>
      </c>
      <c r="D140">
        <v>3.4358648692618802E-3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 s="34" t="str">
        <f t="shared" ref="L140" si="33">L139</f>
        <v>s.csv</v>
      </c>
      <c r="M140" s="34">
        <f t="shared" si="31"/>
        <v>24253.9612307965</v>
      </c>
      <c r="N140" s="34" t="str">
        <f t="shared" ref="N140:N203" si="34">IF(AND(OR($L140="l.csv",$L140="g.csv"),$E140&gt;4),F140,"")</f>
        <v/>
      </c>
      <c r="O140" s="34" t="str">
        <f t="shared" ref="O140:O203" si="35">IF(AND(OR($L140="l.csv",$L140="g.csv"),$E140&gt;4),G140,"")</f>
        <v/>
      </c>
      <c r="P140" s="34" t="str">
        <f t="shared" ref="P140:P203" si="36">IF(AND(OR($L140="l.csv",$L140="g.csv"),$E140&gt;4),H140,"")</f>
        <v/>
      </c>
      <c r="Q140" s="34" t="str">
        <f t="shared" ref="Q140:Q203" si="37">IF(AND(OR($L140="l.csv",$L140="g.csv"),$E140&gt;4),I140,"")</f>
        <v/>
      </c>
      <c r="R140" s="34" t="str">
        <f t="shared" ref="R140:R203" si="38">IF(AND(OR($L140="l.csv",$L140="g.csv"),$E140&gt;4),J140,"")</f>
        <v/>
      </c>
      <c r="S140" s="34" t="str">
        <f t="shared" ref="S140:S203" si="39">IF(AND(OR($L140="l.csv",$L140="g.csv"),$E140&gt;4),K140,"")</f>
        <v/>
      </c>
    </row>
    <row r="141" spans="1:19" x14ac:dyDescent="0.3">
      <c r="A141">
        <v>2</v>
      </c>
      <c r="B141">
        <v>3.2875418576994997E-2</v>
      </c>
      <c r="C141">
        <v>-1.3635339622593099E-6</v>
      </c>
      <c r="D141">
        <v>3.4349834890701602E-3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 s="34" t="str">
        <f t="shared" si="24"/>
        <v>s.csv</v>
      </c>
      <c r="M141" s="34" t="str">
        <f t="shared" si="31"/>
        <v/>
      </c>
      <c r="N141" s="34" t="str">
        <f t="shared" si="34"/>
        <v/>
      </c>
      <c r="O141" s="34" t="str">
        <f t="shared" si="35"/>
        <v/>
      </c>
      <c r="P141" s="34" t="str">
        <f t="shared" si="36"/>
        <v/>
      </c>
      <c r="Q141" s="34" t="str">
        <f t="shared" si="37"/>
        <v/>
      </c>
      <c r="R141" s="34" t="str">
        <f t="shared" si="38"/>
        <v/>
      </c>
      <c r="S141" s="34" t="str">
        <f t="shared" si="39"/>
        <v/>
      </c>
    </row>
    <row r="142" spans="1:19" x14ac:dyDescent="0.3">
      <c r="A142">
        <v>3</v>
      </c>
      <c r="B142">
        <v>2.79290769959121E-2</v>
      </c>
      <c r="C142">
        <v>-1.3928557041271601E-6</v>
      </c>
      <c r="D142">
        <v>3.4349361433932998E-3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 s="34" t="str">
        <f t="shared" si="24"/>
        <v>s.csv</v>
      </c>
      <c r="M142" s="34" t="str">
        <f t="shared" si="31"/>
        <v/>
      </c>
      <c r="N142" s="34" t="str">
        <f t="shared" si="34"/>
        <v/>
      </c>
      <c r="O142" s="34" t="str">
        <f t="shared" si="35"/>
        <v/>
      </c>
      <c r="P142" s="34" t="str">
        <f t="shared" si="36"/>
        <v/>
      </c>
      <c r="Q142" s="34" t="str">
        <f t="shared" si="37"/>
        <v/>
      </c>
      <c r="R142" s="34" t="str">
        <f t="shared" si="38"/>
        <v/>
      </c>
      <c r="S142" s="34" t="str">
        <f t="shared" si="39"/>
        <v/>
      </c>
    </row>
    <row r="143" spans="1:19" x14ac:dyDescent="0.3">
      <c r="A143">
        <v>4</v>
      </c>
      <c r="B143">
        <v>-2.02953714586427E-2</v>
      </c>
      <c r="C143">
        <v>-1.6787426873387499E-6</v>
      </c>
      <c r="D143">
        <v>3.43471659225151E-3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 s="34" t="str">
        <f t="shared" si="24"/>
        <v>s.csv</v>
      </c>
      <c r="M143" s="34" t="str">
        <f t="shared" si="31"/>
        <v/>
      </c>
      <c r="N143" s="34" t="str">
        <f t="shared" si="34"/>
        <v/>
      </c>
      <c r="O143" s="34" t="str">
        <f t="shared" si="35"/>
        <v/>
      </c>
      <c r="P143" s="34" t="str">
        <f t="shared" si="36"/>
        <v/>
      </c>
      <c r="Q143" s="34" t="str">
        <f t="shared" si="37"/>
        <v/>
      </c>
      <c r="R143" s="34" t="str">
        <f t="shared" si="38"/>
        <v/>
      </c>
      <c r="S143" s="34" t="str">
        <f t="shared" si="39"/>
        <v/>
      </c>
    </row>
    <row r="144" spans="1:19" x14ac:dyDescent="0.3">
      <c r="A144">
        <v>5</v>
      </c>
      <c r="B144">
        <v>-6.4809298494222303E-2</v>
      </c>
      <c r="C144">
        <v>-1.6787426873387499E-6</v>
      </c>
      <c r="D144">
        <v>3.4347165922515E-3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 s="34" t="str">
        <f t="shared" si="24"/>
        <v>s.csv</v>
      </c>
      <c r="M144" s="34" t="str">
        <f t="shared" si="31"/>
        <v/>
      </c>
      <c r="N144" s="34" t="str">
        <f t="shared" si="34"/>
        <v/>
      </c>
      <c r="O144" s="34" t="str">
        <f t="shared" si="35"/>
        <v/>
      </c>
      <c r="P144" s="34" t="str">
        <f t="shared" si="36"/>
        <v/>
      </c>
      <c r="Q144" s="34" t="str">
        <f t="shared" si="37"/>
        <v/>
      </c>
      <c r="R144" s="34" t="str">
        <f t="shared" si="38"/>
        <v/>
      </c>
      <c r="S144" s="34" t="str">
        <f t="shared" si="39"/>
        <v/>
      </c>
    </row>
    <row r="145" spans="1:19" x14ac:dyDescent="0.3">
      <c r="A145">
        <v>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 s="34" t="str">
        <f t="shared" si="24"/>
        <v>s.csv</v>
      </c>
      <c r="M145" s="34" t="str">
        <f t="shared" si="31"/>
        <v/>
      </c>
      <c r="N145" s="34" t="str">
        <f t="shared" si="34"/>
        <v/>
      </c>
      <c r="O145" s="34" t="str">
        <f t="shared" si="35"/>
        <v/>
      </c>
      <c r="P145" s="34" t="str">
        <f t="shared" si="36"/>
        <v/>
      </c>
      <c r="Q145" s="34" t="str">
        <f t="shared" si="37"/>
        <v/>
      </c>
      <c r="R145" s="34" t="str">
        <f t="shared" si="38"/>
        <v/>
      </c>
      <c r="S145" s="34" t="str">
        <f t="shared" si="39"/>
        <v/>
      </c>
    </row>
    <row r="146" spans="1:19" x14ac:dyDescent="0.3">
      <c r="A146">
        <v>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 s="34" t="str">
        <f t="shared" si="24"/>
        <v>s.csv</v>
      </c>
      <c r="M146" s="34" t="str">
        <f t="shared" si="31"/>
        <v/>
      </c>
      <c r="N146" s="34" t="str">
        <f t="shared" si="34"/>
        <v/>
      </c>
      <c r="O146" s="34" t="str">
        <f t="shared" si="35"/>
        <v/>
      </c>
      <c r="P146" s="34" t="str">
        <f t="shared" si="36"/>
        <v/>
      </c>
      <c r="Q146" s="34" t="str">
        <f t="shared" si="37"/>
        <v/>
      </c>
      <c r="R146" s="34" t="str">
        <f t="shared" si="38"/>
        <v/>
      </c>
      <c r="S146" s="34" t="str">
        <f t="shared" si="39"/>
        <v/>
      </c>
    </row>
    <row r="147" spans="1:19" x14ac:dyDescent="0.3">
      <c r="A147">
        <v>0</v>
      </c>
      <c r="B147">
        <v>0</v>
      </c>
      <c r="C147">
        <v>0</v>
      </c>
      <c r="D147">
        <v>0</v>
      </c>
      <c r="E147">
        <v>1</v>
      </c>
      <c r="F147">
        <v>15.468908707758001</v>
      </c>
      <c r="G147">
        <v>9.31322574615478E-10</v>
      </c>
      <c r="H147">
        <v>1000.00000001303</v>
      </c>
      <c r="I147">
        <v>-15.468908707758001</v>
      </c>
      <c r="J147">
        <v>-9.31322574615478E-10</v>
      </c>
      <c r="K147">
        <v>-999.99999998323597</v>
      </c>
      <c r="L147" s="34" t="str">
        <f t="shared" si="24"/>
        <v>s.csv</v>
      </c>
      <c r="M147" s="34" t="str">
        <f t="shared" si="31"/>
        <v/>
      </c>
      <c r="N147" s="34" t="str">
        <f t="shared" si="34"/>
        <v/>
      </c>
      <c r="O147" s="34" t="str">
        <f t="shared" si="35"/>
        <v/>
      </c>
      <c r="P147" s="34" t="str">
        <f t="shared" si="36"/>
        <v/>
      </c>
      <c r="Q147" s="34" t="str">
        <f t="shared" si="37"/>
        <v/>
      </c>
      <c r="R147" s="34" t="str">
        <f t="shared" si="38"/>
        <v/>
      </c>
      <c r="S147" s="34" t="str">
        <f t="shared" si="39"/>
        <v/>
      </c>
    </row>
    <row r="148" spans="1:19" x14ac:dyDescent="0.3">
      <c r="A148">
        <v>0</v>
      </c>
      <c r="B148">
        <v>0</v>
      </c>
      <c r="C148">
        <v>0</v>
      </c>
      <c r="D148">
        <v>0</v>
      </c>
      <c r="E148">
        <v>2</v>
      </c>
      <c r="F148">
        <v>5.9044825077529</v>
      </c>
      <c r="G148">
        <v>64.599478721618596</v>
      </c>
      <c r="H148">
        <v>999.99999684095303</v>
      </c>
      <c r="I148">
        <v>-5.9044825077529</v>
      </c>
      <c r="J148">
        <v>-64.599478721618596</v>
      </c>
      <c r="K148">
        <v>-906.97674715518895</v>
      </c>
      <c r="L148" s="34" t="str">
        <f t="shared" si="24"/>
        <v>s.csv</v>
      </c>
      <c r="M148" s="34" t="str">
        <f t="shared" si="31"/>
        <v/>
      </c>
      <c r="N148" s="34" t="str">
        <f t="shared" si="34"/>
        <v/>
      </c>
      <c r="O148" s="34" t="str">
        <f t="shared" si="35"/>
        <v/>
      </c>
      <c r="P148" s="34" t="str">
        <f t="shared" si="36"/>
        <v/>
      </c>
      <c r="Q148" s="34" t="str">
        <f t="shared" si="37"/>
        <v/>
      </c>
      <c r="R148" s="34" t="str">
        <f t="shared" si="38"/>
        <v/>
      </c>
      <c r="S148" s="34" t="str">
        <f t="shared" si="39"/>
        <v/>
      </c>
    </row>
    <row r="149" spans="1:19" x14ac:dyDescent="0.3">
      <c r="A149">
        <v>0</v>
      </c>
      <c r="B149">
        <v>0</v>
      </c>
      <c r="C149">
        <v>0</v>
      </c>
      <c r="D149">
        <v>0</v>
      </c>
      <c r="E149">
        <v>3</v>
      </c>
      <c r="F149">
        <v>5.9044825077526504</v>
      </c>
      <c r="G149">
        <v>64.599483209662097</v>
      </c>
      <c r="H149">
        <v>906.97674427181403</v>
      </c>
      <c r="I149">
        <v>-5.9044825077526504</v>
      </c>
      <c r="J149">
        <v>-64.599483209662097</v>
      </c>
      <c r="K149">
        <v>-2.6077032089233398E-8</v>
      </c>
      <c r="L149" s="34" t="str">
        <f t="shared" ref="L149:L212" si="40">L148</f>
        <v>s.csv</v>
      </c>
      <c r="M149" s="34" t="str">
        <f t="shared" si="31"/>
        <v/>
      </c>
      <c r="N149" s="34" t="str">
        <f t="shared" si="34"/>
        <v/>
      </c>
      <c r="O149" s="34" t="str">
        <f t="shared" si="35"/>
        <v/>
      </c>
      <c r="P149" s="34" t="str">
        <f t="shared" si="36"/>
        <v/>
      </c>
      <c r="Q149" s="34" t="str">
        <f t="shared" si="37"/>
        <v/>
      </c>
      <c r="R149" s="34" t="str">
        <f t="shared" si="38"/>
        <v/>
      </c>
      <c r="S149" s="34" t="str">
        <f t="shared" si="39"/>
        <v/>
      </c>
    </row>
    <row r="150" spans="1:19" x14ac:dyDescent="0.3">
      <c r="A150">
        <v>0</v>
      </c>
      <c r="B150">
        <v>0</v>
      </c>
      <c r="C150">
        <v>0</v>
      </c>
      <c r="D150">
        <v>0</v>
      </c>
      <c r="E150">
        <v>4</v>
      </c>
      <c r="F150">
        <v>0</v>
      </c>
      <c r="G150">
        <v>4.65661287307739E-10</v>
      </c>
      <c r="H150">
        <v>1.1175870895385699E-8</v>
      </c>
      <c r="I150">
        <v>0</v>
      </c>
      <c r="J150">
        <v>-4.65661287307739E-10</v>
      </c>
      <c r="K150">
        <v>-1.49011611938476E-8</v>
      </c>
      <c r="L150" s="34" t="str">
        <f t="shared" si="40"/>
        <v>s.csv</v>
      </c>
      <c r="M150" s="34" t="str">
        <f t="shared" si="31"/>
        <v/>
      </c>
      <c r="N150" s="34" t="str">
        <f t="shared" si="34"/>
        <v/>
      </c>
      <c r="O150" s="34" t="str">
        <f t="shared" si="35"/>
        <v/>
      </c>
      <c r="P150" s="34" t="str">
        <f t="shared" si="36"/>
        <v/>
      </c>
      <c r="Q150" s="34" t="str">
        <f t="shared" si="37"/>
        <v/>
      </c>
      <c r="R150" s="34" t="str">
        <f t="shared" si="38"/>
        <v/>
      </c>
      <c r="S150" s="34" t="str">
        <f t="shared" si="39"/>
        <v/>
      </c>
    </row>
    <row r="151" spans="1:19" x14ac:dyDescent="0.3">
      <c r="A151">
        <v>0</v>
      </c>
      <c r="B151">
        <v>0</v>
      </c>
      <c r="C151">
        <v>0</v>
      </c>
      <c r="D151">
        <v>0</v>
      </c>
      <c r="E151">
        <v>5</v>
      </c>
      <c r="F151">
        <v>-24.719762436626802</v>
      </c>
      <c r="G151">
        <v>-1.05778492421019E-6</v>
      </c>
      <c r="H151">
        <v>0</v>
      </c>
      <c r="I151">
        <v>24.719762436626802</v>
      </c>
      <c r="J151">
        <v>1.05778492421019E-6</v>
      </c>
      <c r="K151">
        <v>-1.10538524579965E-4</v>
      </c>
      <c r="L151" s="34" t="str">
        <f t="shared" si="40"/>
        <v>s.csv</v>
      </c>
      <c r="M151" s="34" t="str">
        <f t="shared" si="31"/>
        <v/>
      </c>
      <c r="N151" s="34" t="str">
        <f t="shared" si="34"/>
        <v/>
      </c>
      <c r="O151" s="34" t="str">
        <f t="shared" si="35"/>
        <v/>
      </c>
      <c r="P151" s="34" t="str">
        <f t="shared" si="36"/>
        <v/>
      </c>
      <c r="Q151" s="34" t="str">
        <f t="shared" si="37"/>
        <v/>
      </c>
      <c r="R151" s="34" t="str">
        <f t="shared" si="38"/>
        <v/>
      </c>
      <c r="S151" s="34" t="str">
        <f t="shared" si="39"/>
        <v/>
      </c>
    </row>
    <row r="152" spans="1:19" x14ac:dyDescent="0.3">
      <c r="A152">
        <v>0</v>
      </c>
      <c r="B152">
        <v>0</v>
      </c>
      <c r="C152">
        <v>0</v>
      </c>
      <c r="D152">
        <v>0</v>
      </c>
      <c r="E152">
        <v>6</v>
      </c>
      <c r="F152">
        <v>-40.314452071438502</v>
      </c>
      <c r="G152">
        <v>-3.0248383842961198E-3</v>
      </c>
      <c r="H152">
        <v>0</v>
      </c>
      <c r="I152">
        <v>40.314452071438502</v>
      </c>
      <c r="J152">
        <v>3.0248383842961198E-3</v>
      </c>
      <c r="K152">
        <v>-0.31954494053985599</v>
      </c>
      <c r="L152" s="34" t="str">
        <f t="shared" si="40"/>
        <v>s.csv</v>
      </c>
      <c r="M152" s="34" t="str">
        <f t="shared" si="31"/>
        <v/>
      </c>
      <c r="N152" s="34" t="str">
        <f t="shared" si="34"/>
        <v/>
      </c>
      <c r="O152" s="34" t="str">
        <f t="shared" si="35"/>
        <v/>
      </c>
      <c r="P152" s="34" t="str">
        <f t="shared" si="36"/>
        <v/>
      </c>
      <c r="Q152" s="34" t="str">
        <f t="shared" si="37"/>
        <v/>
      </c>
      <c r="R152" s="34" t="str">
        <f t="shared" si="38"/>
        <v/>
      </c>
      <c r="S152" s="34" t="str">
        <f t="shared" si="39"/>
        <v/>
      </c>
    </row>
    <row r="153" spans="1:19" x14ac:dyDescent="0.3">
      <c r="A153">
        <v>0</v>
      </c>
      <c r="B153">
        <v>0</v>
      </c>
      <c r="C153">
        <v>0</v>
      </c>
      <c r="D153">
        <v>0</v>
      </c>
      <c r="E153">
        <v>7</v>
      </c>
      <c r="F153">
        <v>65.303686899869703</v>
      </c>
      <c r="G153">
        <v>-4.8984153495332796E-3</v>
      </c>
      <c r="H153">
        <v>0</v>
      </c>
      <c r="I153">
        <v>-65.303686899869703</v>
      </c>
      <c r="J153">
        <v>4.8984153495332796E-3</v>
      </c>
      <c r="K153">
        <v>-0.517470238982639</v>
      </c>
      <c r="L153" s="34" t="str">
        <f t="shared" si="40"/>
        <v>s.csv</v>
      </c>
      <c r="M153" s="34" t="str">
        <f t="shared" si="31"/>
        <v/>
      </c>
      <c r="N153" s="34" t="str">
        <f t="shared" si="34"/>
        <v/>
      </c>
      <c r="O153" s="34" t="str">
        <f t="shared" si="35"/>
        <v/>
      </c>
      <c r="P153" s="34" t="str">
        <f t="shared" si="36"/>
        <v/>
      </c>
      <c r="Q153" s="34" t="str">
        <f t="shared" si="37"/>
        <v/>
      </c>
      <c r="R153" s="34" t="str">
        <f t="shared" si="38"/>
        <v/>
      </c>
      <c r="S153" s="34" t="str">
        <f t="shared" si="39"/>
        <v/>
      </c>
    </row>
    <row r="154" spans="1:19" x14ac:dyDescent="0.3">
      <c r="M154" s="34" t="str">
        <f t="shared" si="31"/>
        <v/>
      </c>
      <c r="N154" s="34" t="str">
        <f t="shared" si="34"/>
        <v/>
      </c>
      <c r="O154" s="34" t="str">
        <f t="shared" si="35"/>
        <v/>
      </c>
      <c r="P154" s="34" t="str">
        <f t="shared" si="36"/>
        <v/>
      </c>
      <c r="Q154" s="34" t="str">
        <f t="shared" si="37"/>
        <v/>
      </c>
      <c r="R154" s="34" t="str">
        <f t="shared" si="38"/>
        <v/>
      </c>
      <c r="S154" s="34" t="str">
        <f t="shared" si="39"/>
        <v/>
      </c>
    </row>
    <row r="155" spans="1:19" x14ac:dyDescent="0.3">
      <c r="M155" s="34" t="str">
        <f t="shared" si="31"/>
        <v/>
      </c>
      <c r="N155" s="34" t="str">
        <f t="shared" si="34"/>
        <v/>
      </c>
      <c r="O155" s="34" t="str">
        <f t="shared" si="35"/>
        <v/>
      </c>
      <c r="P155" s="34" t="str">
        <f t="shared" si="36"/>
        <v/>
      </c>
      <c r="Q155" s="34" t="str">
        <f t="shared" si="37"/>
        <v/>
      </c>
      <c r="R155" s="34" t="str">
        <f t="shared" si="38"/>
        <v/>
      </c>
      <c r="S155" s="34" t="str">
        <f t="shared" si="39"/>
        <v/>
      </c>
    </row>
    <row r="156" spans="1:19" x14ac:dyDescent="0.3">
      <c r="A156" t="s">
        <v>210</v>
      </c>
      <c r="L156" s="34" t="str">
        <f t="shared" ref="L156" si="41">RIGHT(A156,5)</f>
        <v>l.csv</v>
      </c>
      <c r="M156" s="34" t="str">
        <f t="shared" si="31"/>
        <v/>
      </c>
      <c r="N156" s="34" t="str">
        <f t="shared" si="34"/>
        <v/>
      </c>
      <c r="O156" s="34" t="str">
        <f t="shared" si="35"/>
        <v/>
      </c>
      <c r="P156" s="34" t="str">
        <f t="shared" si="36"/>
        <v/>
      </c>
      <c r="Q156" s="34" t="str">
        <f t="shared" si="37"/>
        <v/>
      </c>
      <c r="R156" s="34" t="str">
        <f t="shared" si="38"/>
        <v/>
      </c>
      <c r="S156" s="34" t="str">
        <f t="shared" si="39"/>
        <v/>
      </c>
    </row>
    <row r="157" spans="1:19" x14ac:dyDescent="0.3">
      <c r="A157">
        <v>1</v>
      </c>
      <c r="B157">
        <v>2.0051643164253102E-2</v>
      </c>
      <c r="C157">
        <v>0</v>
      </c>
      <c r="D157">
        <v>4.66261983320925E-4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 s="34" t="str">
        <f t="shared" ref="L157" si="42">L156</f>
        <v>l.csv</v>
      </c>
      <c r="M157" s="34" t="str">
        <f t="shared" si="31"/>
        <v/>
      </c>
      <c r="N157" s="34" t="str">
        <f t="shared" si="34"/>
        <v/>
      </c>
      <c r="O157" s="34" t="str">
        <f t="shared" si="35"/>
        <v/>
      </c>
      <c r="P157" s="34" t="str">
        <f t="shared" si="36"/>
        <v/>
      </c>
      <c r="Q157" s="34" t="str">
        <f t="shared" si="37"/>
        <v/>
      </c>
      <c r="R157" s="34" t="str">
        <f t="shared" si="38"/>
        <v/>
      </c>
      <c r="S157" s="34" t="str">
        <f t="shared" si="39"/>
        <v/>
      </c>
    </row>
    <row r="158" spans="1:19" x14ac:dyDescent="0.3">
      <c r="A158">
        <v>2</v>
      </c>
      <c r="B158">
        <v>8.1339868705702506E-3</v>
      </c>
      <c r="C158">
        <v>-2.0769124743892199E-7</v>
      </c>
      <c r="D158">
        <v>4.66261983320925E-4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 s="34" t="str">
        <f t="shared" si="40"/>
        <v>l.csv</v>
      </c>
      <c r="M158" s="34" t="str">
        <f t="shared" si="31"/>
        <v/>
      </c>
      <c r="N158" s="34" t="str">
        <f t="shared" si="34"/>
        <v/>
      </c>
      <c r="O158" s="34" t="str">
        <f t="shared" si="35"/>
        <v/>
      </c>
      <c r="P158" s="34" t="str">
        <f t="shared" si="36"/>
        <v/>
      </c>
      <c r="Q158" s="34" t="str">
        <f t="shared" si="37"/>
        <v/>
      </c>
      <c r="R158" s="34" t="str">
        <f t="shared" si="38"/>
        <v/>
      </c>
      <c r="S158" s="34" t="str">
        <f t="shared" si="39"/>
        <v/>
      </c>
    </row>
    <row r="159" spans="1:19" x14ac:dyDescent="0.3">
      <c r="A159">
        <v>3</v>
      </c>
      <c r="B159">
        <v>7.4625690975570497E-3</v>
      </c>
      <c r="C159">
        <v>-2.0716640587312699E-7</v>
      </c>
      <c r="D159">
        <v>4.66262891726296E-4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 s="34" t="str">
        <f t="shared" si="40"/>
        <v>l.csv</v>
      </c>
      <c r="M159" s="34" t="str">
        <f t="shared" si="31"/>
        <v/>
      </c>
      <c r="N159" s="34" t="str">
        <f t="shared" si="34"/>
        <v/>
      </c>
      <c r="O159" s="34" t="str">
        <f t="shared" si="35"/>
        <v/>
      </c>
      <c r="P159" s="34" t="str">
        <f t="shared" si="36"/>
        <v/>
      </c>
      <c r="Q159" s="34" t="str">
        <f t="shared" si="37"/>
        <v/>
      </c>
      <c r="R159" s="34" t="str">
        <f t="shared" si="38"/>
        <v/>
      </c>
      <c r="S159" s="34" t="str">
        <f t="shared" si="39"/>
        <v/>
      </c>
    </row>
    <row r="160" spans="1:19" x14ac:dyDescent="0.3">
      <c r="A160">
        <v>4</v>
      </c>
      <c r="B160">
        <v>9.1618346481032802E-4</v>
      </c>
      <c r="C160">
        <v>-2.0204920060663401E-7</v>
      </c>
      <c r="D160">
        <v>4.6626735371374598E-4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 s="34" t="str">
        <f t="shared" si="40"/>
        <v>l.csv</v>
      </c>
      <c r="M160" s="34" t="str">
        <f t="shared" si="31"/>
        <v/>
      </c>
      <c r="N160" s="34" t="str">
        <f t="shared" si="34"/>
        <v/>
      </c>
      <c r="O160" s="34" t="str">
        <f t="shared" si="35"/>
        <v/>
      </c>
      <c r="P160" s="34" t="str">
        <f t="shared" si="36"/>
        <v/>
      </c>
      <c r="Q160" s="34" t="str">
        <f t="shared" si="37"/>
        <v/>
      </c>
      <c r="R160" s="34" t="str">
        <f t="shared" si="38"/>
        <v/>
      </c>
      <c r="S160" s="34" t="str">
        <f t="shared" si="39"/>
        <v/>
      </c>
    </row>
    <row r="161" spans="1:19" x14ac:dyDescent="0.3">
      <c r="A161">
        <v>5</v>
      </c>
      <c r="B161">
        <v>-5.1266414393198196E-3</v>
      </c>
      <c r="C161">
        <v>-2.0204920060663401E-7</v>
      </c>
      <c r="D161">
        <v>4.6626735371374598E-4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 s="34" t="str">
        <f t="shared" si="40"/>
        <v>l.csv</v>
      </c>
      <c r="M161" s="34" t="str">
        <f t="shared" si="31"/>
        <v/>
      </c>
      <c r="N161" s="34" t="str">
        <f t="shared" si="34"/>
        <v/>
      </c>
      <c r="O161" s="34" t="str">
        <f t="shared" si="35"/>
        <v/>
      </c>
      <c r="P161" s="34" t="str">
        <f t="shared" si="36"/>
        <v/>
      </c>
      <c r="Q161" s="34" t="str">
        <f t="shared" si="37"/>
        <v/>
      </c>
      <c r="R161" s="34" t="str">
        <f t="shared" si="38"/>
        <v/>
      </c>
      <c r="S161" s="34" t="str">
        <f t="shared" si="39"/>
        <v/>
      </c>
    </row>
    <row r="162" spans="1:19" x14ac:dyDescent="0.3">
      <c r="A162">
        <v>6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 s="34" t="str">
        <f t="shared" si="40"/>
        <v>l.csv</v>
      </c>
      <c r="M162" s="34" t="str">
        <f t="shared" si="31"/>
        <v/>
      </c>
      <c r="N162" s="34" t="str">
        <f t="shared" si="34"/>
        <v/>
      </c>
      <c r="O162" s="34" t="str">
        <f t="shared" si="35"/>
        <v/>
      </c>
      <c r="P162" s="34" t="str">
        <f t="shared" si="36"/>
        <v/>
      </c>
      <c r="Q162" s="34" t="str">
        <f t="shared" si="37"/>
        <v/>
      </c>
      <c r="R162" s="34" t="str">
        <f t="shared" si="38"/>
        <v/>
      </c>
      <c r="S162" s="34" t="str">
        <f t="shared" si="39"/>
        <v/>
      </c>
    </row>
    <row r="163" spans="1:19" x14ac:dyDescent="0.3">
      <c r="A163">
        <v>7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 s="34" t="str">
        <f t="shared" si="40"/>
        <v>l.csv</v>
      </c>
      <c r="M163" s="34" t="str">
        <f t="shared" si="31"/>
        <v/>
      </c>
      <c r="N163" s="34" t="str">
        <f t="shared" si="34"/>
        <v/>
      </c>
      <c r="O163" s="34" t="str">
        <f t="shared" si="35"/>
        <v/>
      </c>
      <c r="P163" s="34" t="str">
        <f t="shared" si="36"/>
        <v/>
      </c>
      <c r="Q163" s="34" t="str">
        <f t="shared" si="37"/>
        <v/>
      </c>
      <c r="R163" s="34" t="str">
        <f t="shared" si="38"/>
        <v/>
      </c>
      <c r="S163" s="34" t="str">
        <f t="shared" si="39"/>
        <v/>
      </c>
    </row>
    <row r="164" spans="1:19" x14ac:dyDescent="0.3">
      <c r="A164">
        <v>0</v>
      </c>
      <c r="B164">
        <v>0</v>
      </c>
      <c r="C164">
        <v>0</v>
      </c>
      <c r="D164">
        <v>0</v>
      </c>
      <c r="E164">
        <v>1</v>
      </c>
      <c r="F164">
        <v>2.35619869761782</v>
      </c>
      <c r="G164">
        <v>-1.89174897968769E-10</v>
      </c>
      <c r="H164">
        <v>-1.86264514923095E-9</v>
      </c>
      <c r="I164">
        <v>-2.35619869761782</v>
      </c>
      <c r="J164">
        <v>1.89174897968769E-10</v>
      </c>
      <c r="K164">
        <v>-4.65661287307739E-10</v>
      </c>
      <c r="L164" s="34" t="str">
        <f t="shared" si="40"/>
        <v>l.csv</v>
      </c>
      <c r="M164" s="34" t="str">
        <f t="shared" si="31"/>
        <v/>
      </c>
      <c r="N164" s="34" t="str">
        <f t="shared" si="34"/>
        <v/>
      </c>
      <c r="O164" s="34" t="str">
        <f t="shared" si="35"/>
        <v/>
      </c>
      <c r="P164" s="34" t="str">
        <f t="shared" si="36"/>
        <v/>
      </c>
      <c r="Q164" s="34" t="str">
        <f t="shared" si="37"/>
        <v/>
      </c>
      <c r="R164" s="34" t="str">
        <f t="shared" si="38"/>
        <v/>
      </c>
      <c r="S164" s="34" t="str">
        <f t="shared" si="39"/>
        <v/>
      </c>
    </row>
    <row r="165" spans="1:19" x14ac:dyDescent="0.3">
      <c r="A165">
        <v>0</v>
      </c>
      <c r="B165">
        <v>0</v>
      </c>
      <c r="C165">
        <v>0</v>
      </c>
      <c r="D165">
        <v>0</v>
      </c>
      <c r="E165">
        <v>2</v>
      </c>
      <c r="F165">
        <v>-0.105686690052017</v>
      </c>
      <c r="G165">
        <v>15.969003804028</v>
      </c>
      <c r="H165">
        <v>-6.79657381772995</v>
      </c>
      <c r="I165">
        <v>0.105686690052017</v>
      </c>
      <c r="J165">
        <v>-15.969003804028</v>
      </c>
      <c r="K165">
        <v>29.7919392585754</v>
      </c>
      <c r="L165" s="34" t="str">
        <f t="shared" si="40"/>
        <v>l.csv</v>
      </c>
      <c r="M165" s="34" t="str">
        <f t="shared" si="31"/>
        <v/>
      </c>
      <c r="N165" s="34" t="str">
        <f t="shared" si="34"/>
        <v/>
      </c>
      <c r="O165" s="34" t="str">
        <f t="shared" si="35"/>
        <v/>
      </c>
      <c r="P165" s="34" t="str">
        <f t="shared" si="36"/>
        <v/>
      </c>
      <c r="Q165" s="34" t="str">
        <f t="shared" si="37"/>
        <v/>
      </c>
      <c r="R165" s="34" t="str">
        <f t="shared" si="38"/>
        <v/>
      </c>
      <c r="S165" s="34" t="str">
        <f t="shared" si="39"/>
        <v/>
      </c>
    </row>
    <row r="166" spans="1:19" x14ac:dyDescent="0.3">
      <c r="A166">
        <v>0</v>
      </c>
      <c r="B166">
        <v>0</v>
      </c>
      <c r="C166">
        <v>0</v>
      </c>
      <c r="D166">
        <v>0</v>
      </c>
      <c r="E166">
        <v>3</v>
      </c>
      <c r="F166">
        <v>-0.10568669005200999</v>
      </c>
      <c r="G166">
        <v>-2.9309961228864201</v>
      </c>
      <c r="H166">
        <v>-29.7919394110795</v>
      </c>
      <c r="I166">
        <v>0.10568669005200999</v>
      </c>
      <c r="J166">
        <v>2.9309961228864201</v>
      </c>
      <c r="K166">
        <v>-11.359246156178401</v>
      </c>
      <c r="L166" s="34" t="str">
        <f t="shared" si="40"/>
        <v>l.csv</v>
      </c>
      <c r="M166" s="34" t="str">
        <f t="shared" si="31"/>
        <v/>
      </c>
      <c r="N166" s="34" t="str">
        <f t="shared" si="34"/>
        <v/>
      </c>
      <c r="O166" s="34" t="str">
        <f t="shared" si="35"/>
        <v/>
      </c>
      <c r="P166" s="34" t="str">
        <f t="shared" si="36"/>
        <v/>
      </c>
      <c r="Q166" s="34" t="str">
        <f t="shared" si="37"/>
        <v/>
      </c>
      <c r="R166" s="34" t="str">
        <f t="shared" si="38"/>
        <v/>
      </c>
      <c r="S166" s="34" t="str">
        <f t="shared" si="39"/>
        <v/>
      </c>
    </row>
    <row r="167" spans="1:19" x14ac:dyDescent="0.3">
      <c r="A167">
        <v>0</v>
      </c>
      <c r="B167">
        <v>0</v>
      </c>
      <c r="C167">
        <v>0</v>
      </c>
      <c r="D167">
        <v>0</v>
      </c>
      <c r="E167">
        <v>4</v>
      </c>
      <c r="F167">
        <v>-8.8817841970012504E-16</v>
      </c>
      <c r="G167">
        <v>-5.8207660913467401E-11</v>
      </c>
      <c r="H167">
        <v>-6.9849193096160796E-10</v>
      </c>
      <c r="I167">
        <v>8.8817841970012504E-16</v>
      </c>
      <c r="J167">
        <v>5.8207660913467401E-11</v>
      </c>
      <c r="K167">
        <v>-1.3969838619232099E-9</v>
      </c>
      <c r="L167" s="34" t="str">
        <f t="shared" si="40"/>
        <v>l.csv</v>
      </c>
      <c r="M167" s="34" t="str">
        <f t="shared" si="31"/>
        <v/>
      </c>
      <c r="N167" s="34" t="str">
        <f t="shared" si="34"/>
        <v/>
      </c>
      <c r="O167" s="34" t="str">
        <f t="shared" si="35"/>
        <v/>
      </c>
      <c r="P167" s="34" t="str">
        <f t="shared" si="36"/>
        <v/>
      </c>
      <c r="Q167" s="34" t="str">
        <f t="shared" si="37"/>
        <v/>
      </c>
      <c r="R167" s="34" t="str">
        <f t="shared" si="38"/>
        <v/>
      </c>
      <c r="S167" s="34" t="str">
        <f t="shared" si="39"/>
        <v/>
      </c>
    </row>
    <row r="168" spans="1:19" x14ac:dyDescent="0.3">
      <c r="A168">
        <v>0</v>
      </c>
      <c r="B168">
        <v>0</v>
      </c>
      <c r="C168">
        <v>0</v>
      </c>
      <c r="D168">
        <v>0</v>
      </c>
      <c r="E168">
        <v>5</v>
      </c>
      <c r="F168">
        <v>1.1159114601389799</v>
      </c>
      <c r="G168">
        <v>6.1403189754863703E-2</v>
      </c>
      <c r="H168">
        <v>4.2777644223459799</v>
      </c>
      <c r="I168">
        <v>-1.1159114601389799</v>
      </c>
      <c r="J168">
        <v>-6.1403189754863703E-2</v>
      </c>
      <c r="K168">
        <v>2.1388689070372799</v>
      </c>
      <c r="L168" s="34" t="str">
        <f t="shared" si="40"/>
        <v>l.csv</v>
      </c>
      <c r="M168" s="34" t="str">
        <f t="shared" si="31"/>
        <v/>
      </c>
      <c r="N168" s="34">
        <f t="shared" si="34"/>
        <v>1.1159114601389799</v>
      </c>
      <c r="O168" s="34">
        <f t="shared" si="35"/>
        <v>6.1403189754863703E-2</v>
      </c>
      <c r="P168" s="34">
        <f t="shared" si="36"/>
        <v>4.2777644223459799</v>
      </c>
      <c r="Q168" s="34">
        <f t="shared" si="37"/>
        <v>-1.1159114601389799</v>
      </c>
      <c r="R168" s="34">
        <f t="shared" si="38"/>
        <v>-6.1403189754863703E-2</v>
      </c>
      <c r="S168" s="34">
        <f t="shared" si="39"/>
        <v>2.1388689070372799</v>
      </c>
    </row>
    <row r="169" spans="1:19" x14ac:dyDescent="0.3">
      <c r="A169">
        <v>0</v>
      </c>
      <c r="B169">
        <v>0</v>
      </c>
      <c r="C169">
        <v>0</v>
      </c>
      <c r="D169">
        <v>0</v>
      </c>
      <c r="E169">
        <v>6</v>
      </c>
      <c r="F169">
        <v>1.81997622813814</v>
      </c>
      <c r="G169">
        <v>0.100687092028644</v>
      </c>
      <c r="H169">
        <v>7.0814817356432203</v>
      </c>
      <c r="I169">
        <v>-1.81997622813814</v>
      </c>
      <c r="J169">
        <v>-0.100687092028644</v>
      </c>
      <c r="K169">
        <v>3.5551364064880602</v>
      </c>
      <c r="L169" s="34" t="str">
        <f t="shared" si="40"/>
        <v>l.csv</v>
      </c>
      <c r="M169" s="34" t="str">
        <f t="shared" si="31"/>
        <v/>
      </c>
      <c r="N169" s="34">
        <f t="shared" si="34"/>
        <v>1.81997622813814</v>
      </c>
      <c r="O169" s="34">
        <f t="shared" si="35"/>
        <v>0.100687092028644</v>
      </c>
      <c r="P169" s="34">
        <f t="shared" si="36"/>
        <v>7.0814817356432203</v>
      </c>
      <c r="Q169" s="34">
        <f t="shared" si="37"/>
        <v>-1.81997622813814</v>
      </c>
      <c r="R169" s="34">
        <f t="shared" si="38"/>
        <v>-0.100687092028644</v>
      </c>
      <c r="S169" s="34">
        <f t="shared" si="39"/>
        <v>3.5551364064880602</v>
      </c>
    </row>
    <row r="170" spans="1:19" x14ac:dyDescent="0.3">
      <c r="A170">
        <v>0</v>
      </c>
      <c r="B170">
        <v>0</v>
      </c>
      <c r="C170">
        <v>0</v>
      </c>
      <c r="D170">
        <v>0</v>
      </c>
      <c r="E170">
        <v>7</v>
      </c>
      <c r="F170">
        <v>16.157378651076598</v>
      </c>
      <c r="G170">
        <v>9.5293548441138506E-2</v>
      </c>
      <c r="H170">
        <v>6.7965735517226502</v>
      </c>
      <c r="I170">
        <v>-16.157378651076598</v>
      </c>
      <c r="J170">
        <v>-9.5293548441138506E-2</v>
      </c>
      <c r="K170">
        <v>3.2702688384491099</v>
      </c>
      <c r="L170" s="34" t="str">
        <f t="shared" si="40"/>
        <v>l.csv</v>
      </c>
      <c r="M170" s="34" t="str">
        <f t="shared" si="31"/>
        <v/>
      </c>
      <c r="N170" s="34">
        <f t="shared" si="34"/>
        <v>16.157378651076598</v>
      </c>
      <c r="O170" s="34">
        <f t="shared" si="35"/>
        <v>9.5293548441138506E-2</v>
      </c>
      <c r="P170" s="34">
        <f t="shared" si="36"/>
        <v>6.7965735517226502</v>
      </c>
      <c r="Q170" s="34">
        <f t="shared" si="37"/>
        <v>-16.157378651076598</v>
      </c>
      <c r="R170" s="34">
        <f t="shared" si="38"/>
        <v>-9.5293548441138506E-2</v>
      </c>
      <c r="S170" s="34">
        <f t="shared" si="39"/>
        <v>3.2702688384491099</v>
      </c>
    </row>
    <row r="171" spans="1:19" x14ac:dyDescent="0.3">
      <c r="M171" s="34" t="str">
        <f t="shared" si="31"/>
        <v/>
      </c>
      <c r="N171" s="34" t="str">
        <f t="shared" si="34"/>
        <v/>
      </c>
      <c r="O171" s="34" t="str">
        <f t="shared" si="35"/>
        <v/>
      </c>
      <c r="P171" s="34" t="str">
        <f t="shared" si="36"/>
        <v/>
      </c>
      <c r="Q171" s="34" t="str">
        <f t="shared" si="37"/>
        <v/>
      </c>
      <c r="R171" s="34" t="str">
        <f t="shared" si="38"/>
        <v/>
      </c>
      <c r="S171" s="34" t="str">
        <f t="shared" si="39"/>
        <v/>
      </c>
    </row>
    <row r="172" spans="1:19" x14ac:dyDescent="0.3">
      <c r="M172" s="34" t="str">
        <f t="shared" si="31"/>
        <v/>
      </c>
      <c r="N172" s="34" t="str">
        <f t="shared" si="34"/>
        <v/>
      </c>
      <c r="O172" s="34" t="str">
        <f t="shared" si="35"/>
        <v/>
      </c>
      <c r="P172" s="34" t="str">
        <f t="shared" si="36"/>
        <v/>
      </c>
      <c r="Q172" s="34" t="str">
        <f t="shared" si="37"/>
        <v/>
      </c>
      <c r="R172" s="34" t="str">
        <f t="shared" si="38"/>
        <v/>
      </c>
      <c r="S172" s="34" t="str">
        <f t="shared" si="39"/>
        <v/>
      </c>
    </row>
    <row r="173" spans="1:19" x14ac:dyDescent="0.3">
      <c r="A173" t="s">
        <v>211</v>
      </c>
      <c r="L173" s="34" t="str">
        <f t="shared" ref="L173" si="43">RIGHT(A173,5)</f>
        <v>g.csv</v>
      </c>
      <c r="M173" s="34" t="str">
        <f t="shared" si="31"/>
        <v/>
      </c>
      <c r="N173" s="34" t="str">
        <f t="shared" si="34"/>
        <v/>
      </c>
      <c r="O173" s="34" t="str">
        <f t="shared" si="35"/>
        <v/>
      </c>
      <c r="P173" s="34" t="str">
        <f t="shared" si="36"/>
        <v/>
      </c>
      <c r="Q173" s="34" t="str">
        <f t="shared" si="37"/>
        <v/>
      </c>
      <c r="R173" s="34" t="str">
        <f t="shared" si="38"/>
        <v/>
      </c>
      <c r="S173" s="34" t="str">
        <f t="shared" si="39"/>
        <v/>
      </c>
    </row>
    <row r="174" spans="1:19" x14ac:dyDescent="0.3">
      <c r="A174">
        <v>1</v>
      </c>
      <c r="B174">
        <v>0.109740745615933</v>
      </c>
      <c r="C174">
        <v>0</v>
      </c>
      <c r="D174">
        <v>3.12371384370626E-3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 s="34" t="str">
        <f t="shared" ref="L174" si="44">L173</f>
        <v>g.csv</v>
      </c>
      <c r="M174" s="34" t="str">
        <f t="shared" si="31"/>
        <v/>
      </c>
      <c r="N174" s="34" t="str">
        <f t="shared" si="34"/>
        <v/>
      </c>
      <c r="O174" s="34" t="str">
        <f t="shared" si="35"/>
        <v/>
      </c>
      <c r="P174" s="34" t="str">
        <f t="shared" si="36"/>
        <v/>
      </c>
      <c r="Q174" s="34" t="str">
        <f t="shared" si="37"/>
        <v/>
      </c>
      <c r="R174" s="34" t="str">
        <f t="shared" si="38"/>
        <v/>
      </c>
      <c r="S174" s="34" t="str">
        <f t="shared" si="39"/>
        <v/>
      </c>
    </row>
    <row r="175" spans="1:19" x14ac:dyDescent="0.3">
      <c r="A175">
        <v>2</v>
      </c>
      <c r="B175">
        <v>2.9898619770801299E-2</v>
      </c>
      <c r="C175">
        <v>-1.3914544187212301E-6</v>
      </c>
      <c r="D175">
        <v>3.12371384370626E-3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 s="34" t="str">
        <f t="shared" si="40"/>
        <v>g.csv</v>
      </c>
      <c r="M175" s="34" t="str">
        <f t="shared" si="31"/>
        <v/>
      </c>
      <c r="N175" s="34" t="str">
        <f t="shared" si="34"/>
        <v/>
      </c>
      <c r="O175" s="34" t="str">
        <f t="shared" si="35"/>
        <v/>
      </c>
      <c r="P175" s="34" t="str">
        <f t="shared" si="36"/>
        <v/>
      </c>
      <c r="Q175" s="34" t="str">
        <f t="shared" si="37"/>
        <v/>
      </c>
      <c r="R175" s="34" t="str">
        <f t="shared" si="38"/>
        <v/>
      </c>
      <c r="S175" s="34" t="str">
        <f t="shared" si="39"/>
        <v/>
      </c>
    </row>
    <row r="176" spans="1:19" x14ac:dyDescent="0.3">
      <c r="A176">
        <v>3</v>
      </c>
      <c r="B176">
        <v>2.5400469173739299E-2</v>
      </c>
      <c r="C176">
        <v>-1.4234198953306301E-6</v>
      </c>
      <c r="D176">
        <v>3.1237182400935398E-3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 s="34" t="str">
        <f t="shared" si="40"/>
        <v>g.csv</v>
      </c>
      <c r="M176" s="34" t="str">
        <f t="shared" si="31"/>
        <v/>
      </c>
      <c r="N176" s="34" t="str">
        <f t="shared" si="34"/>
        <v/>
      </c>
      <c r="O176" s="34" t="str">
        <f t="shared" si="35"/>
        <v/>
      </c>
      <c r="P176" s="34" t="str">
        <f t="shared" si="36"/>
        <v/>
      </c>
      <c r="Q176" s="34" t="str">
        <f t="shared" si="37"/>
        <v/>
      </c>
      <c r="R176" s="34" t="str">
        <f t="shared" si="38"/>
        <v/>
      </c>
      <c r="S176" s="34" t="str">
        <f t="shared" si="39"/>
        <v/>
      </c>
    </row>
    <row r="177" spans="1:19" x14ac:dyDescent="0.3">
      <c r="A177">
        <v>4</v>
      </c>
      <c r="B177">
        <v>-1.8457912283585499E-2</v>
      </c>
      <c r="C177">
        <v>-1.73508329227225E-6</v>
      </c>
      <c r="D177">
        <v>3.1239808940167102E-3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 s="34" t="str">
        <f t="shared" si="40"/>
        <v>g.csv</v>
      </c>
      <c r="M177" s="34" t="str">
        <f t="shared" si="31"/>
        <v/>
      </c>
      <c r="N177" s="34" t="str">
        <f t="shared" si="34"/>
        <v/>
      </c>
      <c r="O177" s="34" t="str">
        <f t="shared" si="35"/>
        <v/>
      </c>
      <c r="P177" s="34" t="str">
        <f t="shared" si="36"/>
        <v/>
      </c>
      <c r="Q177" s="34" t="str">
        <f t="shared" si="37"/>
        <v/>
      </c>
      <c r="R177" s="34" t="str">
        <f t="shared" si="38"/>
        <v/>
      </c>
      <c r="S177" s="34" t="str">
        <f t="shared" si="39"/>
        <v/>
      </c>
    </row>
    <row r="178" spans="1:19" x14ac:dyDescent="0.3">
      <c r="A178">
        <v>5</v>
      </c>
      <c r="B178">
        <v>-5.8947686281012698E-2</v>
      </c>
      <c r="C178">
        <v>-1.73508329227225E-6</v>
      </c>
      <c r="D178">
        <v>3.1244410191664899E-3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 s="34" t="str">
        <f t="shared" si="40"/>
        <v>g.csv</v>
      </c>
      <c r="M178" s="34" t="str">
        <f t="shared" si="31"/>
        <v/>
      </c>
      <c r="N178" s="34" t="str">
        <f t="shared" si="34"/>
        <v/>
      </c>
      <c r="O178" s="34" t="str">
        <f t="shared" si="35"/>
        <v/>
      </c>
      <c r="P178" s="34" t="str">
        <f t="shared" si="36"/>
        <v/>
      </c>
      <c r="Q178" s="34" t="str">
        <f t="shared" si="37"/>
        <v/>
      </c>
      <c r="R178" s="34" t="str">
        <f t="shared" si="38"/>
        <v/>
      </c>
      <c r="S178" s="34" t="str">
        <f t="shared" si="39"/>
        <v/>
      </c>
    </row>
    <row r="179" spans="1:19" x14ac:dyDescent="0.3">
      <c r="A179">
        <v>6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 s="34" t="str">
        <f t="shared" si="40"/>
        <v>g.csv</v>
      </c>
      <c r="M179" s="34" t="str">
        <f t="shared" si="31"/>
        <v/>
      </c>
      <c r="N179" s="34" t="str">
        <f t="shared" si="34"/>
        <v/>
      </c>
      <c r="O179" s="34" t="str">
        <f t="shared" si="35"/>
        <v/>
      </c>
      <c r="P179" s="34" t="str">
        <f t="shared" si="36"/>
        <v/>
      </c>
      <c r="Q179" s="34" t="str">
        <f t="shared" si="37"/>
        <v/>
      </c>
      <c r="R179" s="34" t="str">
        <f t="shared" si="38"/>
        <v/>
      </c>
      <c r="S179" s="34" t="str">
        <f t="shared" si="39"/>
        <v/>
      </c>
    </row>
    <row r="180" spans="1:19" x14ac:dyDescent="0.3">
      <c r="A180">
        <v>7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 s="34" t="str">
        <f t="shared" si="40"/>
        <v>g.csv</v>
      </c>
      <c r="M180" s="34" t="str">
        <f t="shared" si="31"/>
        <v/>
      </c>
      <c r="N180" s="34" t="str">
        <f t="shared" si="34"/>
        <v/>
      </c>
      <c r="O180" s="34" t="str">
        <f t="shared" si="35"/>
        <v/>
      </c>
      <c r="P180" s="34" t="str">
        <f t="shared" si="36"/>
        <v/>
      </c>
      <c r="Q180" s="34" t="str">
        <f t="shared" si="37"/>
        <v/>
      </c>
      <c r="R180" s="34" t="str">
        <f t="shared" si="38"/>
        <v/>
      </c>
      <c r="S180" s="34" t="str">
        <f t="shared" si="39"/>
        <v/>
      </c>
    </row>
    <row r="181" spans="1:19" x14ac:dyDescent="0.3">
      <c r="A181">
        <v>0</v>
      </c>
      <c r="B181">
        <v>0</v>
      </c>
      <c r="C181">
        <v>0</v>
      </c>
      <c r="D181">
        <v>0</v>
      </c>
      <c r="E181">
        <v>1</v>
      </c>
      <c r="F181">
        <v>15.7856584214012</v>
      </c>
      <c r="G181">
        <v>-5.8207660913467397E-10</v>
      </c>
      <c r="H181">
        <v>-5.5879354476928703E-9</v>
      </c>
      <c r="I181">
        <v>-15.7856584214012</v>
      </c>
      <c r="J181">
        <v>5.8207660913467397E-10</v>
      </c>
      <c r="K181">
        <v>-1.86264514923095E-9</v>
      </c>
      <c r="L181" s="34" t="str">
        <f t="shared" si="40"/>
        <v>g.csv</v>
      </c>
      <c r="M181" s="34" t="str">
        <f t="shared" si="31"/>
        <v/>
      </c>
      <c r="N181" s="34" t="str">
        <f t="shared" si="34"/>
        <v/>
      </c>
      <c r="O181" s="34" t="str">
        <f t="shared" si="35"/>
        <v/>
      </c>
      <c r="P181" s="34" t="str">
        <f t="shared" si="36"/>
        <v/>
      </c>
      <c r="Q181" s="34" t="str">
        <f t="shared" si="37"/>
        <v/>
      </c>
      <c r="R181" s="34" t="str">
        <f t="shared" si="38"/>
        <v/>
      </c>
      <c r="S181" s="34" t="str">
        <f t="shared" si="39"/>
        <v/>
      </c>
    </row>
    <row r="182" spans="1:19" x14ac:dyDescent="0.3">
      <c r="A182">
        <v>0</v>
      </c>
      <c r="B182">
        <v>0</v>
      </c>
      <c r="C182">
        <v>0</v>
      </c>
      <c r="D182">
        <v>0</v>
      </c>
      <c r="E182">
        <v>2</v>
      </c>
      <c r="F182">
        <v>6.4368480679887004</v>
      </c>
      <c r="G182">
        <v>58.6537431180477</v>
      </c>
      <c r="H182">
        <v>-46.307570919394401</v>
      </c>
      <c r="I182">
        <v>-6.4368480679887004</v>
      </c>
      <c r="J182">
        <v>-58.6537431180477</v>
      </c>
      <c r="K182">
        <v>130.768961697816</v>
      </c>
      <c r="L182" s="34" t="str">
        <f t="shared" si="40"/>
        <v>g.csv</v>
      </c>
      <c r="M182" s="34" t="str">
        <f t="shared" si="31"/>
        <v/>
      </c>
      <c r="N182" s="34" t="str">
        <f t="shared" si="34"/>
        <v/>
      </c>
      <c r="O182" s="34" t="str">
        <f t="shared" si="35"/>
        <v/>
      </c>
      <c r="P182" s="34" t="str">
        <f t="shared" si="36"/>
        <v/>
      </c>
      <c r="Q182" s="34" t="str">
        <f t="shared" si="37"/>
        <v/>
      </c>
      <c r="R182" s="34" t="str">
        <f t="shared" si="38"/>
        <v/>
      </c>
      <c r="S182" s="34" t="str">
        <f t="shared" si="39"/>
        <v/>
      </c>
    </row>
    <row r="183" spans="1:19" x14ac:dyDescent="0.3">
      <c r="A183">
        <v>0</v>
      </c>
      <c r="B183">
        <v>0</v>
      </c>
      <c r="C183">
        <v>0</v>
      </c>
      <c r="D183">
        <v>0</v>
      </c>
      <c r="E183">
        <v>3</v>
      </c>
      <c r="F183">
        <v>6.4368480679886702</v>
      </c>
      <c r="G183">
        <v>58.653743912000202</v>
      </c>
      <c r="H183">
        <v>-130.768962398171</v>
      </c>
      <c r="I183">
        <v>-6.4368480679886702</v>
      </c>
      <c r="J183">
        <v>-58.653743912000202</v>
      </c>
      <c r="K183">
        <v>954.267526905983</v>
      </c>
      <c r="L183" s="34" t="str">
        <f t="shared" si="40"/>
        <v>g.csv</v>
      </c>
      <c r="M183" s="34" t="str">
        <f t="shared" si="31"/>
        <v/>
      </c>
      <c r="N183" s="34" t="str">
        <f t="shared" si="34"/>
        <v/>
      </c>
      <c r="O183" s="34" t="str">
        <f t="shared" si="35"/>
        <v/>
      </c>
      <c r="P183" s="34" t="str">
        <f t="shared" si="36"/>
        <v/>
      </c>
      <c r="Q183" s="34" t="str">
        <f t="shared" si="37"/>
        <v/>
      </c>
      <c r="R183" s="34" t="str">
        <f t="shared" si="38"/>
        <v/>
      </c>
      <c r="S183" s="34" t="str">
        <f t="shared" si="39"/>
        <v/>
      </c>
    </row>
    <row r="184" spans="1:19" x14ac:dyDescent="0.3">
      <c r="A184">
        <v>0</v>
      </c>
      <c r="B184">
        <v>0</v>
      </c>
      <c r="C184">
        <v>0</v>
      </c>
      <c r="D184">
        <v>0</v>
      </c>
      <c r="E184">
        <v>4</v>
      </c>
      <c r="F184">
        <v>-7.1054273576010003E-15</v>
      </c>
      <c r="G184">
        <v>-2.7939677238464302E-9</v>
      </c>
      <c r="H184">
        <v>-1029.6000000163899</v>
      </c>
      <c r="I184">
        <v>7.1054273576010003E-15</v>
      </c>
      <c r="J184">
        <v>2.7939677238464302E-9</v>
      </c>
      <c r="K184">
        <v>1029.59999997913</v>
      </c>
      <c r="L184" s="34" t="str">
        <f t="shared" si="40"/>
        <v>g.csv</v>
      </c>
      <c r="M184" s="34" t="str">
        <f t="shared" si="31"/>
        <v/>
      </c>
      <c r="N184" s="34" t="str">
        <f t="shared" si="34"/>
        <v/>
      </c>
      <c r="O184" s="34" t="str">
        <f t="shared" si="35"/>
        <v/>
      </c>
      <c r="P184" s="34" t="str">
        <f t="shared" si="36"/>
        <v/>
      </c>
      <c r="Q184" s="34" t="str">
        <f t="shared" si="37"/>
        <v/>
      </c>
      <c r="R184" s="34" t="str">
        <f t="shared" si="38"/>
        <v/>
      </c>
      <c r="S184" s="34" t="str">
        <f t="shared" si="39"/>
        <v/>
      </c>
    </row>
    <row r="185" spans="1:19" x14ac:dyDescent="0.3">
      <c r="A185">
        <v>0</v>
      </c>
      <c r="B185">
        <v>0</v>
      </c>
      <c r="C185">
        <v>0</v>
      </c>
      <c r="D185">
        <v>0</v>
      </c>
      <c r="E185">
        <v>5</v>
      </c>
      <c r="F185">
        <v>-22.4817371614071</v>
      </c>
      <c r="G185">
        <v>0.41139904376665198</v>
      </c>
      <c r="H185">
        <v>28.6608762146295</v>
      </c>
      <c r="I185">
        <v>22.4817371614071</v>
      </c>
      <c r="J185">
        <v>-0.41139904376665198</v>
      </c>
      <c r="K185">
        <v>14.3303238589855</v>
      </c>
      <c r="L185" s="34" t="str">
        <f t="shared" si="40"/>
        <v>g.csv</v>
      </c>
      <c r="M185" s="34" t="str">
        <f t="shared" si="31"/>
        <v/>
      </c>
      <c r="N185" s="34">
        <f t="shared" si="34"/>
        <v>-22.4817371614071</v>
      </c>
      <c r="O185" s="34">
        <f t="shared" si="35"/>
        <v>0.41139904376665198</v>
      </c>
      <c r="P185" s="34">
        <f t="shared" si="36"/>
        <v>28.6608762146295</v>
      </c>
      <c r="Q185" s="34">
        <f t="shared" si="37"/>
        <v>22.4817371614071</v>
      </c>
      <c r="R185" s="34">
        <f t="shared" si="38"/>
        <v>-0.41139904376665198</v>
      </c>
      <c r="S185" s="34">
        <f t="shared" si="39"/>
        <v>14.3303238589855</v>
      </c>
    </row>
    <row r="186" spans="1:19" x14ac:dyDescent="0.3">
      <c r="A186">
        <v>0</v>
      </c>
      <c r="B186">
        <v>0</v>
      </c>
      <c r="C186">
        <v>0</v>
      </c>
      <c r="D186">
        <v>0</v>
      </c>
      <c r="E186">
        <v>6</v>
      </c>
      <c r="F186">
        <v>-36.664486653026401</v>
      </c>
      <c r="G186">
        <v>0.65994450389265902</v>
      </c>
      <c r="H186">
        <v>46.6715968859695</v>
      </c>
      <c r="I186">
        <v>36.664486653026401</v>
      </c>
      <c r="J186">
        <v>-0.65994450389265902</v>
      </c>
      <c r="K186">
        <v>23.0451616525284</v>
      </c>
      <c r="L186" s="34" t="str">
        <f t="shared" si="40"/>
        <v>g.csv</v>
      </c>
      <c r="M186" s="34" t="str">
        <f t="shared" si="31"/>
        <v/>
      </c>
      <c r="N186" s="34">
        <f t="shared" si="34"/>
        <v>-36.664486653026401</v>
      </c>
      <c r="O186" s="34">
        <f t="shared" si="35"/>
        <v>0.65994450389265902</v>
      </c>
      <c r="P186" s="34">
        <f t="shared" si="36"/>
        <v>46.6715968859695</v>
      </c>
      <c r="Q186" s="34">
        <f t="shared" si="37"/>
        <v>36.664486653026401</v>
      </c>
      <c r="R186" s="34">
        <f t="shared" si="38"/>
        <v>-0.65994450389265902</v>
      </c>
      <c r="S186" s="34">
        <f t="shared" si="39"/>
        <v>23.0451616525284</v>
      </c>
    </row>
    <row r="187" spans="1:19" x14ac:dyDescent="0.3">
      <c r="A187">
        <v>0</v>
      </c>
      <c r="B187">
        <v>0</v>
      </c>
      <c r="C187">
        <v>0</v>
      </c>
      <c r="D187">
        <v>0</v>
      </c>
      <c r="E187">
        <v>7</v>
      </c>
      <c r="F187">
        <v>59.390533240251699</v>
      </c>
      <c r="G187">
        <v>0.65307180822935695</v>
      </c>
      <c r="H187">
        <v>46.3075701086929</v>
      </c>
      <c r="I187">
        <v>-59.390533240251699</v>
      </c>
      <c r="J187">
        <v>-0.65307180822935695</v>
      </c>
      <c r="K187">
        <v>22.6831545568946</v>
      </c>
      <c r="L187" s="34" t="str">
        <f t="shared" si="40"/>
        <v>g.csv</v>
      </c>
      <c r="M187" s="34" t="str">
        <f t="shared" si="31"/>
        <v/>
      </c>
      <c r="N187" s="34">
        <f t="shared" si="34"/>
        <v>59.390533240251699</v>
      </c>
      <c r="O187" s="34">
        <f t="shared" si="35"/>
        <v>0.65307180822935695</v>
      </c>
      <c r="P187" s="34">
        <f t="shared" si="36"/>
        <v>46.3075701086929</v>
      </c>
      <c r="Q187" s="34">
        <f t="shared" si="37"/>
        <v>-59.390533240251699</v>
      </c>
      <c r="R187" s="34">
        <f t="shared" si="38"/>
        <v>-0.65307180822935695</v>
      </c>
      <c r="S187" s="34">
        <f t="shared" si="39"/>
        <v>22.6831545568946</v>
      </c>
    </row>
    <row r="188" spans="1:19" x14ac:dyDescent="0.3">
      <c r="M188" s="34" t="str">
        <f t="shared" si="31"/>
        <v/>
      </c>
      <c r="N188" s="34" t="str">
        <f t="shared" si="34"/>
        <v/>
      </c>
      <c r="O188" s="34" t="str">
        <f t="shared" si="35"/>
        <v/>
      </c>
      <c r="P188" s="34" t="str">
        <f t="shared" si="36"/>
        <v/>
      </c>
      <c r="Q188" s="34" t="str">
        <f t="shared" si="37"/>
        <v/>
      </c>
      <c r="R188" s="34" t="str">
        <f t="shared" si="38"/>
        <v/>
      </c>
      <c r="S188" s="34" t="str">
        <f t="shared" si="39"/>
        <v/>
      </c>
    </row>
    <row r="189" spans="1:19" x14ac:dyDescent="0.3">
      <c r="M189" s="34" t="str">
        <f t="shared" si="31"/>
        <v/>
      </c>
      <c r="N189" s="34" t="str">
        <f t="shared" si="34"/>
        <v/>
      </c>
      <c r="O189" s="34" t="str">
        <f t="shared" si="35"/>
        <v/>
      </c>
      <c r="P189" s="34" t="str">
        <f t="shared" si="36"/>
        <v/>
      </c>
      <c r="Q189" s="34" t="str">
        <f t="shared" si="37"/>
        <v/>
      </c>
      <c r="R189" s="34" t="str">
        <f t="shared" si="38"/>
        <v/>
      </c>
      <c r="S189" s="34" t="str">
        <f t="shared" si="39"/>
        <v/>
      </c>
    </row>
    <row r="190" spans="1:19" x14ac:dyDescent="0.3">
      <c r="A190" t="s">
        <v>212</v>
      </c>
      <c r="L190" s="34" t="str">
        <f t="shared" ref="L190" si="45">RIGHT(A190,5)</f>
        <v>s.csv</v>
      </c>
      <c r="M190" s="34" t="str">
        <f t="shared" si="31"/>
        <v/>
      </c>
      <c r="N190" s="34" t="str">
        <f t="shared" si="34"/>
        <v/>
      </c>
      <c r="O190" s="34" t="str">
        <f t="shared" si="35"/>
        <v/>
      </c>
      <c r="P190" s="34" t="str">
        <f t="shared" si="36"/>
        <v/>
      </c>
      <c r="Q190" s="34" t="str">
        <f t="shared" si="37"/>
        <v/>
      </c>
      <c r="R190" s="34" t="str">
        <f t="shared" si="38"/>
        <v/>
      </c>
      <c r="S190" s="34" t="str">
        <f t="shared" si="39"/>
        <v/>
      </c>
    </row>
    <row r="191" spans="1:19" x14ac:dyDescent="0.3">
      <c r="A191">
        <v>1</v>
      </c>
      <c r="B191">
        <v>0.120684860596478</v>
      </c>
      <c r="C191">
        <v>0</v>
      </c>
      <c r="D191">
        <v>3.4358648692618802E-3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 s="34" t="str">
        <f t="shared" ref="L191" si="46">L190</f>
        <v>s.csv</v>
      </c>
      <c r="M191" s="34">
        <f t="shared" si="31"/>
        <v>24253.9612307965</v>
      </c>
      <c r="N191" s="34" t="str">
        <f t="shared" si="34"/>
        <v/>
      </c>
      <c r="O191" s="34" t="str">
        <f t="shared" si="35"/>
        <v/>
      </c>
      <c r="P191" s="34" t="str">
        <f t="shared" si="36"/>
        <v/>
      </c>
      <c r="Q191" s="34" t="str">
        <f t="shared" si="37"/>
        <v/>
      </c>
      <c r="R191" s="34" t="str">
        <f t="shared" si="38"/>
        <v/>
      </c>
      <c r="S191" s="34" t="str">
        <f t="shared" si="39"/>
        <v/>
      </c>
    </row>
    <row r="192" spans="1:19" x14ac:dyDescent="0.3">
      <c r="A192">
        <v>2</v>
      </c>
      <c r="B192">
        <v>3.2875418576994997E-2</v>
      </c>
      <c r="C192">
        <v>-1.3635339622593099E-6</v>
      </c>
      <c r="D192">
        <v>3.4349834890701602E-3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 s="34" t="str">
        <f t="shared" si="40"/>
        <v>s.csv</v>
      </c>
      <c r="M192" s="34" t="str">
        <f t="shared" si="31"/>
        <v/>
      </c>
      <c r="N192" s="34" t="str">
        <f t="shared" si="34"/>
        <v/>
      </c>
      <c r="O192" s="34" t="str">
        <f t="shared" si="35"/>
        <v/>
      </c>
      <c r="P192" s="34" t="str">
        <f t="shared" si="36"/>
        <v/>
      </c>
      <c r="Q192" s="34" t="str">
        <f t="shared" si="37"/>
        <v/>
      </c>
      <c r="R192" s="34" t="str">
        <f t="shared" si="38"/>
        <v/>
      </c>
      <c r="S192" s="34" t="str">
        <f t="shared" si="39"/>
        <v/>
      </c>
    </row>
    <row r="193" spans="1:19" x14ac:dyDescent="0.3">
      <c r="A193">
        <v>3</v>
      </c>
      <c r="B193">
        <v>2.79290769959121E-2</v>
      </c>
      <c r="C193">
        <v>-1.3928557041271601E-6</v>
      </c>
      <c r="D193">
        <v>3.4349361433932998E-3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 s="34" t="str">
        <f t="shared" si="40"/>
        <v>s.csv</v>
      </c>
      <c r="M193" s="34" t="str">
        <f t="shared" si="31"/>
        <v/>
      </c>
      <c r="N193" s="34" t="str">
        <f t="shared" si="34"/>
        <v/>
      </c>
      <c r="O193" s="34" t="str">
        <f t="shared" si="35"/>
        <v/>
      </c>
      <c r="P193" s="34" t="str">
        <f t="shared" si="36"/>
        <v/>
      </c>
      <c r="Q193" s="34" t="str">
        <f t="shared" si="37"/>
        <v/>
      </c>
      <c r="R193" s="34" t="str">
        <f t="shared" si="38"/>
        <v/>
      </c>
      <c r="S193" s="34" t="str">
        <f t="shared" si="39"/>
        <v/>
      </c>
    </row>
    <row r="194" spans="1:19" x14ac:dyDescent="0.3">
      <c r="A194">
        <v>4</v>
      </c>
      <c r="B194">
        <v>-2.02953714586427E-2</v>
      </c>
      <c r="C194">
        <v>-1.6787426873387499E-6</v>
      </c>
      <c r="D194">
        <v>3.43471659225151E-3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 s="34" t="str">
        <f t="shared" si="40"/>
        <v>s.csv</v>
      </c>
      <c r="M194" s="34" t="str">
        <f t="shared" si="31"/>
        <v/>
      </c>
      <c r="N194" s="34" t="str">
        <f t="shared" si="34"/>
        <v/>
      </c>
      <c r="O194" s="34" t="str">
        <f t="shared" si="35"/>
        <v/>
      </c>
      <c r="P194" s="34" t="str">
        <f t="shared" si="36"/>
        <v/>
      </c>
      <c r="Q194" s="34" t="str">
        <f t="shared" si="37"/>
        <v/>
      </c>
      <c r="R194" s="34" t="str">
        <f t="shared" si="38"/>
        <v/>
      </c>
      <c r="S194" s="34" t="str">
        <f t="shared" si="39"/>
        <v/>
      </c>
    </row>
    <row r="195" spans="1:19" x14ac:dyDescent="0.3">
      <c r="A195">
        <v>5</v>
      </c>
      <c r="B195">
        <v>-6.4809298494222303E-2</v>
      </c>
      <c r="C195">
        <v>-1.6787426873387499E-6</v>
      </c>
      <c r="D195">
        <v>3.4347165922515E-3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 s="34" t="str">
        <f t="shared" si="40"/>
        <v>s.csv</v>
      </c>
      <c r="M195" s="34" t="str">
        <f t="shared" si="31"/>
        <v/>
      </c>
      <c r="N195" s="34" t="str">
        <f t="shared" si="34"/>
        <v/>
      </c>
      <c r="O195" s="34" t="str">
        <f t="shared" si="35"/>
        <v/>
      </c>
      <c r="P195" s="34" t="str">
        <f t="shared" si="36"/>
        <v/>
      </c>
      <c r="Q195" s="34" t="str">
        <f t="shared" si="37"/>
        <v/>
      </c>
      <c r="R195" s="34" t="str">
        <f t="shared" si="38"/>
        <v/>
      </c>
      <c r="S195" s="34" t="str">
        <f t="shared" si="39"/>
        <v/>
      </c>
    </row>
    <row r="196" spans="1:19" x14ac:dyDescent="0.3">
      <c r="A196">
        <v>6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 s="34" t="str">
        <f t="shared" si="40"/>
        <v>s.csv</v>
      </c>
      <c r="M196" s="34" t="str">
        <f t="shared" si="31"/>
        <v/>
      </c>
      <c r="N196" s="34" t="str">
        <f t="shared" si="34"/>
        <v/>
      </c>
      <c r="O196" s="34" t="str">
        <f t="shared" si="35"/>
        <v/>
      </c>
      <c r="P196" s="34" t="str">
        <f t="shared" si="36"/>
        <v/>
      </c>
      <c r="Q196" s="34" t="str">
        <f t="shared" si="37"/>
        <v/>
      </c>
      <c r="R196" s="34" t="str">
        <f t="shared" si="38"/>
        <v/>
      </c>
      <c r="S196" s="34" t="str">
        <f t="shared" si="39"/>
        <v/>
      </c>
    </row>
    <row r="197" spans="1:19" x14ac:dyDescent="0.3">
      <c r="A197">
        <v>7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 s="34" t="str">
        <f t="shared" si="40"/>
        <v>s.csv</v>
      </c>
      <c r="M197" s="34" t="str">
        <f t="shared" ref="M197:M260" si="47">IF(AND(L197="s.csv",A197=1),ABS(1000/12/D197),"")</f>
        <v/>
      </c>
      <c r="N197" s="34" t="str">
        <f t="shared" si="34"/>
        <v/>
      </c>
      <c r="O197" s="34" t="str">
        <f t="shared" si="35"/>
        <v/>
      </c>
      <c r="P197" s="34" t="str">
        <f t="shared" si="36"/>
        <v/>
      </c>
      <c r="Q197" s="34" t="str">
        <f t="shared" si="37"/>
        <v/>
      </c>
      <c r="R197" s="34" t="str">
        <f t="shared" si="38"/>
        <v/>
      </c>
      <c r="S197" s="34" t="str">
        <f t="shared" si="39"/>
        <v/>
      </c>
    </row>
    <row r="198" spans="1:19" x14ac:dyDescent="0.3">
      <c r="A198">
        <v>0</v>
      </c>
      <c r="B198">
        <v>0</v>
      </c>
      <c r="C198">
        <v>0</v>
      </c>
      <c r="D198">
        <v>0</v>
      </c>
      <c r="E198">
        <v>1</v>
      </c>
      <c r="F198">
        <v>15.468908707758001</v>
      </c>
      <c r="G198">
        <v>9.31322574615478E-10</v>
      </c>
      <c r="H198">
        <v>1000.00000001303</v>
      </c>
      <c r="I198">
        <v>-15.468908707758001</v>
      </c>
      <c r="J198">
        <v>-9.31322574615478E-10</v>
      </c>
      <c r="K198">
        <v>-999.99999998323597</v>
      </c>
      <c r="L198" s="34" t="str">
        <f t="shared" si="40"/>
        <v>s.csv</v>
      </c>
      <c r="M198" s="34" t="str">
        <f t="shared" si="47"/>
        <v/>
      </c>
      <c r="N198" s="34" t="str">
        <f t="shared" si="34"/>
        <v/>
      </c>
      <c r="O198" s="34" t="str">
        <f t="shared" si="35"/>
        <v/>
      </c>
      <c r="P198" s="34" t="str">
        <f t="shared" si="36"/>
        <v/>
      </c>
      <c r="Q198" s="34" t="str">
        <f t="shared" si="37"/>
        <v/>
      </c>
      <c r="R198" s="34" t="str">
        <f t="shared" si="38"/>
        <v/>
      </c>
      <c r="S198" s="34" t="str">
        <f t="shared" si="39"/>
        <v/>
      </c>
    </row>
    <row r="199" spans="1:19" x14ac:dyDescent="0.3">
      <c r="A199">
        <v>0</v>
      </c>
      <c r="B199">
        <v>0</v>
      </c>
      <c r="C199">
        <v>0</v>
      </c>
      <c r="D199">
        <v>0</v>
      </c>
      <c r="E199">
        <v>2</v>
      </c>
      <c r="F199">
        <v>5.9044825077529</v>
      </c>
      <c r="G199">
        <v>64.599478721618596</v>
      </c>
      <c r="H199">
        <v>999.99999684095303</v>
      </c>
      <c r="I199">
        <v>-5.9044825077529</v>
      </c>
      <c r="J199">
        <v>-64.599478721618596</v>
      </c>
      <c r="K199">
        <v>-906.97674715518895</v>
      </c>
      <c r="L199" s="34" t="str">
        <f t="shared" si="40"/>
        <v>s.csv</v>
      </c>
      <c r="M199" s="34" t="str">
        <f t="shared" si="47"/>
        <v/>
      </c>
      <c r="N199" s="34" t="str">
        <f t="shared" si="34"/>
        <v/>
      </c>
      <c r="O199" s="34" t="str">
        <f t="shared" si="35"/>
        <v/>
      </c>
      <c r="P199" s="34" t="str">
        <f t="shared" si="36"/>
        <v/>
      </c>
      <c r="Q199" s="34" t="str">
        <f t="shared" si="37"/>
        <v/>
      </c>
      <c r="R199" s="34" t="str">
        <f t="shared" si="38"/>
        <v/>
      </c>
      <c r="S199" s="34" t="str">
        <f t="shared" si="39"/>
        <v/>
      </c>
    </row>
    <row r="200" spans="1:19" x14ac:dyDescent="0.3">
      <c r="A200">
        <v>0</v>
      </c>
      <c r="B200">
        <v>0</v>
      </c>
      <c r="C200">
        <v>0</v>
      </c>
      <c r="D200">
        <v>0</v>
      </c>
      <c r="E200">
        <v>3</v>
      </c>
      <c r="F200">
        <v>5.9044825077526504</v>
      </c>
      <c r="G200">
        <v>64.599483209662097</v>
      </c>
      <c r="H200">
        <v>906.97674427181403</v>
      </c>
      <c r="I200">
        <v>-5.9044825077526504</v>
      </c>
      <c r="J200">
        <v>-64.599483209662097</v>
      </c>
      <c r="K200">
        <v>-2.6077032089233398E-8</v>
      </c>
      <c r="L200" s="34" t="str">
        <f t="shared" si="40"/>
        <v>s.csv</v>
      </c>
      <c r="M200" s="34" t="str">
        <f t="shared" si="47"/>
        <v/>
      </c>
      <c r="N200" s="34" t="str">
        <f t="shared" si="34"/>
        <v/>
      </c>
      <c r="O200" s="34" t="str">
        <f t="shared" si="35"/>
        <v/>
      </c>
      <c r="P200" s="34" t="str">
        <f t="shared" si="36"/>
        <v/>
      </c>
      <c r="Q200" s="34" t="str">
        <f t="shared" si="37"/>
        <v/>
      </c>
      <c r="R200" s="34" t="str">
        <f t="shared" si="38"/>
        <v/>
      </c>
      <c r="S200" s="34" t="str">
        <f t="shared" si="39"/>
        <v/>
      </c>
    </row>
    <row r="201" spans="1:19" x14ac:dyDescent="0.3">
      <c r="A201">
        <v>0</v>
      </c>
      <c r="B201">
        <v>0</v>
      </c>
      <c r="C201">
        <v>0</v>
      </c>
      <c r="D201">
        <v>0</v>
      </c>
      <c r="E201">
        <v>4</v>
      </c>
      <c r="F201">
        <v>0</v>
      </c>
      <c r="G201">
        <v>4.65661287307739E-10</v>
      </c>
      <c r="H201">
        <v>1.1175870895385699E-8</v>
      </c>
      <c r="I201">
        <v>0</v>
      </c>
      <c r="J201">
        <v>-4.65661287307739E-10</v>
      </c>
      <c r="K201">
        <v>-1.49011611938476E-8</v>
      </c>
      <c r="L201" s="34" t="str">
        <f t="shared" si="40"/>
        <v>s.csv</v>
      </c>
      <c r="M201" s="34" t="str">
        <f t="shared" si="47"/>
        <v/>
      </c>
      <c r="N201" s="34" t="str">
        <f t="shared" si="34"/>
        <v/>
      </c>
      <c r="O201" s="34" t="str">
        <f t="shared" si="35"/>
        <v/>
      </c>
      <c r="P201" s="34" t="str">
        <f t="shared" si="36"/>
        <v/>
      </c>
      <c r="Q201" s="34" t="str">
        <f t="shared" si="37"/>
        <v/>
      </c>
      <c r="R201" s="34" t="str">
        <f t="shared" si="38"/>
        <v/>
      </c>
      <c r="S201" s="34" t="str">
        <f t="shared" si="39"/>
        <v/>
      </c>
    </row>
    <row r="202" spans="1:19" x14ac:dyDescent="0.3">
      <c r="A202">
        <v>0</v>
      </c>
      <c r="B202">
        <v>0</v>
      </c>
      <c r="C202">
        <v>0</v>
      </c>
      <c r="D202">
        <v>0</v>
      </c>
      <c r="E202">
        <v>5</v>
      </c>
      <c r="F202">
        <v>-24.719762436626802</v>
      </c>
      <c r="G202">
        <v>-1.05778492421019E-6</v>
      </c>
      <c r="H202">
        <v>0</v>
      </c>
      <c r="I202">
        <v>24.719762436626802</v>
      </c>
      <c r="J202">
        <v>1.05778492421019E-6</v>
      </c>
      <c r="K202">
        <v>-1.10538524579965E-4</v>
      </c>
      <c r="L202" s="34" t="str">
        <f t="shared" si="40"/>
        <v>s.csv</v>
      </c>
      <c r="M202" s="34" t="str">
        <f t="shared" si="47"/>
        <v/>
      </c>
      <c r="N202" s="34" t="str">
        <f t="shared" si="34"/>
        <v/>
      </c>
      <c r="O202" s="34" t="str">
        <f t="shared" si="35"/>
        <v/>
      </c>
      <c r="P202" s="34" t="str">
        <f t="shared" si="36"/>
        <v/>
      </c>
      <c r="Q202" s="34" t="str">
        <f t="shared" si="37"/>
        <v/>
      </c>
      <c r="R202" s="34" t="str">
        <f t="shared" si="38"/>
        <v/>
      </c>
      <c r="S202" s="34" t="str">
        <f t="shared" si="39"/>
        <v/>
      </c>
    </row>
    <row r="203" spans="1:19" x14ac:dyDescent="0.3">
      <c r="A203">
        <v>0</v>
      </c>
      <c r="B203">
        <v>0</v>
      </c>
      <c r="C203">
        <v>0</v>
      </c>
      <c r="D203">
        <v>0</v>
      </c>
      <c r="E203">
        <v>6</v>
      </c>
      <c r="F203">
        <v>-40.314452071438502</v>
      </c>
      <c r="G203">
        <v>-3.0248383842961198E-3</v>
      </c>
      <c r="H203">
        <v>0</v>
      </c>
      <c r="I203">
        <v>40.314452071438502</v>
      </c>
      <c r="J203">
        <v>3.0248383842961198E-3</v>
      </c>
      <c r="K203">
        <v>-0.31954494053985599</v>
      </c>
      <c r="L203" s="34" t="str">
        <f t="shared" si="40"/>
        <v>s.csv</v>
      </c>
      <c r="M203" s="34" t="str">
        <f t="shared" si="47"/>
        <v/>
      </c>
      <c r="N203" s="34" t="str">
        <f t="shared" si="34"/>
        <v/>
      </c>
      <c r="O203" s="34" t="str">
        <f t="shared" si="35"/>
        <v/>
      </c>
      <c r="P203" s="34" t="str">
        <f t="shared" si="36"/>
        <v/>
      </c>
      <c r="Q203" s="34" t="str">
        <f t="shared" si="37"/>
        <v/>
      </c>
      <c r="R203" s="34" t="str">
        <f t="shared" si="38"/>
        <v/>
      </c>
      <c r="S203" s="34" t="str">
        <f t="shared" si="39"/>
        <v/>
      </c>
    </row>
    <row r="204" spans="1:19" x14ac:dyDescent="0.3">
      <c r="A204">
        <v>0</v>
      </c>
      <c r="B204">
        <v>0</v>
      </c>
      <c r="C204">
        <v>0</v>
      </c>
      <c r="D204">
        <v>0</v>
      </c>
      <c r="E204">
        <v>7</v>
      </c>
      <c r="F204">
        <v>65.303686899869703</v>
      </c>
      <c r="G204">
        <v>-4.8984153495332796E-3</v>
      </c>
      <c r="H204">
        <v>0</v>
      </c>
      <c r="I204">
        <v>-65.303686899869703</v>
      </c>
      <c r="J204">
        <v>4.8984153495332796E-3</v>
      </c>
      <c r="K204">
        <v>-0.517470238982639</v>
      </c>
      <c r="L204" s="34" t="str">
        <f t="shared" si="40"/>
        <v>s.csv</v>
      </c>
      <c r="M204" s="34" t="str">
        <f t="shared" si="47"/>
        <v/>
      </c>
      <c r="N204" s="34" t="str">
        <f t="shared" ref="N204:N267" si="48">IF(AND(OR($L204="l.csv",$L204="g.csv"),$E204&gt;4),F204,"")</f>
        <v/>
      </c>
      <c r="O204" s="34" t="str">
        <f t="shared" ref="O204:O267" si="49">IF(AND(OR($L204="l.csv",$L204="g.csv"),$E204&gt;4),G204,"")</f>
        <v/>
      </c>
      <c r="P204" s="34" t="str">
        <f t="shared" ref="P204:P267" si="50">IF(AND(OR($L204="l.csv",$L204="g.csv"),$E204&gt;4),H204,"")</f>
        <v/>
      </c>
      <c r="Q204" s="34" t="str">
        <f t="shared" ref="Q204:Q267" si="51">IF(AND(OR($L204="l.csv",$L204="g.csv"),$E204&gt;4),I204,"")</f>
        <v/>
      </c>
      <c r="R204" s="34" t="str">
        <f t="shared" ref="R204:R267" si="52">IF(AND(OR($L204="l.csv",$L204="g.csv"),$E204&gt;4),J204,"")</f>
        <v/>
      </c>
      <c r="S204" s="34" t="str">
        <f t="shared" ref="S204:S267" si="53">IF(AND(OR($L204="l.csv",$L204="g.csv"),$E204&gt;4),K204,"")</f>
        <v/>
      </c>
    </row>
    <row r="205" spans="1:19" x14ac:dyDescent="0.3">
      <c r="M205" s="34" t="str">
        <f t="shared" si="47"/>
        <v/>
      </c>
      <c r="N205" s="34" t="str">
        <f t="shared" si="48"/>
        <v/>
      </c>
      <c r="O205" s="34" t="str">
        <f t="shared" si="49"/>
        <v/>
      </c>
      <c r="P205" s="34" t="str">
        <f t="shared" si="50"/>
        <v/>
      </c>
      <c r="Q205" s="34" t="str">
        <f t="shared" si="51"/>
        <v/>
      </c>
      <c r="R205" s="34" t="str">
        <f t="shared" si="52"/>
        <v/>
      </c>
      <c r="S205" s="34" t="str">
        <f t="shared" si="53"/>
        <v/>
      </c>
    </row>
    <row r="206" spans="1:19" x14ac:dyDescent="0.3">
      <c r="M206" s="34" t="str">
        <f t="shared" si="47"/>
        <v/>
      </c>
      <c r="N206" s="34" t="str">
        <f t="shared" si="48"/>
        <v/>
      </c>
      <c r="O206" s="34" t="str">
        <f t="shared" si="49"/>
        <v/>
      </c>
      <c r="P206" s="34" t="str">
        <f t="shared" si="50"/>
        <v/>
      </c>
      <c r="Q206" s="34" t="str">
        <f t="shared" si="51"/>
        <v/>
      </c>
      <c r="R206" s="34" t="str">
        <f t="shared" si="52"/>
        <v/>
      </c>
      <c r="S206" s="34" t="str">
        <f t="shared" si="53"/>
        <v/>
      </c>
    </row>
    <row r="207" spans="1:19" x14ac:dyDescent="0.3">
      <c r="L207" s="34" t="str">
        <f t="shared" ref="L207" si="54">RIGHT(A207,5)</f>
        <v/>
      </c>
      <c r="M207" s="34" t="str">
        <f t="shared" si="47"/>
        <v/>
      </c>
      <c r="N207" s="34" t="str">
        <f t="shared" si="48"/>
        <v/>
      </c>
      <c r="O207" s="34" t="str">
        <f t="shared" si="49"/>
        <v/>
      </c>
      <c r="P207" s="34" t="str">
        <f t="shared" si="50"/>
        <v/>
      </c>
      <c r="Q207" s="34" t="str">
        <f t="shared" si="51"/>
        <v/>
      </c>
      <c r="R207" s="34" t="str">
        <f t="shared" si="52"/>
        <v/>
      </c>
      <c r="S207" s="34" t="str">
        <f t="shared" si="53"/>
        <v/>
      </c>
    </row>
    <row r="208" spans="1:19" x14ac:dyDescent="0.3">
      <c r="L208" s="34" t="str">
        <f t="shared" ref="L208" si="55">L207</f>
        <v/>
      </c>
      <c r="M208" s="34" t="str">
        <f t="shared" si="47"/>
        <v/>
      </c>
      <c r="N208" s="34" t="str">
        <f t="shared" si="48"/>
        <v/>
      </c>
      <c r="O208" s="34" t="str">
        <f t="shared" si="49"/>
        <v/>
      </c>
      <c r="P208" s="34" t="str">
        <f t="shared" si="50"/>
        <v/>
      </c>
      <c r="Q208" s="34" t="str">
        <f t="shared" si="51"/>
        <v/>
      </c>
      <c r="R208" s="34" t="str">
        <f t="shared" si="52"/>
        <v/>
      </c>
      <c r="S208" s="34" t="str">
        <f t="shared" si="53"/>
        <v/>
      </c>
    </row>
    <row r="209" spans="12:19" x14ac:dyDescent="0.3">
      <c r="L209" s="34" t="str">
        <f t="shared" si="40"/>
        <v/>
      </c>
      <c r="M209" s="34" t="str">
        <f t="shared" si="47"/>
        <v/>
      </c>
      <c r="N209" s="34" t="str">
        <f t="shared" si="48"/>
        <v/>
      </c>
      <c r="O209" s="34" t="str">
        <f t="shared" si="49"/>
        <v/>
      </c>
      <c r="P209" s="34" t="str">
        <f t="shared" si="50"/>
        <v/>
      </c>
      <c r="Q209" s="34" t="str">
        <f t="shared" si="51"/>
        <v/>
      </c>
      <c r="R209" s="34" t="str">
        <f t="shared" si="52"/>
        <v/>
      </c>
      <c r="S209" s="34" t="str">
        <f t="shared" si="53"/>
        <v/>
      </c>
    </row>
    <row r="210" spans="12:19" x14ac:dyDescent="0.3">
      <c r="L210" s="34" t="str">
        <f t="shared" si="40"/>
        <v/>
      </c>
      <c r="M210" s="34" t="str">
        <f t="shared" si="47"/>
        <v/>
      </c>
      <c r="N210" s="34" t="str">
        <f t="shared" si="48"/>
        <v/>
      </c>
      <c r="O210" s="34" t="str">
        <f t="shared" si="49"/>
        <v/>
      </c>
      <c r="P210" s="34" t="str">
        <f t="shared" si="50"/>
        <v/>
      </c>
      <c r="Q210" s="34" t="str">
        <f t="shared" si="51"/>
        <v/>
      </c>
      <c r="R210" s="34" t="str">
        <f t="shared" si="52"/>
        <v/>
      </c>
      <c r="S210" s="34" t="str">
        <f t="shared" si="53"/>
        <v/>
      </c>
    </row>
    <row r="211" spans="12:19" x14ac:dyDescent="0.3">
      <c r="L211" s="34" t="str">
        <f t="shared" si="40"/>
        <v/>
      </c>
      <c r="M211" s="34" t="str">
        <f t="shared" si="47"/>
        <v/>
      </c>
      <c r="N211" s="34" t="str">
        <f t="shared" si="48"/>
        <v/>
      </c>
      <c r="O211" s="34" t="str">
        <f t="shared" si="49"/>
        <v/>
      </c>
      <c r="P211" s="34" t="str">
        <f t="shared" si="50"/>
        <v/>
      </c>
      <c r="Q211" s="34" t="str">
        <f t="shared" si="51"/>
        <v/>
      </c>
      <c r="R211" s="34" t="str">
        <f t="shared" si="52"/>
        <v/>
      </c>
      <c r="S211" s="34" t="str">
        <f t="shared" si="53"/>
        <v/>
      </c>
    </row>
    <row r="212" spans="12:19" x14ac:dyDescent="0.3">
      <c r="L212" s="34" t="str">
        <f t="shared" si="40"/>
        <v/>
      </c>
      <c r="M212" s="34" t="str">
        <f t="shared" si="47"/>
        <v/>
      </c>
      <c r="N212" s="34" t="str">
        <f t="shared" si="48"/>
        <v/>
      </c>
      <c r="O212" s="34" t="str">
        <f t="shared" si="49"/>
        <v/>
      </c>
      <c r="P212" s="34" t="str">
        <f t="shared" si="50"/>
        <v/>
      </c>
      <c r="Q212" s="34" t="str">
        <f t="shared" si="51"/>
        <v/>
      </c>
      <c r="R212" s="34" t="str">
        <f t="shared" si="52"/>
        <v/>
      </c>
      <c r="S212" s="34" t="str">
        <f t="shared" si="53"/>
        <v/>
      </c>
    </row>
    <row r="213" spans="12:19" x14ac:dyDescent="0.3">
      <c r="L213" s="34" t="str">
        <f t="shared" ref="L213:L272" si="56">L212</f>
        <v/>
      </c>
      <c r="M213" s="34" t="str">
        <f t="shared" si="47"/>
        <v/>
      </c>
      <c r="N213" s="34" t="str">
        <f t="shared" si="48"/>
        <v/>
      </c>
      <c r="O213" s="34" t="str">
        <f t="shared" si="49"/>
        <v/>
      </c>
      <c r="P213" s="34" t="str">
        <f t="shared" si="50"/>
        <v/>
      </c>
      <c r="Q213" s="34" t="str">
        <f t="shared" si="51"/>
        <v/>
      </c>
      <c r="R213" s="34" t="str">
        <f t="shared" si="52"/>
        <v/>
      </c>
      <c r="S213" s="34" t="str">
        <f t="shared" si="53"/>
        <v/>
      </c>
    </row>
    <row r="214" spans="12:19" x14ac:dyDescent="0.3">
      <c r="L214" s="34" t="str">
        <f t="shared" si="56"/>
        <v/>
      </c>
      <c r="M214" s="34" t="str">
        <f t="shared" si="47"/>
        <v/>
      </c>
      <c r="N214" s="34" t="str">
        <f t="shared" si="48"/>
        <v/>
      </c>
      <c r="O214" s="34" t="str">
        <f t="shared" si="49"/>
        <v/>
      </c>
      <c r="P214" s="34" t="str">
        <f t="shared" si="50"/>
        <v/>
      </c>
      <c r="Q214" s="34" t="str">
        <f t="shared" si="51"/>
        <v/>
      </c>
      <c r="R214" s="34" t="str">
        <f t="shared" si="52"/>
        <v/>
      </c>
      <c r="S214" s="34" t="str">
        <f t="shared" si="53"/>
        <v/>
      </c>
    </row>
    <row r="215" spans="12:19" x14ac:dyDescent="0.3">
      <c r="L215" s="34" t="str">
        <f t="shared" si="56"/>
        <v/>
      </c>
      <c r="M215" s="34" t="str">
        <f t="shared" si="47"/>
        <v/>
      </c>
      <c r="N215" s="34" t="str">
        <f t="shared" si="48"/>
        <v/>
      </c>
      <c r="O215" s="34" t="str">
        <f t="shared" si="49"/>
        <v/>
      </c>
      <c r="P215" s="34" t="str">
        <f t="shared" si="50"/>
        <v/>
      </c>
      <c r="Q215" s="34" t="str">
        <f t="shared" si="51"/>
        <v/>
      </c>
      <c r="R215" s="34" t="str">
        <f t="shared" si="52"/>
        <v/>
      </c>
      <c r="S215" s="34" t="str">
        <f t="shared" si="53"/>
        <v/>
      </c>
    </row>
    <row r="216" spans="12:19" x14ac:dyDescent="0.3">
      <c r="L216" s="34" t="str">
        <f t="shared" si="56"/>
        <v/>
      </c>
      <c r="M216" s="34" t="str">
        <f t="shared" si="47"/>
        <v/>
      </c>
      <c r="N216" s="34" t="str">
        <f t="shared" si="48"/>
        <v/>
      </c>
      <c r="O216" s="34" t="str">
        <f t="shared" si="49"/>
        <v/>
      </c>
      <c r="P216" s="34" t="str">
        <f t="shared" si="50"/>
        <v/>
      </c>
      <c r="Q216" s="34" t="str">
        <f t="shared" si="51"/>
        <v/>
      </c>
      <c r="R216" s="34" t="str">
        <f t="shared" si="52"/>
        <v/>
      </c>
      <c r="S216" s="34" t="str">
        <f t="shared" si="53"/>
        <v/>
      </c>
    </row>
    <row r="217" spans="12:19" x14ac:dyDescent="0.3">
      <c r="L217" s="34" t="str">
        <f t="shared" si="56"/>
        <v/>
      </c>
      <c r="M217" s="34" t="str">
        <f t="shared" si="47"/>
        <v/>
      </c>
      <c r="N217" s="34" t="str">
        <f t="shared" si="48"/>
        <v/>
      </c>
      <c r="O217" s="34" t="str">
        <f t="shared" si="49"/>
        <v/>
      </c>
      <c r="P217" s="34" t="str">
        <f t="shared" si="50"/>
        <v/>
      </c>
      <c r="Q217" s="34" t="str">
        <f t="shared" si="51"/>
        <v/>
      </c>
      <c r="R217" s="34" t="str">
        <f t="shared" si="52"/>
        <v/>
      </c>
      <c r="S217" s="34" t="str">
        <f t="shared" si="53"/>
        <v/>
      </c>
    </row>
    <row r="218" spans="12:19" x14ac:dyDescent="0.3">
      <c r="L218" s="34" t="str">
        <f t="shared" si="56"/>
        <v/>
      </c>
      <c r="M218" s="34" t="str">
        <f t="shared" si="47"/>
        <v/>
      </c>
      <c r="N218" s="34" t="str">
        <f t="shared" si="48"/>
        <v/>
      </c>
      <c r="O218" s="34" t="str">
        <f t="shared" si="49"/>
        <v/>
      </c>
      <c r="P218" s="34" t="str">
        <f t="shared" si="50"/>
        <v/>
      </c>
      <c r="Q218" s="34" t="str">
        <f t="shared" si="51"/>
        <v/>
      </c>
      <c r="R218" s="34" t="str">
        <f t="shared" si="52"/>
        <v/>
      </c>
      <c r="S218" s="34" t="str">
        <f t="shared" si="53"/>
        <v/>
      </c>
    </row>
    <row r="219" spans="12:19" x14ac:dyDescent="0.3">
      <c r="L219" s="34" t="str">
        <f t="shared" si="56"/>
        <v/>
      </c>
      <c r="M219" s="34" t="str">
        <f t="shared" si="47"/>
        <v/>
      </c>
      <c r="N219" s="34" t="str">
        <f t="shared" si="48"/>
        <v/>
      </c>
      <c r="O219" s="34" t="str">
        <f t="shared" si="49"/>
        <v/>
      </c>
      <c r="P219" s="34" t="str">
        <f t="shared" si="50"/>
        <v/>
      </c>
      <c r="Q219" s="34" t="str">
        <f t="shared" si="51"/>
        <v/>
      </c>
      <c r="R219" s="34" t="str">
        <f t="shared" si="52"/>
        <v/>
      </c>
      <c r="S219" s="34" t="str">
        <f t="shared" si="53"/>
        <v/>
      </c>
    </row>
    <row r="220" spans="12:19" x14ac:dyDescent="0.3">
      <c r="L220" s="34" t="str">
        <f t="shared" si="56"/>
        <v/>
      </c>
      <c r="M220" s="34" t="str">
        <f t="shared" si="47"/>
        <v/>
      </c>
      <c r="N220" s="34" t="str">
        <f t="shared" si="48"/>
        <v/>
      </c>
      <c r="O220" s="34" t="str">
        <f t="shared" si="49"/>
        <v/>
      </c>
      <c r="P220" s="34" t="str">
        <f t="shared" si="50"/>
        <v/>
      </c>
      <c r="Q220" s="34" t="str">
        <f t="shared" si="51"/>
        <v/>
      </c>
      <c r="R220" s="34" t="str">
        <f t="shared" si="52"/>
        <v/>
      </c>
      <c r="S220" s="34" t="str">
        <f t="shared" si="53"/>
        <v/>
      </c>
    </row>
    <row r="221" spans="12:19" x14ac:dyDescent="0.3">
      <c r="L221" s="34" t="str">
        <f t="shared" si="56"/>
        <v/>
      </c>
      <c r="M221" s="34" t="str">
        <f t="shared" si="47"/>
        <v/>
      </c>
      <c r="N221" s="34" t="str">
        <f t="shared" si="48"/>
        <v/>
      </c>
      <c r="O221" s="34" t="str">
        <f t="shared" si="49"/>
        <v/>
      </c>
      <c r="P221" s="34" t="str">
        <f t="shared" si="50"/>
        <v/>
      </c>
      <c r="Q221" s="34" t="str">
        <f t="shared" si="51"/>
        <v/>
      </c>
      <c r="R221" s="34" t="str">
        <f t="shared" si="52"/>
        <v/>
      </c>
      <c r="S221" s="34" t="str">
        <f t="shared" si="53"/>
        <v/>
      </c>
    </row>
    <row r="222" spans="12:19" x14ac:dyDescent="0.3">
      <c r="M222" s="34" t="str">
        <f t="shared" si="47"/>
        <v/>
      </c>
      <c r="N222" s="34" t="str">
        <f t="shared" si="48"/>
        <v/>
      </c>
      <c r="O222" s="34" t="str">
        <f t="shared" si="49"/>
        <v/>
      </c>
      <c r="P222" s="34" t="str">
        <f t="shared" si="50"/>
        <v/>
      </c>
      <c r="Q222" s="34" t="str">
        <f t="shared" si="51"/>
        <v/>
      </c>
      <c r="R222" s="34" t="str">
        <f t="shared" si="52"/>
        <v/>
      </c>
      <c r="S222" s="34" t="str">
        <f t="shared" si="53"/>
        <v/>
      </c>
    </row>
    <row r="223" spans="12:19" x14ac:dyDescent="0.3">
      <c r="M223" s="34" t="str">
        <f t="shared" si="47"/>
        <v/>
      </c>
      <c r="N223" s="34" t="str">
        <f t="shared" si="48"/>
        <v/>
      </c>
      <c r="O223" s="34" t="str">
        <f t="shared" si="49"/>
        <v/>
      </c>
      <c r="P223" s="34" t="str">
        <f t="shared" si="50"/>
        <v/>
      </c>
      <c r="Q223" s="34" t="str">
        <f t="shared" si="51"/>
        <v/>
      </c>
      <c r="R223" s="34" t="str">
        <f t="shared" si="52"/>
        <v/>
      </c>
      <c r="S223" s="34" t="str">
        <f t="shared" si="53"/>
        <v/>
      </c>
    </row>
    <row r="224" spans="12:19" x14ac:dyDescent="0.3">
      <c r="L224" s="34" t="str">
        <f t="shared" ref="L224" si="57">RIGHT(A224,5)</f>
        <v/>
      </c>
      <c r="M224" s="34" t="str">
        <f t="shared" si="47"/>
        <v/>
      </c>
      <c r="N224" s="34" t="str">
        <f t="shared" si="48"/>
        <v/>
      </c>
      <c r="O224" s="34" t="str">
        <f t="shared" si="49"/>
        <v/>
      </c>
      <c r="P224" s="34" t="str">
        <f t="shared" si="50"/>
        <v/>
      </c>
      <c r="Q224" s="34" t="str">
        <f t="shared" si="51"/>
        <v/>
      </c>
      <c r="R224" s="34" t="str">
        <f t="shared" si="52"/>
        <v/>
      </c>
      <c r="S224" s="34" t="str">
        <f t="shared" si="53"/>
        <v/>
      </c>
    </row>
    <row r="225" spans="12:19" x14ac:dyDescent="0.3">
      <c r="L225" s="34" t="str">
        <f t="shared" ref="L225" si="58">L224</f>
        <v/>
      </c>
      <c r="M225" s="34" t="str">
        <f t="shared" si="47"/>
        <v/>
      </c>
      <c r="N225" s="34" t="str">
        <f t="shared" si="48"/>
        <v/>
      </c>
      <c r="O225" s="34" t="str">
        <f t="shared" si="49"/>
        <v/>
      </c>
      <c r="P225" s="34" t="str">
        <f t="shared" si="50"/>
        <v/>
      </c>
      <c r="Q225" s="34" t="str">
        <f t="shared" si="51"/>
        <v/>
      </c>
      <c r="R225" s="34" t="str">
        <f t="shared" si="52"/>
        <v/>
      </c>
      <c r="S225" s="34" t="str">
        <f t="shared" si="53"/>
        <v/>
      </c>
    </row>
    <row r="226" spans="12:19" x14ac:dyDescent="0.3">
      <c r="L226" s="34" t="str">
        <f t="shared" si="56"/>
        <v/>
      </c>
      <c r="M226" s="34" t="str">
        <f t="shared" si="47"/>
        <v/>
      </c>
      <c r="N226" s="34" t="str">
        <f t="shared" si="48"/>
        <v/>
      </c>
      <c r="O226" s="34" t="str">
        <f t="shared" si="49"/>
        <v/>
      </c>
      <c r="P226" s="34" t="str">
        <f t="shared" si="50"/>
        <v/>
      </c>
      <c r="Q226" s="34" t="str">
        <f t="shared" si="51"/>
        <v/>
      </c>
      <c r="R226" s="34" t="str">
        <f t="shared" si="52"/>
        <v/>
      </c>
      <c r="S226" s="34" t="str">
        <f t="shared" si="53"/>
        <v/>
      </c>
    </row>
    <row r="227" spans="12:19" x14ac:dyDescent="0.3">
      <c r="L227" s="34" t="str">
        <f t="shared" si="56"/>
        <v/>
      </c>
      <c r="M227" s="34" t="str">
        <f t="shared" si="47"/>
        <v/>
      </c>
      <c r="N227" s="34" t="str">
        <f t="shared" si="48"/>
        <v/>
      </c>
      <c r="O227" s="34" t="str">
        <f t="shared" si="49"/>
        <v/>
      </c>
      <c r="P227" s="34" t="str">
        <f t="shared" si="50"/>
        <v/>
      </c>
      <c r="Q227" s="34" t="str">
        <f t="shared" si="51"/>
        <v/>
      </c>
      <c r="R227" s="34" t="str">
        <f t="shared" si="52"/>
        <v/>
      </c>
      <c r="S227" s="34" t="str">
        <f t="shared" si="53"/>
        <v/>
      </c>
    </row>
    <row r="228" spans="12:19" x14ac:dyDescent="0.3">
      <c r="L228" s="34" t="str">
        <f t="shared" si="56"/>
        <v/>
      </c>
      <c r="M228" s="34" t="str">
        <f t="shared" si="47"/>
        <v/>
      </c>
      <c r="N228" s="34" t="str">
        <f t="shared" si="48"/>
        <v/>
      </c>
      <c r="O228" s="34" t="str">
        <f t="shared" si="49"/>
        <v/>
      </c>
      <c r="P228" s="34" t="str">
        <f t="shared" si="50"/>
        <v/>
      </c>
      <c r="Q228" s="34" t="str">
        <f t="shared" si="51"/>
        <v/>
      </c>
      <c r="R228" s="34" t="str">
        <f t="shared" si="52"/>
        <v/>
      </c>
      <c r="S228" s="34" t="str">
        <f t="shared" si="53"/>
        <v/>
      </c>
    </row>
    <row r="229" spans="12:19" x14ac:dyDescent="0.3">
      <c r="L229" s="34" t="str">
        <f t="shared" si="56"/>
        <v/>
      </c>
      <c r="M229" s="34" t="str">
        <f t="shared" si="47"/>
        <v/>
      </c>
      <c r="N229" s="34" t="str">
        <f t="shared" si="48"/>
        <v/>
      </c>
      <c r="O229" s="34" t="str">
        <f t="shared" si="49"/>
        <v/>
      </c>
      <c r="P229" s="34" t="str">
        <f t="shared" si="50"/>
        <v/>
      </c>
      <c r="Q229" s="34" t="str">
        <f t="shared" si="51"/>
        <v/>
      </c>
      <c r="R229" s="34" t="str">
        <f t="shared" si="52"/>
        <v/>
      </c>
      <c r="S229" s="34" t="str">
        <f t="shared" si="53"/>
        <v/>
      </c>
    </row>
    <row r="230" spans="12:19" x14ac:dyDescent="0.3">
      <c r="L230" s="34" t="str">
        <f t="shared" si="56"/>
        <v/>
      </c>
      <c r="M230" s="34" t="str">
        <f t="shared" si="47"/>
        <v/>
      </c>
      <c r="N230" s="34" t="str">
        <f t="shared" si="48"/>
        <v/>
      </c>
      <c r="O230" s="34" t="str">
        <f t="shared" si="49"/>
        <v/>
      </c>
      <c r="P230" s="34" t="str">
        <f t="shared" si="50"/>
        <v/>
      </c>
      <c r="Q230" s="34" t="str">
        <f t="shared" si="51"/>
        <v/>
      </c>
      <c r="R230" s="34" t="str">
        <f t="shared" si="52"/>
        <v/>
      </c>
      <c r="S230" s="34" t="str">
        <f t="shared" si="53"/>
        <v/>
      </c>
    </row>
    <row r="231" spans="12:19" x14ac:dyDescent="0.3">
      <c r="L231" s="34" t="str">
        <f t="shared" si="56"/>
        <v/>
      </c>
      <c r="M231" s="34" t="str">
        <f t="shared" si="47"/>
        <v/>
      </c>
      <c r="N231" s="34" t="str">
        <f t="shared" si="48"/>
        <v/>
      </c>
      <c r="O231" s="34" t="str">
        <f t="shared" si="49"/>
        <v/>
      </c>
      <c r="P231" s="34" t="str">
        <f t="shared" si="50"/>
        <v/>
      </c>
      <c r="Q231" s="34" t="str">
        <f t="shared" si="51"/>
        <v/>
      </c>
      <c r="R231" s="34" t="str">
        <f t="shared" si="52"/>
        <v/>
      </c>
      <c r="S231" s="34" t="str">
        <f t="shared" si="53"/>
        <v/>
      </c>
    </row>
    <row r="232" spans="12:19" x14ac:dyDescent="0.3">
      <c r="L232" s="34" t="str">
        <f t="shared" si="56"/>
        <v/>
      </c>
      <c r="M232" s="34" t="str">
        <f t="shared" si="47"/>
        <v/>
      </c>
      <c r="N232" s="34" t="str">
        <f t="shared" si="48"/>
        <v/>
      </c>
      <c r="O232" s="34" t="str">
        <f t="shared" si="49"/>
        <v/>
      </c>
      <c r="P232" s="34" t="str">
        <f t="shared" si="50"/>
        <v/>
      </c>
      <c r="Q232" s="34" t="str">
        <f t="shared" si="51"/>
        <v/>
      </c>
      <c r="R232" s="34" t="str">
        <f t="shared" si="52"/>
        <v/>
      </c>
      <c r="S232" s="34" t="str">
        <f t="shared" si="53"/>
        <v/>
      </c>
    </row>
    <row r="233" spans="12:19" x14ac:dyDescent="0.3">
      <c r="L233" s="34" t="str">
        <f t="shared" si="56"/>
        <v/>
      </c>
      <c r="M233" s="34" t="str">
        <f t="shared" si="47"/>
        <v/>
      </c>
      <c r="N233" s="34" t="str">
        <f t="shared" si="48"/>
        <v/>
      </c>
      <c r="O233" s="34" t="str">
        <f t="shared" si="49"/>
        <v/>
      </c>
      <c r="P233" s="34" t="str">
        <f t="shared" si="50"/>
        <v/>
      </c>
      <c r="Q233" s="34" t="str">
        <f t="shared" si="51"/>
        <v/>
      </c>
      <c r="R233" s="34" t="str">
        <f t="shared" si="52"/>
        <v/>
      </c>
      <c r="S233" s="34" t="str">
        <f t="shared" si="53"/>
        <v/>
      </c>
    </row>
    <row r="234" spans="12:19" x14ac:dyDescent="0.3">
      <c r="L234" s="34" t="str">
        <f t="shared" si="56"/>
        <v/>
      </c>
      <c r="M234" s="34" t="str">
        <f t="shared" si="47"/>
        <v/>
      </c>
      <c r="N234" s="34" t="str">
        <f t="shared" si="48"/>
        <v/>
      </c>
      <c r="O234" s="34" t="str">
        <f t="shared" si="49"/>
        <v/>
      </c>
      <c r="P234" s="34" t="str">
        <f t="shared" si="50"/>
        <v/>
      </c>
      <c r="Q234" s="34" t="str">
        <f t="shared" si="51"/>
        <v/>
      </c>
      <c r="R234" s="34" t="str">
        <f t="shared" si="52"/>
        <v/>
      </c>
      <c r="S234" s="34" t="str">
        <f t="shared" si="53"/>
        <v/>
      </c>
    </row>
    <row r="235" spans="12:19" x14ac:dyDescent="0.3">
      <c r="L235" s="34" t="str">
        <f t="shared" si="56"/>
        <v/>
      </c>
      <c r="M235" s="34" t="str">
        <f t="shared" si="47"/>
        <v/>
      </c>
      <c r="N235" s="34" t="str">
        <f t="shared" si="48"/>
        <v/>
      </c>
      <c r="O235" s="34" t="str">
        <f t="shared" si="49"/>
        <v/>
      </c>
      <c r="P235" s="34" t="str">
        <f t="shared" si="50"/>
        <v/>
      </c>
      <c r="Q235" s="34" t="str">
        <f t="shared" si="51"/>
        <v/>
      </c>
      <c r="R235" s="34" t="str">
        <f t="shared" si="52"/>
        <v/>
      </c>
      <c r="S235" s="34" t="str">
        <f t="shared" si="53"/>
        <v/>
      </c>
    </row>
    <row r="236" spans="12:19" x14ac:dyDescent="0.3">
      <c r="L236" s="34" t="str">
        <f t="shared" si="56"/>
        <v/>
      </c>
      <c r="M236" s="34" t="str">
        <f t="shared" si="47"/>
        <v/>
      </c>
      <c r="N236" s="34" t="str">
        <f t="shared" si="48"/>
        <v/>
      </c>
      <c r="O236" s="34" t="str">
        <f t="shared" si="49"/>
        <v/>
      </c>
      <c r="P236" s="34" t="str">
        <f t="shared" si="50"/>
        <v/>
      </c>
      <c r="Q236" s="34" t="str">
        <f t="shared" si="51"/>
        <v/>
      </c>
      <c r="R236" s="34" t="str">
        <f t="shared" si="52"/>
        <v/>
      </c>
      <c r="S236" s="34" t="str">
        <f t="shared" si="53"/>
        <v/>
      </c>
    </row>
    <row r="237" spans="12:19" x14ac:dyDescent="0.3">
      <c r="L237" s="34" t="str">
        <f t="shared" si="56"/>
        <v/>
      </c>
      <c r="M237" s="34" t="str">
        <f t="shared" si="47"/>
        <v/>
      </c>
      <c r="N237" s="34" t="str">
        <f t="shared" si="48"/>
        <v/>
      </c>
      <c r="O237" s="34" t="str">
        <f t="shared" si="49"/>
        <v/>
      </c>
      <c r="P237" s="34" t="str">
        <f t="shared" si="50"/>
        <v/>
      </c>
      <c r="Q237" s="34" t="str">
        <f t="shared" si="51"/>
        <v/>
      </c>
      <c r="R237" s="34" t="str">
        <f t="shared" si="52"/>
        <v/>
      </c>
      <c r="S237" s="34" t="str">
        <f t="shared" si="53"/>
        <v/>
      </c>
    </row>
    <row r="238" spans="12:19" x14ac:dyDescent="0.3">
      <c r="L238" s="34" t="str">
        <f t="shared" si="56"/>
        <v/>
      </c>
      <c r="M238" s="34" t="str">
        <f t="shared" si="47"/>
        <v/>
      </c>
      <c r="N238" s="34" t="str">
        <f t="shared" si="48"/>
        <v/>
      </c>
      <c r="O238" s="34" t="str">
        <f t="shared" si="49"/>
        <v/>
      </c>
      <c r="P238" s="34" t="str">
        <f t="shared" si="50"/>
        <v/>
      </c>
      <c r="Q238" s="34" t="str">
        <f t="shared" si="51"/>
        <v/>
      </c>
      <c r="R238" s="34" t="str">
        <f t="shared" si="52"/>
        <v/>
      </c>
      <c r="S238" s="34" t="str">
        <f t="shared" si="53"/>
        <v/>
      </c>
    </row>
    <row r="239" spans="12:19" x14ac:dyDescent="0.3">
      <c r="M239" s="34" t="str">
        <f t="shared" si="47"/>
        <v/>
      </c>
      <c r="N239" s="34" t="str">
        <f t="shared" si="48"/>
        <v/>
      </c>
      <c r="O239" s="34" t="str">
        <f t="shared" si="49"/>
        <v/>
      </c>
      <c r="P239" s="34" t="str">
        <f t="shared" si="50"/>
        <v/>
      </c>
      <c r="Q239" s="34" t="str">
        <f t="shared" si="51"/>
        <v/>
      </c>
      <c r="R239" s="34" t="str">
        <f t="shared" si="52"/>
        <v/>
      </c>
      <c r="S239" s="34" t="str">
        <f t="shared" si="53"/>
        <v/>
      </c>
    </row>
    <row r="240" spans="12:19" x14ac:dyDescent="0.3">
      <c r="M240" s="34" t="str">
        <f t="shared" si="47"/>
        <v/>
      </c>
      <c r="N240" s="34" t="str">
        <f t="shared" si="48"/>
        <v/>
      </c>
      <c r="O240" s="34" t="str">
        <f t="shared" si="49"/>
        <v/>
      </c>
      <c r="P240" s="34" t="str">
        <f t="shared" si="50"/>
        <v/>
      </c>
      <c r="Q240" s="34" t="str">
        <f t="shared" si="51"/>
        <v/>
      </c>
      <c r="R240" s="34" t="str">
        <f t="shared" si="52"/>
        <v/>
      </c>
      <c r="S240" s="34" t="str">
        <f t="shared" si="53"/>
        <v/>
      </c>
    </row>
    <row r="241" spans="12:19" x14ac:dyDescent="0.3">
      <c r="L241" s="34" t="str">
        <f t="shared" ref="L241" si="59">RIGHT(A241,5)</f>
        <v/>
      </c>
      <c r="M241" s="34" t="str">
        <f t="shared" si="47"/>
        <v/>
      </c>
      <c r="N241" s="34" t="str">
        <f t="shared" si="48"/>
        <v/>
      </c>
      <c r="O241" s="34" t="str">
        <f t="shared" si="49"/>
        <v/>
      </c>
      <c r="P241" s="34" t="str">
        <f t="shared" si="50"/>
        <v/>
      </c>
      <c r="Q241" s="34" t="str">
        <f t="shared" si="51"/>
        <v/>
      </c>
      <c r="R241" s="34" t="str">
        <f t="shared" si="52"/>
        <v/>
      </c>
      <c r="S241" s="34" t="str">
        <f t="shared" si="53"/>
        <v/>
      </c>
    </row>
    <row r="242" spans="12:19" x14ac:dyDescent="0.3">
      <c r="L242" s="34" t="str">
        <f t="shared" ref="L242" si="60">L241</f>
        <v/>
      </c>
      <c r="M242" s="34" t="str">
        <f t="shared" si="47"/>
        <v/>
      </c>
      <c r="N242" s="34" t="str">
        <f t="shared" si="48"/>
        <v/>
      </c>
      <c r="O242" s="34" t="str">
        <f t="shared" si="49"/>
        <v/>
      </c>
      <c r="P242" s="34" t="str">
        <f t="shared" si="50"/>
        <v/>
      </c>
      <c r="Q242" s="34" t="str">
        <f t="shared" si="51"/>
        <v/>
      </c>
      <c r="R242" s="34" t="str">
        <f t="shared" si="52"/>
        <v/>
      </c>
      <c r="S242" s="34" t="str">
        <f t="shared" si="53"/>
        <v/>
      </c>
    </row>
    <row r="243" spans="12:19" x14ac:dyDescent="0.3">
      <c r="L243" s="34" t="str">
        <f t="shared" si="56"/>
        <v/>
      </c>
      <c r="M243" s="34" t="str">
        <f t="shared" si="47"/>
        <v/>
      </c>
      <c r="N243" s="34" t="str">
        <f t="shared" si="48"/>
        <v/>
      </c>
      <c r="O243" s="34" t="str">
        <f t="shared" si="49"/>
        <v/>
      </c>
      <c r="P243" s="34" t="str">
        <f t="shared" si="50"/>
        <v/>
      </c>
      <c r="Q243" s="34" t="str">
        <f t="shared" si="51"/>
        <v/>
      </c>
      <c r="R243" s="34" t="str">
        <f t="shared" si="52"/>
        <v/>
      </c>
      <c r="S243" s="34" t="str">
        <f t="shared" si="53"/>
        <v/>
      </c>
    </row>
    <row r="244" spans="12:19" x14ac:dyDescent="0.3">
      <c r="L244" s="34" t="str">
        <f t="shared" si="56"/>
        <v/>
      </c>
      <c r="M244" s="34" t="str">
        <f t="shared" si="47"/>
        <v/>
      </c>
      <c r="N244" s="34" t="str">
        <f t="shared" si="48"/>
        <v/>
      </c>
      <c r="O244" s="34" t="str">
        <f t="shared" si="49"/>
        <v/>
      </c>
      <c r="P244" s="34" t="str">
        <f t="shared" si="50"/>
        <v/>
      </c>
      <c r="Q244" s="34" t="str">
        <f t="shared" si="51"/>
        <v/>
      </c>
      <c r="R244" s="34" t="str">
        <f t="shared" si="52"/>
        <v/>
      </c>
      <c r="S244" s="34" t="str">
        <f t="shared" si="53"/>
        <v/>
      </c>
    </row>
    <row r="245" spans="12:19" x14ac:dyDescent="0.3">
      <c r="L245" s="34" t="str">
        <f t="shared" si="56"/>
        <v/>
      </c>
      <c r="M245" s="34" t="str">
        <f t="shared" si="47"/>
        <v/>
      </c>
      <c r="N245" s="34" t="str">
        <f t="shared" si="48"/>
        <v/>
      </c>
      <c r="O245" s="34" t="str">
        <f t="shared" si="49"/>
        <v/>
      </c>
      <c r="P245" s="34" t="str">
        <f t="shared" si="50"/>
        <v/>
      </c>
      <c r="Q245" s="34" t="str">
        <f t="shared" si="51"/>
        <v/>
      </c>
      <c r="R245" s="34" t="str">
        <f t="shared" si="52"/>
        <v/>
      </c>
      <c r="S245" s="34" t="str">
        <f t="shared" si="53"/>
        <v/>
      </c>
    </row>
    <row r="246" spans="12:19" x14ac:dyDescent="0.3">
      <c r="L246" s="34" t="str">
        <f t="shared" si="56"/>
        <v/>
      </c>
      <c r="M246" s="34" t="str">
        <f t="shared" si="47"/>
        <v/>
      </c>
      <c r="N246" s="34" t="str">
        <f t="shared" si="48"/>
        <v/>
      </c>
      <c r="O246" s="34" t="str">
        <f t="shared" si="49"/>
        <v/>
      </c>
      <c r="P246" s="34" t="str">
        <f t="shared" si="50"/>
        <v/>
      </c>
      <c r="Q246" s="34" t="str">
        <f t="shared" si="51"/>
        <v/>
      </c>
      <c r="R246" s="34" t="str">
        <f t="shared" si="52"/>
        <v/>
      </c>
      <c r="S246" s="34" t="str">
        <f t="shared" si="53"/>
        <v/>
      </c>
    </row>
    <row r="247" spans="12:19" x14ac:dyDescent="0.3">
      <c r="L247" s="34" t="str">
        <f t="shared" si="56"/>
        <v/>
      </c>
      <c r="M247" s="34" t="str">
        <f t="shared" si="47"/>
        <v/>
      </c>
      <c r="N247" s="34" t="str">
        <f t="shared" si="48"/>
        <v/>
      </c>
      <c r="O247" s="34" t="str">
        <f t="shared" si="49"/>
        <v/>
      </c>
      <c r="P247" s="34" t="str">
        <f t="shared" si="50"/>
        <v/>
      </c>
      <c r="Q247" s="34" t="str">
        <f t="shared" si="51"/>
        <v/>
      </c>
      <c r="R247" s="34" t="str">
        <f t="shared" si="52"/>
        <v/>
      </c>
      <c r="S247" s="34" t="str">
        <f t="shared" si="53"/>
        <v/>
      </c>
    </row>
    <row r="248" spans="12:19" x14ac:dyDescent="0.3">
      <c r="L248" s="34" t="str">
        <f t="shared" si="56"/>
        <v/>
      </c>
      <c r="M248" s="34" t="str">
        <f t="shared" si="47"/>
        <v/>
      </c>
      <c r="N248" s="34" t="str">
        <f t="shared" si="48"/>
        <v/>
      </c>
      <c r="O248" s="34" t="str">
        <f t="shared" si="49"/>
        <v/>
      </c>
      <c r="P248" s="34" t="str">
        <f t="shared" si="50"/>
        <v/>
      </c>
      <c r="Q248" s="34" t="str">
        <f t="shared" si="51"/>
        <v/>
      </c>
      <c r="R248" s="34" t="str">
        <f t="shared" si="52"/>
        <v/>
      </c>
      <c r="S248" s="34" t="str">
        <f t="shared" si="53"/>
        <v/>
      </c>
    </row>
    <row r="249" spans="12:19" x14ac:dyDescent="0.3">
      <c r="L249" s="34" t="str">
        <f t="shared" si="56"/>
        <v/>
      </c>
      <c r="M249" s="34" t="str">
        <f t="shared" si="47"/>
        <v/>
      </c>
      <c r="N249" s="34" t="str">
        <f t="shared" si="48"/>
        <v/>
      </c>
      <c r="O249" s="34" t="str">
        <f t="shared" si="49"/>
        <v/>
      </c>
      <c r="P249" s="34" t="str">
        <f t="shared" si="50"/>
        <v/>
      </c>
      <c r="Q249" s="34" t="str">
        <f t="shared" si="51"/>
        <v/>
      </c>
      <c r="R249" s="34" t="str">
        <f t="shared" si="52"/>
        <v/>
      </c>
      <c r="S249" s="34" t="str">
        <f t="shared" si="53"/>
        <v/>
      </c>
    </row>
    <row r="250" spans="12:19" x14ac:dyDescent="0.3">
      <c r="L250" s="34" t="str">
        <f t="shared" si="56"/>
        <v/>
      </c>
      <c r="M250" s="34" t="str">
        <f t="shared" si="47"/>
        <v/>
      </c>
      <c r="N250" s="34" t="str">
        <f t="shared" si="48"/>
        <v/>
      </c>
      <c r="O250" s="34" t="str">
        <f t="shared" si="49"/>
        <v/>
      </c>
      <c r="P250" s="34" t="str">
        <f t="shared" si="50"/>
        <v/>
      </c>
      <c r="Q250" s="34" t="str">
        <f t="shared" si="51"/>
        <v/>
      </c>
      <c r="R250" s="34" t="str">
        <f t="shared" si="52"/>
        <v/>
      </c>
      <c r="S250" s="34" t="str">
        <f t="shared" si="53"/>
        <v/>
      </c>
    </row>
    <row r="251" spans="12:19" x14ac:dyDescent="0.3">
      <c r="L251" s="34" t="str">
        <f t="shared" si="56"/>
        <v/>
      </c>
      <c r="M251" s="34" t="str">
        <f t="shared" si="47"/>
        <v/>
      </c>
      <c r="N251" s="34" t="str">
        <f t="shared" si="48"/>
        <v/>
      </c>
      <c r="O251" s="34" t="str">
        <f t="shared" si="49"/>
        <v/>
      </c>
      <c r="P251" s="34" t="str">
        <f t="shared" si="50"/>
        <v/>
      </c>
      <c r="Q251" s="34" t="str">
        <f t="shared" si="51"/>
        <v/>
      </c>
      <c r="R251" s="34" t="str">
        <f t="shared" si="52"/>
        <v/>
      </c>
      <c r="S251" s="34" t="str">
        <f t="shared" si="53"/>
        <v/>
      </c>
    </row>
    <row r="252" spans="12:19" x14ac:dyDescent="0.3">
      <c r="L252" s="34" t="str">
        <f t="shared" si="56"/>
        <v/>
      </c>
      <c r="M252" s="34" t="str">
        <f t="shared" si="47"/>
        <v/>
      </c>
      <c r="N252" s="34" t="str">
        <f t="shared" si="48"/>
        <v/>
      </c>
      <c r="O252" s="34" t="str">
        <f t="shared" si="49"/>
        <v/>
      </c>
      <c r="P252" s="34" t="str">
        <f t="shared" si="50"/>
        <v/>
      </c>
      <c r="Q252" s="34" t="str">
        <f t="shared" si="51"/>
        <v/>
      </c>
      <c r="R252" s="34" t="str">
        <f t="shared" si="52"/>
        <v/>
      </c>
      <c r="S252" s="34" t="str">
        <f t="shared" si="53"/>
        <v/>
      </c>
    </row>
    <row r="253" spans="12:19" x14ac:dyDescent="0.3">
      <c r="L253" s="34" t="str">
        <f t="shared" si="56"/>
        <v/>
      </c>
      <c r="M253" s="34" t="str">
        <f t="shared" si="47"/>
        <v/>
      </c>
      <c r="N253" s="34" t="str">
        <f t="shared" si="48"/>
        <v/>
      </c>
      <c r="O253" s="34" t="str">
        <f t="shared" si="49"/>
        <v/>
      </c>
      <c r="P253" s="34" t="str">
        <f t="shared" si="50"/>
        <v/>
      </c>
      <c r="Q253" s="34" t="str">
        <f t="shared" si="51"/>
        <v/>
      </c>
      <c r="R253" s="34" t="str">
        <f t="shared" si="52"/>
        <v/>
      </c>
      <c r="S253" s="34" t="str">
        <f t="shared" si="53"/>
        <v/>
      </c>
    </row>
    <row r="254" spans="12:19" x14ac:dyDescent="0.3">
      <c r="L254" s="34" t="str">
        <f t="shared" si="56"/>
        <v/>
      </c>
      <c r="M254" s="34" t="str">
        <f t="shared" si="47"/>
        <v/>
      </c>
      <c r="N254" s="34" t="str">
        <f t="shared" si="48"/>
        <v/>
      </c>
      <c r="O254" s="34" t="str">
        <f t="shared" si="49"/>
        <v/>
      </c>
      <c r="P254" s="34" t="str">
        <f t="shared" si="50"/>
        <v/>
      </c>
      <c r="Q254" s="34" t="str">
        <f t="shared" si="51"/>
        <v/>
      </c>
      <c r="R254" s="34" t="str">
        <f t="shared" si="52"/>
        <v/>
      </c>
      <c r="S254" s="34" t="str">
        <f t="shared" si="53"/>
        <v/>
      </c>
    </row>
    <row r="255" spans="12:19" x14ac:dyDescent="0.3">
      <c r="L255" s="34" t="str">
        <f t="shared" si="56"/>
        <v/>
      </c>
      <c r="M255" s="34" t="str">
        <f t="shared" si="47"/>
        <v/>
      </c>
      <c r="N255" s="34" t="str">
        <f t="shared" si="48"/>
        <v/>
      </c>
      <c r="O255" s="34" t="str">
        <f t="shared" si="49"/>
        <v/>
      </c>
      <c r="P255" s="34" t="str">
        <f t="shared" si="50"/>
        <v/>
      </c>
      <c r="Q255" s="34" t="str">
        <f t="shared" si="51"/>
        <v/>
      </c>
      <c r="R255" s="34" t="str">
        <f t="shared" si="52"/>
        <v/>
      </c>
      <c r="S255" s="34" t="str">
        <f t="shared" si="53"/>
        <v/>
      </c>
    </row>
    <row r="256" spans="12:19" x14ac:dyDescent="0.3">
      <c r="M256" s="34" t="str">
        <f t="shared" si="47"/>
        <v/>
      </c>
      <c r="N256" s="34" t="str">
        <f t="shared" si="48"/>
        <v/>
      </c>
      <c r="O256" s="34" t="str">
        <f t="shared" si="49"/>
        <v/>
      </c>
      <c r="P256" s="34" t="str">
        <f t="shared" si="50"/>
        <v/>
      </c>
      <c r="Q256" s="34" t="str">
        <f t="shared" si="51"/>
        <v/>
      </c>
      <c r="R256" s="34" t="str">
        <f t="shared" si="52"/>
        <v/>
      </c>
      <c r="S256" s="34" t="str">
        <f t="shared" si="53"/>
        <v/>
      </c>
    </row>
    <row r="257" spans="12:19" x14ac:dyDescent="0.3">
      <c r="M257" s="34" t="str">
        <f t="shared" si="47"/>
        <v/>
      </c>
      <c r="N257" s="34" t="str">
        <f t="shared" si="48"/>
        <v/>
      </c>
      <c r="O257" s="34" t="str">
        <f t="shared" si="49"/>
        <v/>
      </c>
      <c r="P257" s="34" t="str">
        <f t="shared" si="50"/>
        <v/>
      </c>
      <c r="Q257" s="34" t="str">
        <f t="shared" si="51"/>
        <v/>
      </c>
      <c r="R257" s="34" t="str">
        <f t="shared" si="52"/>
        <v/>
      </c>
      <c r="S257" s="34" t="str">
        <f t="shared" si="53"/>
        <v/>
      </c>
    </row>
    <row r="258" spans="12:19" x14ac:dyDescent="0.3">
      <c r="L258" s="34" t="str">
        <f t="shared" ref="L258" si="61">RIGHT(A258,5)</f>
        <v/>
      </c>
      <c r="M258" s="34" t="str">
        <f t="shared" si="47"/>
        <v/>
      </c>
      <c r="N258" s="34" t="str">
        <f t="shared" si="48"/>
        <v/>
      </c>
      <c r="O258" s="34" t="str">
        <f t="shared" si="49"/>
        <v/>
      </c>
      <c r="P258" s="34" t="str">
        <f t="shared" si="50"/>
        <v/>
      </c>
      <c r="Q258" s="34" t="str">
        <f t="shared" si="51"/>
        <v/>
      </c>
      <c r="R258" s="34" t="str">
        <f t="shared" si="52"/>
        <v/>
      </c>
      <c r="S258" s="34" t="str">
        <f t="shared" si="53"/>
        <v/>
      </c>
    </row>
    <row r="259" spans="12:19" x14ac:dyDescent="0.3">
      <c r="L259" s="34" t="str">
        <f t="shared" ref="L259" si="62">L258</f>
        <v/>
      </c>
      <c r="M259" s="34" t="str">
        <f t="shared" si="47"/>
        <v/>
      </c>
      <c r="N259" s="34" t="str">
        <f t="shared" si="48"/>
        <v/>
      </c>
      <c r="O259" s="34" t="str">
        <f t="shared" si="49"/>
        <v/>
      </c>
      <c r="P259" s="34" t="str">
        <f t="shared" si="50"/>
        <v/>
      </c>
      <c r="Q259" s="34" t="str">
        <f t="shared" si="51"/>
        <v/>
      </c>
      <c r="R259" s="34" t="str">
        <f t="shared" si="52"/>
        <v/>
      </c>
      <c r="S259" s="34" t="str">
        <f t="shared" si="53"/>
        <v/>
      </c>
    </row>
    <row r="260" spans="12:19" x14ac:dyDescent="0.3">
      <c r="L260" s="34" t="str">
        <f t="shared" si="56"/>
        <v/>
      </c>
      <c r="M260" s="34" t="str">
        <f t="shared" si="47"/>
        <v/>
      </c>
      <c r="N260" s="34" t="str">
        <f t="shared" si="48"/>
        <v/>
      </c>
      <c r="O260" s="34" t="str">
        <f t="shared" si="49"/>
        <v/>
      </c>
      <c r="P260" s="34" t="str">
        <f t="shared" si="50"/>
        <v/>
      </c>
      <c r="Q260" s="34" t="str">
        <f t="shared" si="51"/>
        <v/>
      </c>
      <c r="R260" s="34" t="str">
        <f t="shared" si="52"/>
        <v/>
      </c>
      <c r="S260" s="34" t="str">
        <f t="shared" si="53"/>
        <v/>
      </c>
    </row>
    <row r="261" spans="12:19" x14ac:dyDescent="0.3">
      <c r="L261" s="34" t="str">
        <f t="shared" si="56"/>
        <v/>
      </c>
      <c r="M261" s="34" t="str">
        <f t="shared" ref="M261:M324" si="63">IF(AND(L261="s.csv",A261=1),ABS(1000/12/D261),"")</f>
        <v/>
      </c>
      <c r="N261" s="34" t="str">
        <f t="shared" si="48"/>
        <v/>
      </c>
      <c r="O261" s="34" t="str">
        <f t="shared" si="49"/>
        <v/>
      </c>
      <c r="P261" s="34" t="str">
        <f t="shared" si="50"/>
        <v/>
      </c>
      <c r="Q261" s="34" t="str">
        <f t="shared" si="51"/>
        <v/>
      </c>
      <c r="R261" s="34" t="str">
        <f t="shared" si="52"/>
        <v/>
      </c>
      <c r="S261" s="34" t="str">
        <f t="shared" si="53"/>
        <v/>
      </c>
    </row>
    <row r="262" spans="12:19" x14ac:dyDescent="0.3">
      <c r="L262" s="34" t="str">
        <f t="shared" si="56"/>
        <v/>
      </c>
      <c r="M262" s="34" t="str">
        <f t="shared" si="63"/>
        <v/>
      </c>
      <c r="N262" s="34" t="str">
        <f t="shared" si="48"/>
        <v/>
      </c>
      <c r="O262" s="34" t="str">
        <f t="shared" si="49"/>
        <v/>
      </c>
      <c r="P262" s="34" t="str">
        <f t="shared" si="50"/>
        <v/>
      </c>
      <c r="Q262" s="34" t="str">
        <f t="shared" si="51"/>
        <v/>
      </c>
      <c r="R262" s="34" t="str">
        <f t="shared" si="52"/>
        <v/>
      </c>
      <c r="S262" s="34" t="str">
        <f t="shared" si="53"/>
        <v/>
      </c>
    </row>
    <row r="263" spans="12:19" x14ac:dyDescent="0.3">
      <c r="L263" s="34" t="str">
        <f t="shared" si="56"/>
        <v/>
      </c>
      <c r="M263" s="34" t="str">
        <f t="shared" si="63"/>
        <v/>
      </c>
      <c r="N263" s="34" t="str">
        <f t="shared" si="48"/>
        <v/>
      </c>
      <c r="O263" s="34" t="str">
        <f t="shared" si="49"/>
        <v/>
      </c>
      <c r="P263" s="34" t="str">
        <f t="shared" si="50"/>
        <v/>
      </c>
      <c r="Q263" s="34" t="str">
        <f t="shared" si="51"/>
        <v/>
      </c>
      <c r="R263" s="34" t="str">
        <f t="shared" si="52"/>
        <v/>
      </c>
      <c r="S263" s="34" t="str">
        <f t="shared" si="53"/>
        <v/>
      </c>
    </row>
    <row r="264" spans="12:19" x14ac:dyDescent="0.3">
      <c r="L264" s="34" t="str">
        <f t="shared" si="56"/>
        <v/>
      </c>
      <c r="M264" s="34" t="str">
        <f t="shared" si="63"/>
        <v/>
      </c>
      <c r="N264" s="34" t="str">
        <f t="shared" si="48"/>
        <v/>
      </c>
      <c r="O264" s="34" t="str">
        <f t="shared" si="49"/>
        <v/>
      </c>
      <c r="P264" s="34" t="str">
        <f t="shared" si="50"/>
        <v/>
      </c>
      <c r="Q264" s="34" t="str">
        <f t="shared" si="51"/>
        <v/>
      </c>
      <c r="R264" s="34" t="str">
        <f t="shared" si="52"/>
        <v/>
      </c>
      <c r="S264" s="34" t="str">
        <f t="shared" si="53"/>
        <v/>
      </c>
    </row>
    <row r="265" spans="12:19" x14ac:dyDescent="0.3">
      <c r="L265" s="34" t="str">
        <f t="shared" si="56"/>
        <v/>
      </c>
      <c r="M265" s="34" t="str">
        <f t="shared" si="63"/>
        <v/>
      </c>
      <c r="N265" s="34" t="str">
        <f t="shared" si="48"/>
        <v/>
      </c>
      <c r="O265" s="34" t="str">
        <f t="shared" si="49"/>
        <v/>
      </c>
      <c r="P265" s="34" t="str">
        <f t="shared" si="50"/>
        <v/>
      </c>
      <c r="Q265" s="34" t="str">
        <f t="shared" si="51"/>
        <v/>
      </c>
      <c r="R265" s="34" t="str">
        <f t="shared" si="52"/>
        <v/>
      </c>
      <c r="S265" s="34" t="str">
        <f t="shared" si="53"/>
        <v/>
      </c>
    </row>
    <row r="266" spans="12:19" x14ac:dyDescent="0.3">
      <c r="L266" s="34" t="str">
        <f t="shared" si="56"/>
        <v/>
      </c>
      <c r="M266" s="34" t="str">
        <f t="shared" si="63"/>
        <v/>
      </c>
      <c r="N266" s="34" t="str">
        <f t="shared" si="48"/>
        <v/>
      </c>
      <c r="O266" s="34" t="str">
        <f t="shared" si="49"/>
        <v/>
      </c>
      <c r="P266" s="34" t="str">
        <f t="shared" si="50"/>
        <v/>
      </c>
      <c r="Q266" s="34" t="str">
        <f t="shared" si="51"/>
        <v/>
      </c>
      <c r="R266" s="34" t="str">
        <f t="shared" si="52"/>
        <v/>
      </c>
      <c r="S266" s="34" t="str">
        <f t="shared" si="53"/>
        <v/>
      </c>
    </row>
    <row r="267" spans="12:19" x14ac:dyDescent="0.3">
      <c r="L267" s="34" t="str">
        <f t="shared" si="56"/>
        <v/>
      </c>
      <c r="M267" s="34" t="str">
        <f t="shared" si="63"/>
        <v/>
      </c>
      <c r="N267" s="34" t="str">
        <f t="shared" si="48"/>
        <v/>
      </c>
      <c r="O267" s="34" t="str">
        <f t="shared" si="49"/>
        <v/>
      </c>
      <c r="P267" s="34" t="str">
        <f t="shared" si="50"/>
        <v/>
      </c>
      <c r="Q267" s="34" t="str">
        <f t="shared" si="51"/>
        <v/>
      </c>
      <c r="R267" s="34" t="str">
        <f t="shared" si="52"/>
        <v/>
      </c>
      <c r="S267" s="34" t="str">
        <f t="shared" si="53"/>
        <v/>
      </c>
    </row>
    <row r="268" spans="12:19" x14ac:dyDescent="0.3">
      <c r="L268" s="34" t="str">
        <f t="shared" si="56"/>
        <v/>
      </c>
      <c r="M268" s="34" t="str">
        <f t="shared" si="63"/>
        <v/>
      </c>
      <c r="N268" s="34" t="str">
        <f t="shared" ref="N268:N331" si="64">IF(AND(OR($L268="l.csv",$L268="g.csv"),$E268&gt;4),F268,"")</f>
        <v/>
      </c>
      <c r="O268" s="34" t="str">
        <f t="shared" ref="O268:O331" si="65">IF(AND(OR($L268="l.csv",$L268="g.csv"),$E268&gt;4),G268,"")</f>
        <v/>
      </c>
      <c r="P268" s="34" t="str">
        <f t="shared" ref="P268:P331" si="66">IF(AND(OR($L268="l.csv",$L268="g.csv"),$E268&gt;4),H268,"")</f>
        <v/>
      </c>
      <c r="Q268" s="34" t="str">
        <f t="shared" ref="Q268:Q331" si="67">IF(AND(OR($L268="l.csv",$L268="g.csv"),$E268&gt;4),I268,"")</f>
        <v/>
      </c>
      <c r="R268" s="34" t="str">
        <f t="shared" ref="R268:R331" si="68">IF(AND(OR($L268="l.csv",$L268="g.csv"),$E268&gt;4),J268,"")</f>
        <v/>
      </c>
      <c r="S268" s="34" t="str">
        <f t="shared" ref="S268:S331" si="69">IF(AND(OR($L268="l.csv",$L268="g.csv"),$E268&gt;4),K268,"")</f>
        <v/>
      </c>
    </row>
    <row r="269" spans="12:19" x14ac:dyDescent="0.3">
      <c r="L269" s="34" t="str">
        <f t="shared" si="56"/>
        <v/>
      </c>
      <c r="M269" s="34" t="str">
        <f t="shared" si="63"/>
        <v/>
      </c>
      <c r="N269" s="34" t="str">
        <f t="shared" si="64"/>
        <v/>
      </c>
      <c r="O269" s="34" t="str">
        <f t="shared" si="65"/>
        <v/>
      </c>
      <c r="P269" s="34" t="str">
        <f t="shared" si="66"/>
        <v/>
      </c>
      <c r="Q269" s="34" t="str">
        <f t="shared" si="67"/>
        <v/>
      </c>
      <c r="R269" s="34" t="str">
        <f t="shared" si="68"/>
        <v/>
      </c>
      <c r="S269" s="34" t="str">
        <f t="shared" si="69"/>
        <v/>
      </c>
    </row>
    <row r="270" spans="12:19" x14ac:dyDescent="0.3">
      <c r="L270" s="34" t="str">
        <f t="shared" si="56"/>
        <v/>
      </c>
      <c r="M270" s="34" t="str">
        <f t="shared" si="63"/>
        <v/>
      </c>
      <c r="N270" s="34" t="str">
        <f t="shared" si="64"/>
        <v/>
      </c>
      <c r="O270" s="34" t="str">
        <f t="shared" si="65"/>
        <v/>
      </c>
      <c r="P270" s="34" t="str">
        <f t="shared" si="66"/>
        <v/>
      </c>
      <c r="Q270" s="34" t="str">
        <f t="shared" si="67"/>
        <v/>
      </c>
      <c r="R270" s="34" t="str">
        <f t="shared" si="68"/>
        <v/>
      </c>
      <c r="S270" s="34" t="str">
        <f t="shared" si="69"/>
        <v/>
      </c>
    </row>
    <row r="271" spans="12:19" x14ac:dyDescent="0.3">
      <c r="L271" s="34" t="str">
        <f t="shared" si="56"/>
        <v/>
      </c>
      <c r="M271" s="34" t="str">
        <f t="shared" si="63"/>
        <v/>
      </c>
      <c r="N271" s="34" t="str">
        <f t="shared" si="64"/>
        <v/>
      </c>
      <c r="O271" s="34" t="str">
        <f t="shared" si="65"/>
        <v/>
      </c>
      <c r="P271" s="34" t="str">
        <f t="shared" si="66"/>
        <v/>
      </c>
      <c r="Q271" s="34" t="str">
        <f t="shared" si="67"/>
        <v/>
      </c>
      <c r="R271" s="34" t="str">
        <f t="shared" si="68"/>
        <v/>
      </c>
      <c r="S271" s="34" t="str">
        <f t="shared" si="69"/>
        <v/>
      </c>
    </row>
    <row r="272" spans="12:19" x14ac:dyDescent="0.3">
      <c r="L272" s="34" t="str">
        <f t="shared" si="56"/>
        <v/>
      </c>
      <c r="M272" s="34" t="str">
        <f t="shared" si="63"/>
        <v/>
      </c>
      <c r="N272" s="34" t="str">
        <f t="shared" si="64"/>
        <v/>
      </c>
      <c r="O272" s="34" t="str">
        <f t="shared" si="65"/>
        <v/>
      </c>
      <c r="P272" s="34" t="str">
        <f t="shared" si="66"/>
        <v/>
      </c>
      <c r="Q272" s="34" t="str">
        <f t="shared" si="67"/>
        <v/>
      </c>
      <c r="R272" s="34" t="str">
        <f t="shared" si="68"/>
        <v/>
      </c>
      <c r="S272" s="34" t="str">
        <f t="shared" si="69"/>
        <v/>
      </c>
    </row>
    <row r="273" spans="12:19" x14ac:dyDescent="0.3">
      <c r="M273" s="34" t="str">
        <f t="shared" si="63"/>
        <v/>
      </c>
      <c r="N273" s="34" t="str">
        <f t="shared" si="64"/>
        <v/>
      </c>
      <c r="O273" s="34" t="str">
        <f t="shared" si="65"/>
        <v/>
      </c>
      <c r="P273" s="34" t="str">
        <f t="shared" si="66"/>
        <v/>
      </c>
      <c r="Q273" s="34" t="str">
        <f t="shared" si="67"/>
        <v/>
      </c>
      <c r="R273" s="34" t="str">
        <f t="shared" si="68"/>
        <v/>
      </c>
      <c r="S273" s="34" t="str">
        <f t="shared" si="69"/>
        <v/>
      </c>
    </row>
    <row r="274" spans="12:19" x14ac:dyDescent="0.3">
      <c r="M274" s="34" t="str">
        <f t="shared" si="63"/>
        <v/>
      </c>
      <c r="N274" s="34" t="str">
        <f t="shared" si="64"/>
        <v/>
      </c>
      <c r="O274" s="34" t="str">
        <f t="shared" si="65"/>
        <v/>
      </c>
      <c r="P274" s="34" t="str">
        <f t="shared" si="66"/>
        <v/>
      </c>
      <c r="Q274" s="34" t="str">
        <f t="shared" si="67"/>
        <v/>
      </c>
      <c r="R274" s="34" t="str">
        <f t="shared" si="68"/>
        <v/>
      </c>
      <c r="S274" s="34" t="str">
        <f t="shared" si="69"/>
        <v/>
      </c>
    </row>
    <row r="275" spans="12:19" x14ac:dyDescent="0.3">
      <c r="L275" s="34" t="str">
        <f t="shared" ref="L275" si="70">RIGHT(A275,5)</f>
        <v/>
      </c>
      <c r="M275" s="34" t="str">
        <f t="shared" si="63"/>
        <v/>
      </c>
      <c r="N275" s="34" t="str">
        <f t="shared" si="64"/>
        <v/>
      </c>
      <c r="O275" s="34" t="str">
        <f t="shared" si="65"/>
        <v/>
      </c>
      <c r="P275" s="34" t="str">
        <f t="shared" si="66"/>
        <v/>
      </c>
      <c r="Q275" s="34" t="str">
        <f t="shared" si="67"/>
        <v/>
      </c>
      <c r="R275" s="34" t="str">
        <f t="shared" si="68"/>
        <v/>
      </c>
      <c r="S275" s="34" t="str">
        <f t="shared" si="69"/>
        <v/>
      </c>
    </row>
    <row r="276" spans="12:19" x14ac:dyDescent="0.3">
      <c r="L276" s="34" t="str">
        <f t="shared" ref="L276:L339" si="71">L275</f>
        <v/>
      </c>
      <c r="M276" s="34" t="str">
        <f t="shared" si="63"/>
        <v/>
      </c>
      <c r="N276" s="34" t="str">
        <f t="shared" si="64"/>
        <v/>
      </c>
      <c r="O276" s="34" t="str">
        <f t="shared" si="65"/>
        <v/>
      </c>
      <c r="P276" s="34" t="str">
        <f t="shared" si="66"/>
        <v/>
      </c>
      <c r="Q276" s="34" t="str">
        <f t="shared" si="67"/>
        <v/>
      </c>
      <c r="R276" s="34" t="str">
        <f t="shared" si="68"/>
        <v/>
      </c>
      <c r="S276" s="34" t="str">
        <f t="shared" si="69"/>
        <v/>
      </c>
    </row>
    <row r="277" spans="12:19" x14ac:dyDescent="0.3">
      <c r="L277" s="34" t="str">
        <f t="shared" si="71"/>
        <v/>
      </c>
      <c r="M277" s="34" t="str">
        <f t="shared" si="63"/>
        <v/>
      </c>
      <c r="N277" s="34" t="str">
        <f t="shared" si="64"/>
        <v/>
      </c>
      <c r="O277" s="34" t="str">
        <f t="shared" si="65"/>
        <v/>
      </c>
      <c r="P277" s="34" t="str">
        <f t="shared" si="66"/>
        <v/>
      </c>
      <c r="Q277" s="34" t="str">
        <f t="shared" si="67"/>
        <v/>
      </c>
      <c r="R277" s="34" t="str">
        <f t="shared" si="68"/>
        <v/>
      </c>
      <c r="S277" s="34" t="str">
        <f t="shared" si="69"/>
        <v/>
      </c>
    </row>
    <row r="278" spans="12:19" x14ac:dyDescent="0.3">
      <c r="L278" s="34" t="str">
        <f t="shared" si="71"/>
        <v/>
      </c>
      <c r="M278" s="34" t="str">
        <f t="shared" si="63"/>
        <v/>
      </c>
      <c r="N278" s="34" t="str">
        <f t="shared" si="64"/>
        <v/>
      </c>
      <c r="O278" s="34" t="str">
        <f t="shared" si="65"/>
        <v/>
      </c>
      <c r="P278" s="34" t="str">
        <f t="shared" si="66"/>
        <v/>
      </c>
      <c r="Q278" s="34" t="str">
        <f t="shared" si="67"/>
        <v/>
      </c>
      <c r="R278" s="34" t="str">
        <f t="shared" si="68"/>
        <v/>
      </c>
      <c r="S278" s="34" t="str">
        <f t="shared" si="69"/>
        <v/>
      </c>
    </row>
    <row r="279" spans="12:19" x14ac:dyDescent="0.3">
      <c r="L279" s="34" t="str">
        <f t="shared" si="71"/>
        <v/>
      </c>
      <c r="M279" s="34" t="str">
        <f t="shared" si="63"/>
        <v/>
      </c>
      <c r="N279" s="34" t="str">
        <f t="shared" si="64"/>
        <v/>
      </c>
      <c r="O279" s="34" t="str">
        <f t="shared" si="65"/>
        <v/>
      </c>
      <c r="P279" s="34" t="str">
        <f t="shared" si="66"/>
        <v/>
      </c>
      <c r="Q279" s="34" t="str">
        <f t="shared" si="67"/>
        <v/>
      </c>
      <c r="R279" s="34" t="str">
        <f t="shared" si="68"/>
        <v/>
      </c>
      <c r="S279" s="34" t="str">
        <f t="shared" si="69"/>
        <v/>
      </c>
    </row>
    <row r="280" spans="12:19" x14ac:dyDescent="0.3">
      <c r="L280" s="34" t="str">
        <f t="shared" si="71"/>
        <v/>
      </c>
      <c r="M280" s="34" t="str">
        <f t="shared" si="63"/>
        <v/>
      </c>
      <c r="N280" s="34" t="str">
        <f t="shared" si="64"/>
        <v/>
      </c>
      <c r="O280" s="34" t="str">
        <f t="shared" si="65"/>
        <v/>
      </c>
      <c r="P280" s="34" t="str">
        <f t="shared" si="66"/>
        <v/>
      </c>
      <c r="Q280" s="34" t="str">
        <f t="shared" si="67"/>
        <v/>
      </c>
      <c r="R280" s="34" t="str">
        <f t="shared" si="68"/>
        <v/>
      </c>
      <c r="S280" s="34" t="str">
        <f t="shared" si="69"/>
        <v/>
      </c>
    </row>
    <row r="281" spans="12:19" x14ac:dyDescent="0.3">
      <c r="L281" s="34" t="str">
        <f t="shared" si="71"/>
        <v/>
      </c>
      <c r="M281" s="34" t="str">
        <f t="shared" si="63"/>
        <v/>
      </c>
      <c r="N281" s="34" t="str">
        <f t="shared" si="64"/>
        <v/>
      </c>
      <c r="O281" s="34" t="str">
        <f t="shared" si="65"/>
        <v/>
      </c>
      <c r="P281" s="34" t="str">
        <f t="shared" si="66"/>
        <v/>
      </c>
      <c r="Q281" s="34" t="str">
        <f t="shared" si="67"/>
        <v/>
      </c>
      <c r="R281" s="34" t="str">
        <f t="shared" si="68"/>
        <v/>
      </c>
      <c r="S281" s="34" t="str">
        <f t="shared" si="69"/>
        <v/>
      </c>
    </row>
    <row r="282" spans="12:19" x14ac:dyDescent="0.3">
      <c r="L282" s="34" t="str">
        <f t="shared" si="71"/>
        <v/>
      </c>
      <c r="M282" s="34" t="str">
        <f t="shared" si="63"/>
        <v/>
      </c>
      <c r="N282" s="34" t="str">
        <f t="shared" si="64"/>
        <v/>
      </c>
      <c r="O282" s="34" t="str">
        <f t="shared" si="65"/>
        <v/>
      </c>
      <c r="P282" s="34" t="str">
        <f t="shared" si="66"/>
        <v/>
      </c>
      <c r="Q282" s="34" t="str">
        <f t="shared" si="67"/>
        <v/>
      </c>
      <c r="R282" s="34" t="str">
        <f t="shared" si="68"/>
        <v/>
      </c>
      <c r="S282" s="34" t="str">
        <f t="shared" si="69"/>
        <v/>
      </c>
    </row>
    <row r="283" spans="12:19" x14ac:dyDescent="0.3">
      <c r="L283" s="34" t="str">
        <f t="shared" si="71"/>
        <v/>
      </c>
      <c r="M283" s="34" t="str">
        <f t="shared" si="63"/>
        <v/>
      </c>
      <c r="N283" s="34" t="str">
        <f t="shared" si="64"/>
        <v/>
      </c>
      <c r="O283" s="34" t="str">
        <f t="shared" si="65"/>
        <v/>
      </c>
      <c r="P283" s="34" t="str">
        <f t="shared" si="66"/>
        <v/>
      </c>
      <c r="Q283" s="34" t="str">
        <f t="shared" si="67"/>
        <v/>
      </c>
      <c r="R283" s="34" t="str">
        <f t="shared" si="68"/>
        <v/>
      </c>
      <c r="S283" s="34" t="str">
        <f t="shared" si="69"/>
        <v/>
      </c>
    </row>
    <row r="284" spans="12:19" x14ac:dyDescent="0.3">
      <c r="L284" s="34" t="str">
        <f t="shared" si="71"/>
        <v/>
      </c>
      <c r="M284" s="34" t="str">
        <f t="shared" si="63"/>
        <v/>
      </c>
      <c r="N284" s="34" t="str">
        <f t="shared" si="64"/>
        <v/>
      </c>
      <c r="O284" s="34" t="str">
        <f t="shared" si="65"/>
        <v/>
      </c>
      <c r="P284" s="34" t="str">
        <f t="shared" si="66"/>
        <v/>
      </c>
      <c r="Q284" s="34" t="str">
        <f t="shared" si="67"/>
        <v/>
      </c>
      <c r="R284" s="34" t="str">
        <f t="shared" si="68"/>
        <v/>
      </c>
      <c r="S284" s="34" t="str">
        <f t="shared" si="69"/>
        <v/>
      </c>
    </row>
    <row r="285" spans="12:19" x14ac:dyDescent="0.3">
      <c r="L285" s="34" t="str">
        <f t="shared" si="71"/>
        <v/>
      </c>
      <c r="M285" s="34" t="str">
        <f t="shared" si="63"/>
        <v/>
      </c>
      <c r="N285" s="34" t="str">
        <f t="shared" si="64"/>
        <v/>
      </c>
      <c r="O285" s="34" t="str">
        <f t="shared" si="65"/>
        <v/>
      </c>
      <c r="P285" s="34" t="str">
        <f t="shared" si="66"/>
        <v/>
      </c>
      <c r="Q285" s="34" t="str">
        <f t="shared" si="67"/>
        <v/>
      </c>
      <c r="R285" s="34" t="str">
        <f t="shared" si="68"/>
        <v/>
      </c>
      <c r="S285" s="34" t="str">
        <f t="shared" si="69"/>
        <v/>
      </c>
    </row>
    <row r="286" spans="12:19" x14ac:dyDescent="0.3">
      <c r="L286" s="34" t="str">
        <f t="shared" si="71"/>
        <v/>
      </c>
      <c r="M286" s="34" t="str">
        <f t="shared" si="63"/>
        <v/>
      </c>
      <c r="N286" s="34" t="str">
        <f t="shared" si="64"/>
        <v/>
      </c>
      <c r="O286" s="34" t="str">
        <f t="shared" si="65"/>
        <v/>
      </c>
      <c r="P286" s="34" t="str">
        <f t="shared" si="66"/>
        <v/>
      </c>
      <c r="Q286" s="34" t="str">
        <f t="shared" si="67"/>
        <v/>
      </c>
      <c r="R286" s="34" t="str">
        <f t="shared" si="68"/>
        <v/>
      </c>
      <c r="S286" s="34" t="str">
        <f t="shared" si="69"/>
        <v/>
      </c>
    </row>
    <row r="287" spans="12:19" x14ac:dyDescent="0.3">
      <c r="L287" s="34" t="str">
        <f t="shared" si="71"/>
        <v/>
      </c>
      <c r="M287" s="34" t="str">
        <f t="shared" si="63"/>
        <v/>
      </c>
      <c r="N287" s="34" t="str">
        <f t="shared" si="64"/>
        <v/>
      </c>
      <c r="O287" s="34" t="str">
        <f t="shared" si="65"/>
        <v/>
      </c>
      <c r="P287" s="34" t="str">
        <f t="shared" si="66"/>
        <v/>
      </c>
      <c r="Q287" s="34" t="str">
        <f t="shared" si="67"/>
        <v/>
      </c>
      <c r="R287" s="34" t="str">
        <f t="shared" si="68"/>
        <v/>
      </c>
      <c r="S287" s="34" t="str">
        <f t="shared" si="69"/>
        <v/>
      </c>
    </row>
    <row r="288" spans="12:19" x14ac:dyDescent="0.3">
      <c r="L288" s="34" t="str">
        <f t="shared" si="71"/>
        <v/>
      </c>
      <c r="M288" s="34" t="str">
        <f t="shared" si="63"/>
        <v/>
      </c>
      <c r="N288" s="34" t="str">
        <f t="shared" si="64"/>
        <v/>
      </c>
      <c r="O288" s="34" t="str">
        <f t="shared" si="65"/>
        <v/>
      </c>
      <c r="P288" s="34" t="str">
        <f t="shared" si="66"/>
        <v/>
      </c>
      <c r="Q288" s="34" t="str">
        <f t="shared" si="67"/>
        <v/>
      </c>
      <c r="R288" s="34" t="str">
        <f t="shared" si="68"/>
        <v/>
      </c>
      <c r="S288" s="34" t="str">
        <f t="shared" si="69"/>
        <v/>
      </c>
    </row>
    <row r="289" spans="12:19" x14ac:dyDescent="0.3">
      <c r="L289" s="34" t="str">
        <f t="shared" si="71"/>
        <v/>
      </c>
      <c r="M289" s="34" t="str">
        <f t="shared" si="63"/>
        <v/>
      </c>
      <c r="N289" s="34" t="str">
        <f t="shared" si="64"/>
        <v/>
      </c>
      <c r="O289" s="34" t="str">
        <f t="shared" si="65"/>
        <v/>
      </c>
      <c r="P289" s="34" t="str">
        <f t="shared" si="66"/>
        <v/>
      </c>
      <c r="Q289" s="34" t="str">
        <f t="shared" si="67"/>
        <v/>
      </c>
      <c r="R289" s="34" t="str">
        <f t="shared" si="68"/>
        <v/>
      </c>
      <c r="S289" s="34" t="str">
        <f t="shared" si="69"/>
        <v/>
      </c>
    </row>
    <row r="290" spans="12:19" x14ac:dyDescent="0.3">
      <c r="M290" s="34" t="str">
        <f t="shared" si="63"/>
        <v/>
      </c>
      <c r="N290" s="34" t="str">
        <f t="shared" si="64"/>
        <v/>
      </c>
      <c r="O290" s="34" t="str">
        <f t="shared" si="65"/>
        <v/>
      </c>
      <c r="P290" s="34" t="str">
        <f t="shared" si="66"/>
        <v/>
      </c>
      <c r="Q290" s="34" t="str">
        <f t="shared" si="67"/>
        <v/>
      </c>
      <c r="R290" s="34" t="str">
        <f t="shared" si="68"/>
        <v/>
      </c>
      <c r="S290" s="34" t="str">
        <f t="shared" si="69"/>
        <v/>
      </c>
    </row>
    <row r="291" spans="12:19" x14ac:dyDescent="0.3">
      <c r="M291" s="34" t="str">
        <f t="shared" si="63"/>
        <v/>
      </c>
      <c r="N291" s="34" t="str">
        <f t="shared" si="64"/>
        <v/>
      </c>
      <c r="O291" s="34" t="str">
        <f t="shared" si="65"/>
        <v/>
      </c>
      <c r="P291" s="34" t="str">
        <f t="shared" si="66"/>
        <v/>
      </c>
      <c r="Q291" s="34" t="str">
        <f t="shared" si="67"/>
        <v/>
      </c>
      <c r="R291" s="34" t="str">
        <f t="shared" si="68"/>
        <v/>
      </c>
      <c r="S291" s="34" t="str">
        <f t="shared" si="69"/>
        <v/>
      </c>
    </row>
    <row r="292" spans="12:19" x14ac:dyDescent="0.3">
      <c r="L292" s="34" t="str">
        <f t="shared" ref="L292" si="72">RIGHT(A292,5)</f>
        <v/>
      </c>
      <c r="M292" s="34" t="str">
        <f t="shared" si="63"/>
        <v/>
      </c>
      <c r="N292" s="34" t="str">
        <f t="shared" si="64"/>
        <v/>
      </c>
      <c r="O292" s="34" t="str">
        <f t="shared" si="65"/>
        <v/>
      </c>
      <c r="P292" s="34" t="str">
        <f t="shared" si="66"/>
        <v/>
      </c>
      <c r="Q292" s="34" t="str">
        <f t="shared" si="67"/>
        <v/>
      </c>
      <c r="R292" s="34" t="str">
        <f t="shared" si="68"/>
        <v/>
      </c>
      <c r="S292" s="34" t="str">
        <f t="shared" si="69"/>
        <v/>
      </c>
    </row>
    <row r="293" spans="12:19" x14ac:dyDescent="0.3">
      <c r="L293" s="34" t="str">
        <f t="shared" ref="L293" si="73">L292</f>
        <v/>
      </c>
      <c r="M293" s="34" t="str">
        <f t="shared" si="63"/>
        <v/>
      </c>
      <c r="N293" s="34" t="str">
        <f t="shared" si="64"/>
        <v/>
      </c>
      <c r="O293" s="34" t="str">
        <f t="shared" si="65"/>
        <v/>
      </c>
      <c r="P293" s="34" t="str">
        <f t="shared" si="66"/>
        <v/>
      </c>
      <c r="Q293" s="34" t="str">
        <f t="shared" si="67"/>
        <v/>
      </c>
      <c r="R293" s="34" t="str">
        <f t="shared" si="68"/>
        <v/>
      </c>
      <c r="S293" s="34" t="str">
        <f t="shared" si="69"/>
        <v/>
      </c>
    </row>
    <row r="294" spans="12:19" x14ac:dyDescent="0.3">
      <c r="L294" s="34" t="str">
        <f t="shared" si="71"/>
        <v/>
      </c>
      <c r="M294" s="34" t="str">
        <f t="shared" si="63"/>
        <v/>
      </c>
      <c r="N294" s="34" t="str">
        <f t="shared" si="64"/>
        <v/>
      </c>
      <c r="O294" s="34" t="str">
        <f t="shared" si="65"/>
        <v/>
      </c>
      <c r="P294" s="34" t="str">
        <f t="shared" si="66"/>
        <v/>
      </c>
      <c r="Q294" s="34" t="str">
        <f t="shared" si="67"/>
        <v/>
      </c>
      <c r="R294" s="34" t="str">
        <f t="shared" si="68"/>
        <v/>
      </c>
      <c r="S294" s="34" t="str">
        <f t="shared" si="69"/>
        <v/>
      </c>
    </row>
    <row r="295" spans="12:19" x14ac:dyDescent="0.3">
      <c r="L295" s="34" t="str">
        <f t="shared" si="71"/>
        <v/>
      </c>
      <c r="M295" s="34" t="str">
        <f t="shared" si="63"/>
        <v/>
      </c>
      <c r="N295" s="34" t="str">
        <f t="shared" si="64"/>
        <v/>
      </c>
      <c r="O295" s="34" t="str">
        <f t="shared" si="65"/>
        <v/>
      </c>
      <c r="P295" s="34" t="str">
        <f t="shared" si="66"/>
        <v/>
      </c>
      <c r="Q295" s="34" t="str">
        <f t="shared" si="67"/>
        <v/>
      </c>
      <c r="R295" s="34" t="str">
        <f t="shared" si="68"/>
        <v/>
      </c>
      <c r="S295" s="34" t="str">
        <f t="shared" si="69"/>
        <v/>
      </c>
    </row>
    <row r="296" spans="12:19" x14ac:dyDescent="0.3">
      <c r="L296" s="34" t="str">
        <f t="shared" si="71"/>
        <v/>
      </c>
      <c r="M296" s="34" t="str">
        <f t="shared" si="63"/>
        <v/>
      </c>
      <c r="N296" s="34" t="str">
        <f t="shared" si="64"/>
        <v/>
      </c>
      <c r="O296" s="34" t="str">
        <f t="shared" si="65"/>
        <v/>
      </c>
      <c r="P296" s="34" t="str">
        <f t="shared" si="66"/>
        <v/>
      </c>
      <c r="Q296" s="34" t="str">
        <f t="shared" si="67"/>
        <v/>
      </c>
      <c r="R296" s="34" t="str">
        <f t="shared" si="68"/>
        <v/>
      </c>
      <c r="S296" s="34" t="str">
        <f t="shared" si="69"/>
        <v/>
      </c>
    </row>
    <row r="297" spans="12:19" x14ac:dyDescent="0.3">
      <c r="L297" s="34" t="str">
        <f t="shared" si="71"/>
        <v/>
      </c>
      <c r="M297" s="34" t="str">
        <f t="shared" si="63"/>
        <v/>
      </c>
      <c r="N297" s="34" t="str">
        <f t="shared" si="64"/>
        <v/>
      </c>
      <c r="O297" s="34" t="str">
        <f t="shared" si="65"/>
        <v/>
      </c>
      <c r="P297" s="34" t="str">
        <f t="shared" si="66"/>
        <v/>
      </c>
      <c r="Q297" s="34" t="str">
        <f t="shared" si="67"/>
        <v/>
      </c>
      <c r="R297" s="34" t="str">
        <f t="shared" si="68"/>
        <v/>
      </c>
      <c r="S297" s="34" t="str">
        <f t="shared" si="69"/>
        <v/>
      </c>
    </row>
    <row r="298" spans="12:19" x14ac:dyDescent="0.3">
      <c r="L298" s="34" t="str">
        <f t="shared" si="71"/>
        <v/>
      </c>
      <c r="M298" s="34" t="str">
        <f t="shared" si="63"/>
        <v/>
      </c>
      <c r="N298" s="34" t="str">
        <f t="shared" si="64"/>
        <v/>
      </c>
      <c r="O298" s="34" t="str">
        <f t="shared" si="65"/>
        <v/>
      </c>
      <c r="P298" s="34" t="str">
        <f t="shared" si="66"/>
        <v/>
      </c>
      <c r="Q298" s="34" t="str">
        <f t="shared" si="67"/>
        <v/>
      </c>
      <c r="R298" s="34" t="str">
        <f t="shared" si="68"/>
        <v/>
      </c>
      <c r="S298" s="34" t="str">
        <f t="shared" si="69"/>
        <v/>
      </c>
    </row>
    <row r="299" spans="12:19" x14ac:dyDescent="0.3">
      <c r="L299" s="34" t="str">
        <f t="shared" si="71"/>
        <v/>
      </c>
      <c r="M299" s="34" t="str">
        <f t="shared" si="63"/>
        <v/>
      </c>
      <c r="N299" s="34" t="str">
        <f t="shared" si="64"/>
        <v/>
      </c>
      <c r="O299" s="34" t="str">
        <f t="shared" si="65"/>
        <v/>
      </c>
      <c r="P299" s="34" t="str">
        <f t="shared" si="66"/>
        <v/>
      </c>
      <c r="Q299" s="34" t="str">
        <f t="shared" si="67"/>
        <v/>
      </c>
      <c r="R299" s="34" t="str">
        <f t="shared" si="68"/>
        <v/>
      </c>
      <c r="S299" s="34" t="str">
        <f t="shared" si="69"/>
        <v/>
      </c>
    </row>
    <row r="300" spans="12:19" x14ac:dyDescent="0.3">
      <c r="L300" s="34" t="str">
        <f t="shared" si="71"/>
        <v/>
      </c>
      <c r="M300" s="34" t="str">
        <f t="shared" si="63"/>
        <v/>
      </c>
      <c r="N300" s="34" t="str">
        <f t="shared" si="64"/>
        <v/>
      </c>
      <c r="O300" s="34" t="str">
        <f t="shared" si="65"/>
        <v/>
      </c>
      <c r="P300" s="34" t="str">
        <f t="shared" si="66"/>
        <v/>
      </c>
      <c r="Q300" s="34" t="str">
        <f t="shared" si="67"/>
        <v/>
      </c>
      <c r="R300" s="34" t="str">
        <f t="shared" si="68"/>
        <v/>
      </c>
      <c r="S300" s="34" t="str">
        <f t="shared" si="69"/>
        <v/>
      </c>
    </row>
    <row r="301" spans="12:19" x14ac:dyDescent="0.3">
      <c r="L301" s="34" t="str">
        <f t="shared" si="71"/>
        <v/>
      </c>
      <c r="M301" s="34" t="str">
        <f t="shared" si="63"/>
        <v/>
      </c>
      <c r="N301" s="34" t="str">
        <f t="shared" si="64"/>
        <v/>
      </c>
      <c r="O301" s="34" t="str">
        <f t="shared" si="65"/>
        <v/>
      </c>
      <c r="P301" s="34" t="str">
        <f t="shared" si="66"/>
        <v/>
      </c>
      <c r="Q301" s="34" t="str">
        <f t="shared" si="67"/>
        <v/>
      </c>
      <c r="R301" s="34" t="str">
        <f t="shared" si="68"/>
        <v/>
      </c>
      <c r="S301" s="34" t="str">
        <f t="shared" si="69"/>
        <v/>
      </c>
    </row>
    <row r="302" spans="12:19" x14ac:dyDescent="0.3">
      <c r="L302" s="34" t="str">
        <f t="shared" si="71"/>
        <v/>
      </c>
      <c r="M302" s="34" t="str">
        <f t="shared" si="63"/>
        <v/>
      </c>
      <c r="N302" s="34" t="str">
        <f t="shared" si="64"/>
        <v/>
      </c>
      <c r="O302" s="34" t="str">
        <f t="shared" si="65"/>
        <v/>
      </c>
      <c r="P302" s="34" t="str">
        <f t="shared" si="66"/>
        <v/>
      </c>
      <c r="Q302" s="34" t="str">
        <f t="shared" si="67"/>
        <v/>
      </c>
      <c r="R302" s="34" t="str">
        <f t="shared" si="68"/>
        <v/>
      </c>
      <c r="S302" s="34" t="str">
        <f t="shared" si="69"/>
        <v/>
      </c>
    </row>
    <row r="303" spans="12:19" x14ac:dyDescent="0.3">
      <c r="L303" s="34" t="str">
        <f t="shared" si="71"/>
        <v/>
      </c>
      <c r="M303" s="34" t="str">
        <f t="shared" si="63"/>
        <v/>
      </c>
      <c r="N303" s="34" t="str">
        <f t="shared" si="64"/>
        <v/>
      </c>
      <c r="O303" s="34" t="str">
        <f t="shared" si="65"/>
        <v/>
      </c>
      <c r="P303" s="34" t="str">
        <f t="shared" si="66"/>
        <v/>
      </c>
      <c r="Q303" s="34" t="str">
        <f t="shared" si="67"/>
        <v/>
      </c>
      <c r="R303" s="34" t="str">
        <f t="shared" si="68"/>
        <v/>
      </c>
      <c r="S303" s="34" t="str">
        <f t="shared" si="69"/>
        <v/>
      </c>
    </row>
    <row r="304" spans="12:19" x14ac:dyDescent="0.3">
      <c r="L304" s="34" t="str">
        <f t="shared" si="71"/>
        <v/>
      </c>
      <c r="M304" s="34" t="str">
        <f t="shared" si="63"/>
        <v/>
      </c>
      <c r="N304" s="34" t="str">
        <f t="shared" si="64"/>
        <v/>
      </c>
      <c r="O304" s="34" t="str">
        <f t="shared" si="65"/>
        <v/>
      </c>
      <c r="P304" s="34" t="str">
        <f t="shared" si="66"/>
        <v/>
      </c>
      <c r="Q304" s="34" t="str">
        <f t="shared" si="67"/>
        <v/>
      </c>
      <c r="R304" s="34" t="str">
        <f t="shared" si="68"/>
        <v/>
      </c>
      <c r="S304" s="34" t="str">
        <f t="shared" si="69"/>
        <v/>
      </c>
    </row>
    <row r="305" spans="12:19" x14ac:dyDescent="0.3">
      <c r="L305" s="34" t="str">
        <f t="shared" si="71"/>
        <v/>
      </c>
      <c r="M305" s="34" t="str">
        <f t="shared" si="63"/>
        <v/>
      </c>
      <c r="N305" s="34" t="str">
        <f t="shared" si="64"/>
        <v/>
      </c>
      <c r="O305" s="34" t="str">
        <f t="shared" si="65"/>
        <v/>
      </c>
      <c r="P305" s="34" t="str">
        <f t="shared" si="66"/>
        <v/>
      </c>
      <c r="Q305" s="34" t="str">
        <f t="shared" si="67"/>
        <v/>
      </c>
      <c r="R305" s="34" t="str">
        <f t="shared" si="68"/>
        <v/>
      </c>
      <c r="S305" s="34" t="str">
        <f t="shared" si="69"/>
        <v/>
      </c>
    </row>
    <row r="306" spans="12:19" x14ac:dyDescent="0.3">
      <c r="L306" s="34" t="str">
        <f t="shared" si="71"/>
        <v/>
      </c>
      <c r="M306" s="34" t="str">
        <f t="shared" si="63"/>
        <v/>
      </c>
      <c r="N306" s="34" t="str">
        <f t="shared" si="64"/>
        <v/>
      </c>
      <c r="O306" s="34" t="str">
        <f t="shared" si="65"/>
        <v/>
      </c>
      <c r="P306" s="34" t="str">
        <f t="shared" si="66"/>
        <v/>
      </c>
      <c r="Q306" s="34" t="str">
        <f t="shared" si="67"/>
        <v/>
      </c>
      <c r="R306" s="34" t="str">
        <f t="shared" si="68"/>
        <v/>
      </c>
      <c r="S306" s="34" t="str">
        <f t="shared" si="69"/>
        <v/>
      </c>
    </row>
    <row r="307" spans="12:19" x14ac:dyDescent="0.3">
      <c r="M307" s="34" t="str">
        <f t="shared" si="63"/>
        <v/>
      </c>
      <c r="N307" s="34" t="str">
        <f t="shared" si="64"/>
        <v/>
      </c>
      <c r="O307" s="34" t="str">
        <f t="shared" si="65"/>
        <v/>
      </c>
      <c r="P307" s="34" t="str">
        <f t="shared" si="66"/>
        <v/>
      </c>
      <c r="Q307" s="34" t="str">
        <f t="shared" si="67"/>
        <v/>
      </c>
      <c r="R307" s="34" t="str">
        <f t="shared" si="68"/>
        <v/>
      </c>
      <c r="S307" s="34" t="str">
        <f t="shared" si="69"/>
        <v/>
      </c>
    </row>
    <row r="308" spans="12:19" x14ac:dyDescent="0.3">
      <c r="M308" s="34" t="str">
        <f t="shared" si="63"/>
        <v/>
      </c>
      <c r="N308" s="34" t="str">
        <f t="shared" si="64"/>
        <v/>
      </c>
      <c r="O308" s="34" t="str">
        <f t="shared" si="65"/>
        <v/>
      </c>
      <c r="P308" s="34" t="str">
        <f t="shared" si="66"/>
        <v/>
      </c>
      <c r="Q308" s="34" t="str">
        <f t="shared" si="67"/>
        <v/>
      </c>
      <c r="R308" s="34" t="str">
        <f t="shared" si="68"/>
        <v/>
      </c>
      <c r="S308" s="34" t="str">
        <f t="shared" si="69"/>
        <v/>
      </c>
    </row>
    <row r="309" spans="12:19" x14ac:dyDescent="0.3">
      <c r="L309" s="34" t="str">
        <f t="shared" ref="L309" si="74">RIGHT(A309,5)</f>
        <v/>
      </c>
      <c r="M309" s="34" t="str">
        <f t="shared" si="63"/>
        <v/>
      </c>
      <c r="N309" s="34" t="str">
        <f t="shared" si="64"/>
        <v/>
      </c>
      <c r="O309" s="34" t="str">
        <f t="shared" si="65"/>
        <v/>
      </c>
      <c r="P309" s="34" t="str">
        <f t="shared" si="66"/>
        <v/>
      </c>
      <c r="Q309" s="34" t="str">
        <f t="shared" si="67"/>
        <v/>
      </c>
      <c r="R309" s="34" t="str">
        <f t="shared" si="68"/>
        <v/>
      </c>
      <c r="S309" s="34" t="str">
        <f t="shared" si="69"/>
        <v/>
      </c>
    </row>
    <row r="310" spans="12:19" x14ac:dyDescent="0.3">
      <c r="L310" s="34" t="str">
        <f t="shared" ref="L310" si="75">L309</f>
        <v/>
      </c>
      <c r="M310" s="34" t="str">
        <f t="shared" si="63"/>
        <v/>
      </c>
      <c r="N310" s="34" t="str">
        <f t="shared" si="64"/>
        <v/>
      </c>
      <c r="O310" s="34" t="str">
        <f t="shared" si="65"/>
        <v/>
      </c>
      <c r="P310" s="34" t="str">
        <f t="shared" si="66"/>
        <v/>
      </c>
      <c r="Q310" s="34" t="str">
        <f t="shared" si="67"/>
        <v/>
      </c>
      <c r="R310" s="34" t="str">
        <f t="shared" si="68"/>
        <v/>
      </c>
      <c r="S310" s="34" t="str">
        <f t="shared" si="69"/>
        <v/>
      </c>
    </row>
    <row r="311" spans="12:19" x14ac:dyDescent="0.3">
      <c r="L311" s="34" t="str">
        <f t="shared" si="71"/>
        <v/>
      </c>
      <c r="M311" s="34" t="str">
        <f t="shared" si="63"/>
        <v/>
      </c>
      <c r="N311" s="34" t="str">
        <f t="shared" si="64"/>
        <v/>
      </c>
      <c r="O311" s="34" t="str">
        <f t="shared" si="65"/>
        <v/>
      </c>
      <c r="P311" s="34" t="str">
        <f t="shared" si="66"/>
        <v/>
      </c>
      <c r="Q311" s="34" t="str">
        <f t="shared" si="67"/>
        <v/>
      </c>
      <c r="R311" s="34" t="str">
        <f t="shared" si="68"/>
        <v/>
      </c>
      <c r="S311" s="34" t="str">
        <f t="shared" si="69"/>
        <v/>
      </c>
    </row>
    <row r="312" spans="12:19" x14ac:dyDescent="0.3">
      <c r="L312" s="34" t="str">
        <f t="shared" si="71"/>
        <v/>
      </c>
      <c r="M312" s="34" t="str">
        <f t="shared" si="63"/>
        <v/>
      </c>
      <c r="N312" s="34" t="str">
        <f t="shared" si="64"/>
        <v/>
      </c>
      <c r="O312" s="34" t="str">
        <f t="shared" si="65"/>
        <v/>
      </c>
      <c r="P312" s="34" t="str">
        <f t="shared" si="66"/>
        <v/>
      </c>
      <c r="Q312" s="34" t="str">
        <f t="shared" si="67"/>
        <v/>
      </c>
      <c r="R312" s="34" t="str">
        <f t="shared" si="68"/>
        <v/>
      </c>
      <c r="S312" s="34" t="str">
        <f t="shared" si="69"/>
        <v/>
      </c>
    </row>
    <row r="313" spans="12:19" x14ac:dyDescent="0.3">
      <c r="L313" s="34" t="str">
        <f t="shared" si="71"/>
        <v/>
      </c>
      <c r="M313" s="34" t="str">
        <f t="shared" si="63"/>
        <v/>
      </c>
      <c r="N313" s="34" t="str">
        <f t="shared" si="64"/>
        <v/>
      </c>
      <c r="O313" s="34" t="str">
        <f t="shared" si="65"/>
        <v/>
      </c>
      <c r="P313" s="34" t="str">
        <f t="shared" si="66"/>
        <v/>
      </c>
      <c r="Q313" s="34" t="str">
        <f t="shared" si="67"/>
        <v/>
      </c>
      <c r="R313" s="34" t="str">
        <f t="shared" si="68"/>
        <v/>
      </c>
      <c r="S313" s="34" t="str">
        <f t="shared" si="69"/>
        <v/>
      </c>
    </row>
    <row r="314" spans="12:19" x14ac:dyDescent="0.3">
      <c r="L314" s="34" t="str">
        <f t="shared" si="71"/>
        <v/>
      </c>
      <c r="M314" s="34" t="str">
        <f t="shared" si="63"/>
        <v/>
      </c>
      <c r="N314" s="34" t="str">
        <f t="shared" si="64"/>
        <v/>
      </c>
      <c r="O314" s="34" t="str">
        <f t="shared" si="65"/>
        <v/>
      </c>
      <c r="P314" s="34" t="str">
        <f t="shared" si="66"/>
        <v/>
      </c>
      <c r="Q314" s="34" t="str">
        <f t="shared" si="67"/>
        <v/>
      </c>
      <c r="R314" s="34" t="str">
        <f t="shared" si="68"/>
        <v/>
      </c>
      <c r="S314" s="34" t="str">
        <f t="shared" si="69"/>
        <v/>
      </c>
    </row>
    <row r="315" spans="12:19" x14ac:dyDescent="0.3">
      <c r="L315" s="34" t="str">
        <f t="shared" si="71"/>
        <v/>
      </c>
      <c r="M315" s="34" t="str">
        <f t="shared" si="63"/>
        <v/>
      </c>
      <c r="N315" s="34" t="str">
        <f t="shared" si="64"/>
        <v/>
      </c>
      <c r="O315" s="34" t="str">
        <f t="shared" si="65"/>
        <v/>
      </c>
      <c r="P315" s="34" t="str">
        <f t="shared" si="66"/>
        <v/>
      </c>
      <c r="Q315" s="34" t="str">
        <f t="shared" si="67"/>
        <v/>
      </c>
      <c r="R315" s="34" t="str">
        <f t="shared" si="68"/>
        <v/>
      </c>
      <c r="S315" s="34" t="str">
        <f t="shared" si="69"/>
        <v/>
      </c>
    </row>
    <row r="316" spans="12:19" x14ac:dyDescent="0.3">
      <c r="L316" s="34" t="str">
        <f t="shared" si="71"/>
        <v/>
      </c>
      <c r="M316" s="34" t="str">
        <f t="shared" si="63"/>
        <v/>
      </c>
      <c r="N316" s="34" t="str">
        <f t="shared" si="64"/>
        <v/>
      </c>
      <c r="O316" s="34" t="str">
        <f t="shared" si="65"/>
        <v/>
      </c>
      <c r="P316" s="34" t="str">
        <f t="shared" si="66"/>
        <v/>
      </c>
      <c r="Q316" s="34" t="str">
        <f t="shared" si="67"/>
        <v/>
      </c>
      <c r="R316" s="34" t="str">
        <f t="shared" si="68"/>
        <v/>
      </c>
      <c r="S316" s="34" t="str">
        <f t="shared" si="69"/>
        <v/>
      </c>
    </row>
    <row r="317" spans="12:19" x14ac:dyDescent="0.3">
      <c r="L317" s="34" t="str">
        <f t="shared" si="71"/>
        <v/>
      </c>
      <c r="M317" s="34" t="str">
        <f t="shared" si="63"/>
        <v/>
      </c>
      <c r="N317" s="34" t="str">
        <f t="shared" si="64"/>
        <v/>
      </c>
      <c r="O317" s="34" t="str">
        <f t="shared" si="65"/>
        <v/>
      </c>
      <c r="P317" s="34" t="str">
        <f t="shared" si="66"/>
        <v/>
      </c>
      <c r="Q317" s="34" t="str">
        <f t="shared" si="67"/>
        <v/>
      </c>
      <c r="R317" s="34" t="str">
        <f t="shared" si="68"/>
        <v/>
      </c>
      <c r="S317" s="34" t="str">
        <f t="shared" si="69"/>
        <v/>
      </c>
    </row>
    <row r="318" spans="12:19" x14ac:dyDescent="0.3">
      <c r="L318" s="34" t="str">
        <f t="shared" si="71"/>
        <v/>
      </c>
      <c r="M318" s="34" t="str">
        <f t="shared" si="63"/>
        <v/>
      </c>
      <c r="N318" s="34" t="str">
        <f t="shared" si="64"/>
        <v/>
      </c>
      <c r="O318" s="34" t="str">
        <f t="shared" si="65"/>
        <v/>
      </c>
      <c r="P318" s="34" t="str">
        <f t="shared" si="66"/>
        <v/>
      </c>
      <c r="Q318" s="34" t="str">
        <f t="shared" si="67"/>
        <v/>
      </c>
      <c r="R318" s="34" t="str">
        <f t="shared" si="68"/>
        <v/>
      </c>
      <c r="S318" s="34" t="str">
        <f t="shared" si="69"/>
        <v/>
      </c>
    </row>
    <row r="319" spans="12:19" x14ac:dyDescent="0.3">
      <c r="L319" s="34" t="str">
        <f t="shared" si="71"/>
        <v/>
      </c>
      <c r="M319" s="34" t="str">
        <f t="shared" si="63"/>
        <v/>
      </c>
      <c r="N319" s="34" t="str">
        <f t="shared" si="64"/>
        <v/>
      </c>
      <c r="O319" s="34" t="str">
        <f t="shared" si="65"/>
        <v/>
      </c>
      <c r="P319" s="34" t="str">
        <f t="shared" si="66"/>
        <v/>
      </c>
      <c r="Q319" s="34" t="str">
        <f t="shared" si="67"/>
        <v/>
      </c>
      <c r="R319" s="34" t="str">
        <f t="shared" si="68"/>
        <v/>
      </c>
      <c r="S319" s="34" t="str">
        <f t="shared" si="69"/>
        <v/>
      </c>
    </row>
    <row r="320" spans="12:19" x14ac:dyDescent="0.3">
      <c r="L320" s="34" t="str">
        <f t="shared" si="71"/>
        <v/>
      </c>
      <c r="M320" s="34" t="str">
        <f t="shared" si="63"/>
        <v/>
      </c>
      <c r="N320" s="34" t="str">
        <f t="shared" si="64"/>
        <v/>
      </c>
      <c r="O320" s="34" t="str">
        <f t="shared" si="65"/>
        <v/>
      </c>
      <c r="P320" s="34" t="str">
        <f t="shared" si="66"/>
        <v/>
      </c>
      <c r="Q320" s="34" t="str">
        <f t="shared" si="67"/>
        <v/>
      </c>
      <c r="R320" s="34" t="str">
        <f t="shared" si="68"/>
        <v/>
      </c>
      <c r="S320" s="34" t="str">
        <f t="shared" si="69"/>
        <v/>
      </c>
    </row>
    <row r="321" spans="12:19" x14ac:dyDescent="0.3">
      <c r="L321" s="34" t="str">
        <f t="shared" si="71"/>
        <v/>
      </c>
      <c r="M321" s="34" t="str">
        <f t="shared" si="63"/>
        <v/>
      </c>
      <c r="N321" s="34" t="str">
        <f t="shared" si="64"/>
        <v/>
      </c>
      <c r="O321" s="34" t="str">
        <f t="shared" si="65"/>
        <v/>
      </c>
      <c r="P321" s="34" t="str">
        <f t="shared" si="66"/>
        <v/>
      </c>
      <c r="Q321" s="34" t="str">
        <f t="shared" si="67"/>
        <v/>
      </c>
      <c r="R321" s="34" t="str">
        <f t="shared" si="68"/>
        <v/>
      </c>
      <c r="S321" s="34" t="str">
        <f t="shared" si="69"/>
        <v/>
      </c>
    </row>
    <row r="322" spans="12:19" x14ac:dyDescent="0.3">
      <c r="L322" s="34" t="str">
        <f t="shared" si="71"/>
        <v/>
      </c>
      <c r="M322" s="34" t="str">
        <f t="shared" si="63"/>
        <v/>
      </c>
      <c r="N322" s="34" t="str">
        <f t="shared" si="64"/>
        <v/>
      </c>
      <c r="O322" s="34" t="str">
        <f t="shared" si="65"/>
        <v/>
      </c>
      <c r="P322" s="34" t="str">
        <f t="shared" si="66"/>
        <v/>
      </c>
      <c r="Q322" s="34" t="str">
        <f t="shared" si="67"/>
        <v/>
      </c>
      <c r="R322" s="34" t="str">
        <f t="shared" si="68"/>
        <v/>
      </c>
      <c r="S322" s="34" t="str">
        <f t="shared" si="69"/>
        <v/>
      </c>
    </row>
    <row r="323" spans="12:19" x14ac:dyDescent="0.3">
      <c r="L323" s="34" t="str">
        <f t="shared" si="71"/>
        <v/>
      </c>
      <c r="M323" s="34" t="str">
        <f t="shared" si="63"/>
        <v/>
      </c>
      <c r="N323" s="34" t="str">
        <f t="shared" si="64"/>
        <v/>
      </c>
      <c r="O323" s="34" t="str">
        <f t="shared" si="65"/>
        <v/>
      </c>
      <c r="P323" s="34" t="str">
        <f t="shared" si="66"/>
        <v/>
      </c>
      <c r="Q323" s="34" t="str">
        <f t="shared" si="67"/>
        <v/>
      </c>
      <c r="R323" s="34" t="str">
        <f t="shared" si="68"/>
        <v/>
      </c>
      <c r="S323" s="34" t="str">
        <f t="shared" si="69"/>
        <v/>
      </c>
    </row>
    <row r="324" spans="12:19" x14ac:dyDescent="0.3">
      <c r="M324" s="34" t="str">
        <f t="shared" si="63"/>
        <v/>
      </c>
      <c r="N324" s="34" t="str">
        <f t="shared" si="64"/>
        <v/>
      </c>
      <c r="O324" s="34" t="str">
        <f t="shared" si="65"/>
        <v/>
      </c>
      <c r="P324" s="34" t="str">
        <f t="shared" si="66"/>
        <v/>
      </c>
      <c r="Q324" s="34" t="str">
        <f t="shared" si="67"/>
        <v/>
      </c>
      <c r="R324" s="34" t="str">
        <f t="shared" si="68"/>
        <v/>
      </c>
      <c r="S324" s="34" t="str">
        <f t="shared" si="69"/>
        <v/>
      </c>
    </row>
    <row r="325" spans="12:19" x14ac:dyDescent="0.3">
      <c r="M325" s="34" t="str">
        <f t="shared" ref="M325:M388" si="76">IF(AND(L325="s.csv",A325=1),ABS(1000/12/D325),"")</f>
        <v/>
      </c>
      <c r="N325" s="34" t="str">
        <f t="shared" si="64"/>
        <v/>
      </c>
      <c r="O325" s="34" t="str">
        <f t="shared" si="65"/>
        <v/>
      </c>
      <c r="P325" s="34" t="str">
        <f t="shared" si="66"/>
        <v/>
      </c>
      <c r="Q325" s="34" t="str">
        <f t="shared" si="67"/>
        <v/>
      </c>
      <c r="R325" s="34" t="str">
        <f t="shared" si="68"/>
        <v/>
      </c>
      <c r="S325" s="34" t="str">
        <f t="shared" si="69"/>
        <v/>
      </c>
    </row>
    <row r="326" spans="12:19" x14ac:dyDescent="0.3">
      <c r="L326" s="34" t="str">
        <f t="shared" ref="L326" si="77">RIGHT(A326,5)</f>
        <v/>
      </c>
      <c r="M326" s="34" t="str">
        <f t="shared" si="76"/>
        <v/>
      </c>
      <c r="N326" s="34" t="str">
        <f t="shared" si="64"/>
        <v/>
      </c>
      <c r="O326" s="34" t="str">
        <f t="shared" si="65"/>
        <v/>
      </c>
      <c r="P326" s="34" t="str">
        <f t="shared" si="66"/>
        <v/>
      </c>
      <c r="Q326" s="34" t="str">
        <f t="shared" si="67"/>
        <v/>
      </c>
      <c r="R326" s="34" t="str">
        <f t="shared" si="68"/>
        <v/>
      </c>
      <c r="S326" s="34" t="str">
        <f t="shared" si="69"/>
        <v/>
      </c>
    </row>
    <row r="327" spans="12:19" x14ac:dyDescent="0.3">
      <c r="L327" s="34" t="str">
        <f t="shared" ref="L327" si="78">L326</f>
        <v/>
      </c>
      <c r="M327" s="34" t="str">
        <f t="shared" si="76"/>
        <v/>
      </c>
      <c r="N327" s="34" t="str">
        <f t="shared" si="64"/>
        <v/>
      </c>
      <c r="O327" s="34" t="str">
        <f t="shared" si="65"/>
        <v/>
      </c>
      <c r="P327" s="34" t="str">
        <f t="shared" si="66"/>
        <v/>
      </c>
      <c r="Q327" s="34" t="str">
        <f t="shared" si="67"/>
        <v/>
      </c>
      <c r="R327" s="34" t="str">
        <f t="shared" si="68"/>
        <v/>
      </c>
      <c r="S327" s="34" t="str">
        <f t="shared" si="69"/>
        <v/>
      </c>
    </row>
    <row r="328" spans="12:19" x14ac:dyDescent="0.3">
      <c r="L328" s="34" t="str">
        <f t="shared" si="71"/>
        <v/>
      </c>
      <c r="M328" s="34" t="str">
        <f t="shared" si="76"/>
        <v/>
      </c>
      <c r="N328" s="34" t="str">
        <f t="shared" si="64"/>
        <v/>
      </c>
      <c r="O328" s="34" t="str">
        <f t="shared" si="65"/>
        <v/>
      </c>
      <c r="P328" s="34" t="str">
        <f t="shared" si="66"/>
        <v/>
      </c>
      <c r="Q328" s="34" t="str">
        <f t="shared" si="67"/>
        <v/>
      </c>
      <c r="R328" s="34" t="str">
        <f t="shared" si="68"/>
        <v/>
      </c>
      <c r="S328" s="34" t="str">
        <f t="shared" si="69"/>
        <v/>
      </c>
    </row>
    <row r="329" spans="12:19" x14ac:dyDescent="0.3">
      <c r="L329" s="34" t="str">
        <f t="shared" si="71"/>
        <v/>
      </c>
      <c r="M329" s="34" t="str">
        <f t="shared" si="76"/>
        <v/>
      </c>
      <c r="N329" s="34" t="str">
        <f t="shared" si="64"/>
        <v/>
      </c>
      <c r="O329" s="34" t="str">
        <f t="shared" si="65"/>
        <v/>
      </c>
      <c r="P329" s="34" t="str">
        <f t="shared" si="66"/>
        <v/>
      </c>
      <c r="Q329" s="34" t="str">
        <f t="shared" si="67"/>
        <v/>
      </c>
      <c r="R329" s="34" t="str">
        <f t="shared" si="68"/>
        <v/>
      </c>
      <c r="S329" s="34" t="str">
        <f t="shared" si="69"/>
        <v/>
      </c>
    </row>
    <row r="330" spans="12:19" x14ac:dyDescent="0.3">
      <c r="L330" s="34" t="str">
        <f t="shared" si="71"/>
        <v/>
      </c>
      <c r="M330" s="34" t="str">
        <f t="shared" si="76"/>
        <v/>
      </c>
      <c r="N330" s="34" t="str">
        <f t="shared" si="64"/>
        <v/>
      </c>
      <c r="O330" s="34" t="str">
        <f t="shared" si="65"/>
        <v/>
      </c>
      <c r="P330" s="34" t="str">
        <f t="shared" si="66"/>
        <v/>
      </c>
      <c r="Q330" s="34" t="str">
        <f t="shared" si="67"/>
        <v/>
      </c>
      <c r="R330" s="34" t="str">
        <f t="shared" si="68"/>
        <v/>
      </c>
      <c r="S330" s="34" t="str">
        <f t="shared" si="69"/>
        <v/>
      </c>
    </row>
    <row r="331" spans="12:19" x14ac:dyDescent="0.3">
      <c r="L331" s="34" t="str">
        <f t="shared" si="71"/>
        <v/>
      </c>
      <c r="M331" s="34" t="str">
        <f t="shared" si="76"/>
        <v/>
      </c>
      <c r="N331" s="34" t="str">
        <f t="shared" si="64"/>
        <v/>
      </c>
      <c r="O331" s="34" t="str">
        <f t="shared" si="65"/>
        <v/>
      </c>
      <c r="P331" s="34" t="str">
        <f t="shared" si="66"/>
        <v/>
      </c>
      <c r="Q331" s="34" t="str">
        <f t="shared" si="67"/>
        <v/>
      </c>
      <c r="R331" s="34" t="str">
        <f t="shared" si="68"/>
        <v/>
      </c>
      <c r="S331" s="34" t="str">
        <f t="shared" si="69"/>
        <v/>
      </c>
    </row>
    <row r="332" spans="12:19" x14ac:dyDescent="0.3">
      <c r="L332" s="34" t="str">
        <f t="shared" si="71"/>
        <v/>
      </c>
      <c r="M332" s="34" t="str">
        <f t="shared" si="76"/>
        <v/>
      </c>
      <c r="N332" s="34" t="str">
        <f t="shared" ref="N332:N395" si="79">IF(AND(OR($L332="l.csv",$L332="g.csv"),$E332&gt;4),F332,"")</f>
        <v/>
      </c>
      <c r="O332" s="34" t="str">
        <f t="shared" ref="O332:O395" si="80">IF(AND(OR($L332="l.csv",$L332="g.csv"),$E332&gt;4),G332,"")</f>
        <v/>
      </c>
      <c r="P332" s="34" t="str">
        <f t="shared" ref="P332:P395" si="81">IF(AND(OR($L332="l.csv",$L332="g.csv"),$E332&gt;4),H332,"")</f>
        <v/>
      </c>
      <c r="Q332" s="34" t="str">
        <f t="shared" ref="Q332:Q395" si="82">IF(AND(OR($L332="l.csv",$L332="g.csv"),$E332&gt;4),I332,"")</f>
        <v/>
      </c>
      <c r="R332" s="34" t="str">
        <f t="shared" ref="R332:R395" si="83">IF(AND(OR($L332="l.csv",$L332="g.csv"),$E332&gt;4),J332,"")</f>
        <v/>
      </c>
      <c r="S332" s="34" t="str">
        <f t="shared" ref="S332:S395" si="84">IF(AND(OR($L332="l.csv",$L332="g.csv"),$E332&gt;4),K332,"")</f>
        <v/>
      </c>
    </row>
    <row r="333" spans="12:19" x14ac:dyDescent="0.3">
      <c r="L333" s="34" t="str">
        <f t="shared" si="71"/>
        <v/>
      </c>
      <c r="M333" s="34" t="str">
        <f t="shared" si="76"/>
        <v/>
      </c>
      <c r="N333" s="34" t="str">
        <f t="shared" si="79"/>
        <v/>
      </c>
      <c r="O333" s="34" t="str">
        <f t="shared" si="80"/>
        <v/>
      </c>
      <c r="P333" s="34" t="str">
        <f t="shared" si="81"/>
        <v/>
      </c>
      <c r="Q333" s="34" t="str">
        <f t="shared" si="82"/>
        <v/>
      </c>
      <c r="R333" s="34" t="str">
        <f t="shared" si="83"/>
        <v/>
      </c>
      <c r="S333" s="34" t="str">
        <f t="shared" si="84"/>
        <v/>
      </c>
    </row>
    <row r="334" spans="12:19" x14ac:dyDescent="0.3">
      <c r="L334" s="34" t="str">
        <f t="shared" si="71"/>
        <v/>
      </c>
      <c r="M334" s="34" t="str">
        <f t="shared" si="76"/>
        <v/>
      </c>
      <c r="N334" s="34" t="str">
        <f t="shared" si="79"/>
        <v/>
      </c>
      <c r="O334" s="34" t="str">
        <f t="shared" si="80"/>
        <v/>
      </c>
      <c r="P334" s="34" t="str">
        <f t="shared" si="81"/>
        <v/>
      </c>
      <c r="Q334" s="34" t="str">
        <f t="shared" si="82"/>
        <v/>
      </c>
      <c r="R334" s="34" t="str">
        <f t="shared" si="83"/>
        <v/>
      </c>
      <c r="S334" s="34" t="str">
        <f t="shared" si="84"/>
        <v/>
      </c>
    </row>
    <row r="335" spans="12:19" x14ac:dyDescent="0.3">
      <c r="L335" s="34" t="str">
        <f t="shared" si="71"/>
        <v/>
      </c>
      <c r="M335" s="34" t="str">
        <f t="shared" si="76"/>
        <v/>
      </c>
      <c r="N335" s="34" t="str">
        <f t="shared" si="79"/>
        <v/>
      </c>
      <c r="O335" s="34" t="str">
        <f t="shared" si="80"/>
        <v/>
      </c>
      <c r="P335" s="34" t="str">
        <f t="shared" si="81"/>
        <v/>
      </c>
      <c r="Q335" s="34" t="str">
        <f t="shared" si="82"/>
        <v/>
      </c>
      <c r="R335" s="34" t="str">
        <f t="shared" si="83"/>
        <v/>
      </c>
      <c r="S335" s="34" t="str">
        <f t="shared" si="84"/>
        <v/>
      </c>
    </row>
    <row r="336" spans="12:19" x14ac:dyDescent="0.3">
      <c r="L336" s="34" t="str">
        <f t="shared" si="71"/>
        <v/>
      </c>
      <c r="M336" s="34" t="str">
        <f t="shared" si="76"/>
        <v/>
      </c>
      <c r="N336" s="34" t="str">
        <f t="shared" si="79"/>
        <v/>
      </c>
      <c r="O336" s="34" t="str">
        <f t="shared" si="80"/>
        <v/>
      </c>
      <c r="P336" s="34" t="str">
        <f t="shared" si="81"/>
        <v/>
      </c>
      <c r="Q336" s="34" t="str">
        <f t="shared" si="82"/>
        <v/>
      </c>
      <c r="R336" s="34" t="str">
        <f t="shared" si="83"/>
        <v/>
      </c>
      <c r="S336" s="34" t="str">
        <f t="shared" si="84"/>
        <v/>
      </c>
    </row>
    <row r="337" spans="12:19" x14ac:dyDescent="0.3">
      <c r="L337" s="34" t="str">
        <f t="shared" si="71"/>
        <v/>
      </c>
      <c r="M337" s="34" t="str">
        <f t="shared" si="76"/>
        <v/>
      </c>
      <c r="N337" s="34" t="str">
        <f t="shared" si="79"/>
        <v/>
      </c>
      <c r="O337" s="34" t="str">
        <f t="shared" si="80"/>
        <v/>
      </c>
      <c r="P337" s="34" t="str">
        <f t="shared" si="81"/>
        <v/>
      </c>
      <c r="Q337" s="34" t="str">
        <f t="shared" si="82"/>
        <v/>
      </c>
      <c r="R337" s="34" t="str">
        <f t="shared" si="83"/>
        <v/>
      </c>
      <c r="S337" s="34" t="str">
        <f t="shared" si="84"/>
        <v/>
      </c>
    </row>
    <row r="338" spans="12:19" x14ac:dyDescent="0.3">
      <c r="L338" s="34" t="str">
        <f t="shared" si="71"/>
        <v/>
      </c>
      <c r="M338" s="34" t="str">
        <f t="shared" si="76"/>
        <v/>
      </c>
      <c r="N338" s="34" t="str">
        <f t="shared" si="79"/>
        <v/>
      </c>
      <c r="O338" s="34" t="str">
        <f t="shared" si="80"/>
        <v/>
      </c>
      <c r="P338" s="34" t="str">
        <f t="shared" si="81"/>
        <v/>
      </c>
      <c r="Q338" s="34" t="str">
        <f t="shared" si="82"/>
        <v/>
      </c>
      <c r="R338" s="34" t="str">
        <f t="shared" si="83"/>
        <v/>
      </c>
      <c r="S338" s="34" t="str">
        <f t="shared" si="84"/>
        <v/>
      </c>
    </row>
    <row r="339" spans="12:19" x14ac:dyDescent="0.3">
      <c r="L339" s="34" t="str">
        <f t="shared" si="71"/>
        <v/>
      </c>
      <c r="M339" s="34" t="str">
        <f t="shared" si="76"/>
        <v/>
      </c>
      <c r="N339" s="34" t="str">
        <f t="shared" si="79"/>
        <v/>
      </c>
      <c r="O339" s="34" t="str">
        <f t="shared" si="80"/>
        <v/>
      </c>
      <c r="P339" s="34" t="str">
        <f t="shared" si="81"/>
        <v/>
      </c>
      <c r="Q339" s="34" t="str">
        <f t="shared" si="82"/>
        <v/>
      </c>
      <c r="R339" s="34" t="str">
        <f t="shared" si="83"/>
        <v/>
      </c>
      <c r="S339" s="34" t="str">
        <f t="shared" si="84"/>
        <v/>
      </c>
    </row>
    <row r="340" spans="12:19" x14ac:dyDescent="0.3">
      <c r="L340" s="34" t="str">
        <f t="shared" ref="L340:L403" si="85">L339</f>
        <v/>
      </c>
      <c r="M340" s="34" t="str">
        <f t="shared" si="76"/>
        <v/>
      </c>
      <c r="N340" s="34" t="str">
        <f t="shared" si="79"/>
        <v/>
      </c>
      <c r="O340" s="34" t="str">
        <f t="shared" si="80"/>
        <v/>
      </c>
      <c r="P340" s="34" t="str">
        <f t="shared" si="81"/>
        <v/>
      </c>
      <c r="Q340" s="34" t="str">
        <f t="shared" si="82"/>
        <v/>
      </c>
      <c r="R340" s="34" t="str">
        <f t="shared" si="83"/>
        <v/>
      </c>
      <c r="S340" s="34" t="str">
        <f t="shared" si="84"/>
        <v/>
      </c>
    </row>
    <row r="341" spans="12:19" x14ac:dyDescent="0.3">
      <c r="M341" s="34" t="str">
        <f t="shared" si="76"/>
        <v/>
      </c>
      <c r="N341" s="34" t="str">
        <f t="shared" si="79"/>
        <v/>
      </c>
      <c r="O341" s="34" t="str">
        <f t="shared" si="80"/>
        <v/>
      </c>
      <c r="P341" s="34" t="str">
        <f t="shared" si="81"/>
        <v/>
      </c>
      <c r="Q341" s="34" t="str">
        <f t="shared" si="82"/>
        <v/>
      </c>
      <c r="R341" s="34" t="str">
        <f t="shared" si="83"/>
        <v/>
      </c>
      <c r="S341" s="34" t="str">
        <f t="shared" si="84"/>
        <v/>
      </c>
    </row>
    <row r="342" spans="12:19" x14ac:dyDescent="0.3">
      <c r="M342" s="34" t="str">
        <f t="shared" si="76"/>
        <v/>
      </c>
      <c r="N342" s="34" t="str">
        <f t="shared" si="79"/>
        <v/>
      </c>
      <c r="O342" s="34" t="str">
        <f t="shared" si="80"/>
        <v/>
      </c>
      <c r="P342" s="34" t="str">
        <f t="shared" si="81"/>
        <v/>
      </c>
      <c r="Q342" s="34" t="str">
        <f t="shared" si="82"/>
        <v/>
      </c>
      <c r="R342" s="34" t="str">
        <f t="shared" si="83"/>
        <v/>
      </c>
      <c r="S342" s="34" t="str">
        <f t="shared" si="84"/>
        <v/>
      </c>
    </row>
    <row r="343" spans="12:19" x14ac:dyDescent="0.3">
      <c r="L343" s="34" t="str">
        <f t="shared" ref="L343" si="86">RIGHT(A343,5)</f>
        <v/>
      </c>
      <c r="M343" s="34" t="str">
        <f t="shared" si="76"/>
        <v/>
      </c>
      <c r="N343" s="34" t="str">
        <f t="shared" si="79"/>
        <v/>
      </c>
      <c r="O343" s="34" t="str">
        <f t="shared" si="80"/>
        <v/>
      </c>
      <c r="P343" s="34" t="str">
        <f t="shared" si="81"/>
        <v/>
      </c>
      <c r="Q343" s="34" t="str">
        <f t="shared" si="82"/>
        <v/>
      </c>
      <c r="R343" s="34" t="str">
        <f t="shared" si="83"/>
        <v/>
      </c>
      <c r="S343" s="34" t="str">
        <f t="shared" si="84"/>
        <v/>
      </c>
    </row>
    <row r="344" spans="12:19" x14ac:dyDescent="0.3">
      <c r="L344" s="34" t="str">
        <f t="shared" ref="L344" si="87">L343</f>
        <v/>
      </c>
      <c r="M344" s="34" t="str">
        <f t="shared" si="76"/>
        <v/>
      </c>
      <c r="N344" s="34" t="str">
        <f t="shared" si="79"/>
        <v/>
      </c>
      <c r="O344" s="34" t="str">
        <f t="shared" si="80"/>
        <v/>
      </c>
      <c r="P344" s="34" t="str">
        <f t="shared" si="81"/>
        <v/>
      </c>
      <c r="Q344" s="34" t="str">
        <f t="shared" si="82"/>
        <v/>
      </c>
      <c r="R344" s="34" t="str">
        <f t="shared" si="83"/>
        <v/>
      </c>
      <c r="S344" s="34" t="str">
        <f t="shared" si="84"/>
        <v/>
      </c>
    </row>
    <row r="345" spans="12:19" x14ac:dyDescent="0.3">
      <c r="L345" s="34" t="str">
        <f t="shared" si="85"/>
        <v/>
      </c>
      <c r="M345" s="34" t="str">
        <f t="shared" si="76"/>
        <v/>
      </c>
      <c r="N345" s="34" t="str">
        <f t="shared" si="79"/>
        <v/>
      </c>
      <c r="O345" s="34" t="str">
        <f t="shared" si="80"/>
        <v/>
      </c>
      <c r="P345" s="34" t="str">
        <f t="shared" si="81"/>
        <v/>
      </c>
      <c r="Q345" s="34" t="str">
        <f t="shared" si="82"/>
        <v/>
      </c>
      <c r="R345" s="34" t="str">
        <f t="shared" si="83"/>
        <v/>
      </c>
      <c r="S345" s="34" t="str">
        <f t="shared" si="84"/>
        <v/>
      </c>
    </row>
    <row r="346" spans="12:19" x14ac:dyDescent="0.3">
      <c r="L346" s="34" t="str">
        <f t="shared" si="85"/>
        <v/>
      </c>
      <c r="M346" s="34" t="str">
        <f t="shared" si="76"/>
        <v/>
      </c>
      <c r="N346" s="34" t="str">
        <f t="shared" si="79"/>
        <v/>
      </c>
      <c r="O346" s="34" t="str">
        <f t="shared" si="80"/>
        <v/>
      </c>
      <c r="P346" s="34" t="str">
        <f t="shared" si="81"/>
        <v/>
      </c>
      <c r="Q346" s="34" t="str">
        <f t="shared" si="82"/>
        <v/>
      </c>
      <c r="R346" s="34" t="str">
        <f t="shared" si="83"/>
        <v/>
      </c>
      <c r="S346" s="34" t="str">
        <f t="shared" si="84"/>
        <v/>
      </c>
    </row>
    <row r="347" spans="12:19" x14ac:dyDescent="0.3">
      <c r="L347" s="34" t="str">
        <f t="shared" si="85"/>
        <v/>
      </c>
      <c r="M347" s="34" t="str">
        <f t="shared" si="76"/>
        <v/>
      </c>
      <c r="N347" s="34" t="str">
        <f t="shared" si="79"/>
        <v/>
      </c>
      <c r="O347" s="34" t="str">
        <f t="shared" si="80"/>
        <v/>
      </c>
      <c r="P347" s="34" t="str">
        <f t="shared" si="81"/>
        <v/>
      </c>
      <c r="Q347" s="34" t="str">
        <f t="shared" si="82"/>
        <v/>
      </c>
      <c r="R347" s="34" t="str">
        <f t="shared" si="83"/>
        <v/>
      </c>
      <c r="S347" s="34" t="str">
        <f t="shared" si="84"/>
        <v/>
      </c>
    </row>
    <row r="348" spans="12:19" x14ac:dyDescent="0.3">
      <c r="L348" s="34" t="str">
        <f t="shared" si="85"/>
        <v/>
      </c>
      <c r="M348" s="34" t="str">
        <f t="shared" si="76"/>
        <v/>
      </c>
      <c r="N348" s="34" t="str">
        <f t="shared" si="79"/>
        <v/>
      </c>
      <c r="O348" s="34" t="str">
        <f t="shared" si="80"/>
        <v/>
      </c>
      <c r="P348" s="34" t="str">
        <f t="shared" si="81"/>
        <v/>
      </c>
      <c r="Q348" s="34" t="str">
        <f t="shared" si="82"/>
        <v/>
      </c>
      <c r="R348" s="34" t="str">
        <f t="shared" si="83"/>
        <v/>
      </c>
      <c r="S348" s="34" t="str">
        <f t="shared" si="84"/>
        <v/>
      </c>
    </row>
    <row r="349" spans="12:19" x14ac:dyDescent="0.3">
      <c r="L349" s="34" t="str">
        <f t="shared" si="85"/>
        <v/>
      </c>
      <c r="M349" s="34" t="str">
        <f t="shared" si="76"/>
        <v/>
      </c>
      <c r="N349" s="34" t="str">
        <f t="shared" si="79"/>
        <v/>
      </c>
      <c r="O349" s="34" t="str">
        <f t="shared" si="80"/>
        <v/>
      </c>
      <c r="P349" s="34" t="str">
        <f t="shared" si="81"/>
        <v/>
      </c>
      <c r="Q349" s="34" t="str">
        <f t="shared" si="82"/>
        <v/>
      </c>
      <c r="R349" s="34" t="str">
        <f t="shared" si="83"/>
        <v/>
      </c>
      <c r="S349" s="34" t="str">
        <f t="shared" si="84"/>
        <v/>
      </c>
    </row>
    <row r="350" spans="12:19" x14ac:dyDescent="0.3">
      <c r="L350" s="34" t="str">
        <f t="shared" si="85"/>
        <v/>
      </c>
      <c r="M350" s="34" t="str">
        <f t="shared" si="76"/>
        <v/>
      </c>
      <c r="N350" s="34" t="str">
        <f t="shared" si="79"/>
        <v/>
      </c>
      <c r="O350" s="34" t="str">
        <f t="shared" si="80"/>
        <v/>
      </c>
      <c r="P350" s="34" t="str">
        <f t="shared" si="81"/>
        <v/>
      </c>
      <c r="Q350" s="34" t="str">
        <f t="shared" si="82"/>
        <v/>
      </c>
      <c r="R350" s="34" t="str">
        <f t="shared" si="83"/>
        <v/>
      </c>
      <c r="S350" s="34" t="str">
        <f t="shared" si="84"/>
        <v/>
      </c>
    </row>
    <row r="351" spans="12:19" x14ac:dyDescent="0.3">
      <c r="L351" s="34" t="str">
        <f t="shared" si="85"/>
        <v/>
      </c>
      <c r="M351" s="34" t="str">
        <f t="shared" si="76"/>
        <v/>
      </c>
      <c r="N351" s="34" t="str">
        <f t="shared" si="79"/>
        <v/>
      </c>
      <c r="O351" s="34" t="str">
        <f t="shared" si="80"/>
        <v/>
      </c>
      <c r="P351" s="34" t="str">
        <f t="shared" si="81"/>
        <v/>
      </c>
      <c r="Q351" s="34" t="str">
        <f t="shared" si="82"/>
        <v/>
      </c>
      <c r="R351" s="34" t="str">
        <f t="shared" si="83"/>
        <v/>
      </c>
      <c r="S351" s="34" t="str">
        <f t="shared" si="84"/>
        <v/>
      </c>
    </row>
    <row r="352" spans="12:19" x14ac:dyDescent="0.3">
      <c r="L352" s="34" t="str">
        <f t="shared" si="85"/>
        <v/>
      </c>
      <c r="M352" s="34" t="str">
        <f t="shared" si="76"/>
        <v/>
      </c>
      <c r="N352" s="34" t="str">
        <f t="shared" si="79"/>
        <v/>
      </c>
      <c r="O352" s="34" t="str">
        <f t="shared" si="80"/>
        <v/>
      </c>
      <c r="P352" s="34" t="str">
        <f t="shared" si="81"/>
        <v/>
      </c>
      <c r="Q352" s="34" t="str">
        <f t="shared" si="82"/>
        <v/>
      </c>
      <c r="R352" s="34" t="str">
        <f t="shared" si="83"/>
        <v/>
      </c>
      <c r="S352" s="34" t="str">
        <f t="shared" si="84"/>
        <v/>
      </c>
    </row>
    <row r="353" spans="12:19" x14ac:dyDescent="0.3">
      <c r="L353" s="34" t="str">
        <f t="shared" si="85"/>
        <v/>
      </c>
      <c r="M353" s="34" t="str">
        <f t="shared" si="76"/>
        <v/>
      </c>
      <c r="N353" s="34" t="str">
        <f t="shared" si="79"/>
        <v/>
      </c>
      <c r="O353" s="34" t="str">
        <f t="shared" si="80"/>
        <v/>
      </c>
      <c r="P353" s="34" t="str">
        <f t="shared" si="81"/>
        <v/>
      </c>
      <c r="Q353" s="34" t="str">
        <f t="shared" si="82"/>
        <v/>
      </c>
      <c r="R353" s="34" t="str">
        <f t="shared" si="83"/>
        <v/>
      </c>
      <c r="S353" s="34" t="str">
        <f t="shared" si="84"/>
        <v/>
      </c>
    </row>
    <row r="354" spans="12:19" x14ac:dyDescent="0.3">
      <c r="L354" s="34" t="str">
        <f t="shared" si="85"/>
        <v/>
      </c>
      <c r="M354" s="34" t="str">
        <f t="shared" si="76"/>
        <v/>
      </c>
      <c r="N354" s="34" t="str">
        <f t="shared" si="79"/>
        <v/>
      </c>
      <c r="O354" s="34" t="str">
        <f t="shared" si="80"/>
        <v/>
      </c>
      <c r="P354" s="34" t="str">
        <f t="shared" si="81"/>
        <v/>
      </c>
      <c r="Q354" s="34" t="str">
        <f t="shared" si="82"/>
        <v/>
      </c>
      <c r="R354" s="34" t="str">
        <f t="shared" si="83"/>
        <v/>
      </c>
      <c r="S354" s="34" t="str">
        <f t="shared" si="84"/>
        <v/>
      </c>
    </row>
    <row r="355" spans="12:19" x14ac:dyDescent="0.3">
      <c r="L355" s="34" t="str">
        <f t="shared" si="85"/>
        <v/>
      </c>
      <c r="M355" s="34" t="str">
        <f t="shared" si="76"/>
        <v/>
      </c>
      <c r="N355" s="34" t="str">
        <f t="shared" si="79"/>
        <v/>
      </c>
      <c r="O355" s="34" t="str">
        <f t="shared" si="80"/>
        <v/>
      </c>
      <c r="P355" s="34" t="str">
        <f t="shared" si="81"/>
        <v/>
      </c>
      <c r="Q355" s="34" t="str">
        <f t="shared" si="82"/>
        <v/>
      </c>
      <c r="R355" s="34" t="str">
        <f t="shared" si="83"/>
        <v/>
      </c>
      <c r="S355" s="34" t="str">
        <f t="shared" si="84"/>
        <v/>
      </c>
    </row>
    <row r="356" spans="12:19" x14ac:dyDescent="0.3">
      <c r="L356" s="34" t="str">
        <f t="shared" si="85"/>
        <v/>
      </c>
      <c r="M356" s="34" t="str">
        <f t="shared" si="76"/>
        <v/>
      </c>
      <c r="N356" s="34" t="str">
        <f t="shared" si="79"/>
        <v/>
      </c>
      <c r="O356" s="34" t="str">
        <f t="shared" si="80"/>
        <v/>
      </c>
      <c r="P356" s="34" t="str">
        <f t="shared" si="81"/>
        <v/>
      </c>
      <c r="Q356" s="34" t="str">
        <f t="shared" si="82"/>
        <v/>
      </c>
      <c r="R356" s="34" t="str">
        <f t="shared" si="83"/>
        <v/>
      </c>
      <c r="S356" s="34" t="str">
        <f t="shared" si="84"/>
        <v/>
      </c>
    </row>
    <row r="357" spans="12:19" x14ac:dyDescent="0.3">
      <c r="L357" s="34" t="str">
        <f t="shared" si="85"/>
        <v/>
      </c>
      <c r="M357" s="34" t="str">
        <f t="shared" si="76"/>
        <v/>
      </c>
      <c r="N357" s="34" t="str">
        <f t="shared" si="79"/>
        <v/>
      </c>
      <c r="O357" s="34" t="str">
        <f t="shared" si="80"/>
        <v/>
      </c>
      <c r="P357" s="34" t="str">
        <f t="shared" si="81"/>
        <v/>
      </c>
      <c r="Q357" s="34" t="str">
        <f t="shared" si="82"/>
        <v/>
      </c>
      <c r="R357" s="34" t="str">
        <f t="shared" si="83"/>
        <v/>
      </c>
      <c r="S357" s="34" t="str">
        <f t="shared" si="84"/>
        <v/>
      </c>
    </row>
    <row r="358" spans="12:19" x14ac:dyDescent="0.3">
      <c r="M358" s="34" t="str">
        <f t="shared" si="76"/>
        <v/>
      </c>
      <c r="N358" s="34" t="str">
        <f t="shared" si="79"/>
        <v/>
      </c>
      <c r="O358" s="34" t="str">
        <f t="shared" si="80"/>
        <v/>
      </c>
      <c r="P358" s="34" t="str">
        <f t="shared" si="81"/>
        <v/>
      </c>
      <c r="Q358" s="34" t="str">
        <f t="shared" si="82"/>
        <v/>
      </c>
      <c r="R358" s="34" t="str">
        <f t="shared" si="83"/>
        <v/>
      </c>
      <c r="S358" s="34" t="str">
        <f t="shared" si="84"/>
        <v/>
      </c>
    </row>
    <row r="359" spans="12:19" x14ac:dyDescent="0.3">
      <c r="M359" s="34" t="str">
        <f t="shared" si="76"/>
        <v/>
      </c>
      <c r="N359" s="34" t="str">
        <f t="shared" si="79"/>
        <v/>
      </c>
      <c r="O359" s="34" t="str">
        <f t="shared" si="80"/>
        <v/>
      </c>
      <c r="P359" s="34" t="str">
        <f t="shared" si="81"/>
        <v/>
      </c>
      <c r="Q359" s="34" t="str">
        <f t="shared" si="82"/>
        <v/>
      </c>
      <c r="R359" s="34" t="str">
        <f t="shared" si="83"/>
        <v/>
      </c>
      <c r="S359" s="34" t="str">
        <f t="shared" si="84"/>
        <v/>
      </c>
    </row>
    <row r="360" spans="12:19" x14ac:dyDescent="0.3">
      <c r="L360" s="34" t="str">
        <f t="shared" ref="L360" si="88">RIGHT(A360,5)</f>
        <v/>
      </c>
      <c r="M360" s="34" t="str">
        <f t="shared" si="76"/>
        <v/>
      </c>
      <c r="N360" s="34" t="str">
        <f t="shared" si="79"/>
        <v/>
      </c>
      <c r="O360" s="34" t="str">
        <f t="shared" si="80"/>
        <v/>
      </c>
      <c r="P360" s="34" t="str">
        <f t="shared" si="81"/>
        <v/>
      </c>
      <c r="Q360" s="34" t="str">
        <f t="shared" si="82"/>
        <v/>
      </c>
      <c r="R360" s="34" t="str">
        <f t="shared" si="83"/>
        <v/>
      </c>
      <c r="S360" s="34" t="str">
        <f t="shared" si="84"/>
        <v/>
      </c>
    </row>
    <row r="361" spans="12:19" x14ac:dyDescent="0.3">
      <c r="L361" s="34" t="str">
        <f t="shared" ref="L361" si="89">L360</f>
        <v/>
      </c>
      <c r="M361" s="34" t="str">
        <f t="shared" si="76"/>
        <v/>
      </c>
      <c r="N361" s="34" t="str">
        <f t="shared" si="79"/>
        <v/>
      </c>
      <c r="O361" s="34" t="str">
        <f t="shared" si="80"/>
        <v/>
      </c>
      <c r="P361" s="34" t="str">
        <f t="shared" si="81"/>
        <v/>
      </c>
      <c r="Q361" s="34" t="str">
        <f t="shared" si="82"/>
        <v/>
      </c>
      <c r="R361" s="34" t="str">
        <f t="shared" si="83"/>
        <v/>
      </c>
      <c r="S361" s="34" t="str">
        <f t="shared" si="84"/>
        <v/>
      </c>
    </row>
    <row r="362" spans="12:19" x14ac:dyDescent="0.3">
      <c r="L362" s="34" t="str">
        <f t="shared" si="85"/>
        <v/>
      </c>
      <c r="M362" s="34" t="str">
        <f t="shared" si="76"/>
        <v/>
      </c>
      <c r="N362" s="34" t="str">
        <f t="shared" si="79"/>
        <v/>
      </c>
      <c r="O362" s="34" t="str">
        <f t="shared" si="80"/>
        <v/>
      </c>
      <c r="P362" s="34" t="str">
        <f t="shared" si="81"/>
        <v/>
      </c>
      <c r="Q362" s="34" t="str">
        <f t="shared" si="82"/>
        <v/>
      </c>
      <c r="R362" s="34" t="str">
        <f t="shared" si="83"/>
        <v/>
      </c>
      <c r="S362" s="34" t="str">
        <f t="shared" si="84"/>
        <v/>
      </c>
    </row>
    <row r="363" spans="12:19" x14ac:dyDescent="0.3">
      <c r="L363" s="34" t="str">
        <f t="shared" si="85"/>
        <v/>
      </c>
      <c r="M363" s="34" t="str">
        <f t="shared" si="76"/>
        <v/>
      </c>
      <c r="N363" s="34" t="str">
        <f t="shared" si="79"/>
        <v/>
      </c>
      <c r="O363" s="34" t="str">
        <f t="shared" si="80"/>
        <v/>
      </c>
      <c r="P363" s="34" t="str">
        <f t="shared" si="81"/>
        <v/>
      </c>
      <c r="Q363" s="34" t="str">
        <f t="shared" si="82"/>
        <v/>
      </c>
      <c r="R363" s="34" t="str">
        <f t="shared" si="83"/>
        <v/>
      </c>
      <c r="S363" s="34" t="str">
        <f t="shared" si="84"/>
        <v/>
      </c>
    </row>
    <row r="364" spans="12:19" x14ac:dyDescent="0.3">
      <c r="L364" s="34" t="str">
        <f t="shared" si="85"/>
        <v/>
      </c>
      <c r="M364" s="34" t="str">
        <f t="shared" si="76"/>
        <v/>
      </c>
      <c r="N364" s="34" t="str">
        <f t="shared" si="79"/>
        <v/>
      </c>
      <c r="O364" s="34" t="str">
        <f t="shared" si="80"/>
        <v/>
      </c>
      <c r="P364" s="34" t="str">
        <f t="shared" si="81"/>
        <v/>
      </c>
      <c r="Q364" s="34" t="str">
        <f t="shared" si="82"/>
        <v/>
      </c>
      <c r="R364" s="34" t="str">
        <f t="shared" si="83"/>
        <v/>
      </c>
      <c r="S364" s="34" t="str">
        <f t="shared" si="84"/>
        <v/>
      </c>
    </row>
    <row r="365" spans="12:19" x14ac:dyDescent="0.3">
      <c r="L365" s="34" t="str">
        <f t="shared" si="85"/>
        <v/>
      </c>
      <c r="M365" s="34" t="str">
        <f t="shared" si="76"/>
        <v/>
      </c>
      <c r="N365" s="34" t="str">
        <f t="shared" si="79"/>
        <v/>
      </c>
      <c r="O365" s="34" t="str">
        <f t="shared" si="80"/>
        <v/>
      </c>
      <c r="P365" s="34" t="str">
        <f t="shared" si="81"/>
        <v/>
      </c>
      <c r="Q365" s="34" t="str">
        <f t="shared" si="82"/>
        <v/>
      </c>
      <c r="R365" s="34" t="str">
        <f t="shared" si="83"/>
        <v/>
      </c>
      <c r="S365" s="34" t="str">
        <f t="shared" si="84"/>
        <v/>
      </c>
    </row>
    <row r="366" spans="12:19" x14ac:dyDescent="0.3">
      <c r="L366" s="34" t="str">
        <f t="shared" si="85"/>
        <v/>
      </c>
      <c r="M366" s="34" t="str">
        <f t="shared" si="76"/>
        <v/>
      </c>
      <c r="N366" s="34" t="str">
        <f t="shared" si="79"/>
        <v/>
      </c>
      <c r="O366" s="34" t="str">
        <f t="shared" si="80"/>
        <v/>
      </c>
      <c r="P366" s="34" t="str">
        <f t="shared" si="81"/>
        <v/>
      </c>
      <c r="Q366" s="34" t="str">
        <f t="shared" si="82"/>
        <v/>
      </c>
      <c r="R366" s="34" t="str">
        <f t="shared" si="83"/>
        <v/>
      </c>
      <c r="S366" s="34" t="str">
        <f t="shared" si="84"/>
        <v/>
      </c>
    </row>
    <row r="367" spans="12:19" x14ac:dyDescent="0.3">
      <c r="L367" s="34" t="str">
        <f t="shared" si="85"/>
        <v/>
      </c>
      <c r="M367" s="34" t="str">
        <f t="shared" si="76"/>
        <v/>
      </c>
      <c r="N367" s="34" t="str">
        <f t="shared" si="79"/>
        <v/>
      </c>
      <c r="O367" s="34" t="str">
        <f t="shared" si="80"/>
        <v/>
      </c>
      <c r="P367" s="34" t="str">
        <f t="shared" si="81"/>
        <v/>
      </c>
      <c r="Q367" s="34" t="str">
        <f t="shared" si="82"/>
        <v/>
      </c>
      <c r="R367" s="34" t="str">
        <f t="shared" si="83"/>
        <v/>
      </c>
      <c r="S367" s="34" t="str">
        <f t="shared" si="84"/>
        <v/>
      </c>
    </row>
    <row r="368" spans="12:19" x14ac:dyDescent="0.3">
      <c r="L368" s="34" t="str">
        <f t="shared" si="85"/>
        <v/>
      </c>
      <c r="M368" s="34" t="str">
        <f t="shared" si="76"/>
        <v/>
      </c>
      <c r="N368" s="34" t="str">
        <f t="shared" si="79"/>
        <v/>
      </c>
      <c r="O368" s="34" t="str">
        <f t="shared" si="80"/>
        <v/>
      </c>
      <c r="P368" s="34" t="str">
        <f t="shared" si="81"/>
        <v/>
      </c>
      <c r="Q368" s="34" t="str">
        <f t="shared" si="82"/>
        <v/>
      </c>
      <c r="R368" s="34" t="str">
        <f t="shared" si="83"/>
        <v/>
      </c>
      <c r="S368" s="34" t="str">
        <f t="shared" si="84"/>
        <v/>
      </c>
    </row>
    <row r="369" spans="12:19" x14ac:dyDescent="0.3">
      <c r="L369" s="34" t="str">
        <f t="shared" si="85"/>
        <v/>
      </c>
      <c r="M369" s="34" t="str">
        <f t="shared" si="76"/>
        <v/>
      </c>
      <c r="N369" s="34" t="str">
        <f t="shared" si="79"/>
        <v/>
      </c>
      <c r="O369" s="34" t="str">
        <f t="shared" si="80"/>
        <v/>
      </c>
      <c r="P369" s="34" t="str">
        <f t="shared" si="81"/>
        <v/>
      </c>
      <c r="Q369" s="34" t="str">
        <f t="shared" si="82"/>
        <v/>
      </c>
      <c r="R369" s="34" t="str">
        <f t="shared" si="83"/>
        <v/>
      </c>
      <c r="S369" s="34" t="str">
        <f t="shared" si="84"/>
        <v/>
      </c>
    </row>
    <row r="370" spans="12:19" x14ac:dyDescent="0.3">
      <c r="L370" s="34" t="str">
        <f t="shared" si="85"/>
        <v/>
      </c>
      <c r="M370" s="34" t="str">
        <f t="shared" si="76"/>
        <v/>
      </c>
      <c r="N370" s="34" t="str">
        <f t="shared" si="79"/>
        <v/>
      </c>
      <c r="O370" s="34" t="str">
        <f t="shared" si="80"/>
        <v/>
      </c>
      <c r="P370" s="34" t="str">
        <f t="shared" si="81"/>
        <v/>
      </c>
      <c r="Q370" s="34" t="str">
        <f t="shared" si="82"/>
        <v/>
      </c>
      <c r="R370" s="34" t="str">
        <f t="shared" si="83"/>
        <v/>
      </c>
      <c r="S370" s="34" t="str">
        <f t="shared" si="84"/>
        <v/>
      </c>
    </row>
    <row r="371" spans="12:19" x14ac:dyDescent="0.3">
      <c r="L371" s="34" t="str">
        <f t="shared" si="85"/>
        <v/>
      </c>
      <c r="M371" s="34" t="str">
        <f t="shared" si="76"/>
        <v/>
      </c>
      <c r="N371" s="34" t="str">
        <f t="shared" si="79"/>
        <v/>
      </c>
      <c r="O371" s="34" t="str">
        <f t="shared" si="80"/>
        <v/>
      </c>
      <c r="P371" s="34" t="str">
        <f t="shared" si="81"/>
        <v/>
      </c>
      <c r="Q371" s="34" t="str">
        <f t="shared" si="82"/>
        <v/>
      </c>
      <c r="R371" s="34" t="str">
        <f t="shared" si="83"/>
        <v/>
      </c>
      <c r="S371" s="34" t="str">
        <f t="shared" si="84"/>
        <v/>
      </c>
    </row>
    <row r="372" spans="12:19" x14ac:dyDescent="0.3">
      <c r="L372" s="34" t="str">
        <f t="shared" si="85"/>
        <v/>
      </c>
      <c r="M372" s="34" t="str">
        <f t="shared" si="76"/>
        <v/>
      </c>
      <c r="N372" s="34" t="str">
        <f t="shared" si="79"/>
        <v/>
      </c>
      <c r="O372" s="34" t="str">
        <f t="shared" si="80"/>
        <v/>
      </c>
      <c r="P372" s="34" t="str">
        <f t="shared" si="81"/>
        <v/>
      </c>
      <c r="Q372" s="34" t="str">
        <f t="shared" si="82"/>
        <v/>
      </c>
      <c r="R372" s="34" t="str">
        <f t="shared" si="83"/>
        <v/>
      </c>
      <c r="S372" s="34" t="str">
        <f t="shared" si="84"/>
        <v/>
      </c>
    </row>
    <row r="373" spans="12:19" x14ac:dyDescent="0.3">
      <c r="L373" s="34" t="str">
        <f t="shared" si="85"/>
        <v/>
      </c>
      <c r="M373" s="34" t="str">
        <f t="shared" si="76"/>
        <v/>
      </c>
      <c r="N373" s="34" t="str">
        <f t="shared" si="79"/>
        <v/>
      </c>
      <c r="O373" s="34" t="str">
        <f t="shared" si="80"/>
        <v/>
      </c>
      <c r="P373" s="34" t="str">
        <f t="shared" si="81"/>
        <v/>
      </c>
      <c r="Q373" s="34" t="str">
        <f t="shared" si="82"/>
        <v/>
      </c>
      <c r="R373" s="34" t="str">
        <f t="shared" si="83"/>
        <v/>
      </c>
      <c r="S373" s="34" t="str">
        <f t="shared" si="84"/>
        <v/>
      </c>
    </row>
    <row r="374" spans="12:19" x14ac:dyDescent="0.3">
      <c r="L374" s="34" t="str">
        <f t="shared" si="85"/>
        <v/>
      </c>
      <c r="M374" s="34" t="str">
        <f t="shared" si="76"/>
        <v/>
      </c>
      <c r="N374" s="34" t="str">
        <f t="shared" si="79"/>
        <v/>
      </c>
      <c r="O374" s="34" t="str">
        <f t="shared" si="80"/>
        <v/>
      </c>
      <c r="P374" s="34" t="str">
        <f t="shared" si="81"/>
        <v/>
      </c>
      <c r="Q374" s="34" t="str">
        <f t="shared" si="82"/>
        <v/>
      </c>
      <c r="R374" s="34" t="str">
        <f t="shared" si="83"/>
        <v/>
      </c>
      <c r="S374" s="34" t="str">
        <f t="shared" si="84"/>
        <v/>
      </c>
    </row>
    <row r="375" spans="12:19" x14ac:dyDescent="0.3">
      <c r="M375" s="34" t="str">
        <f t="shared" si="76"/>
        <v/>
      </c>
      <c r="N375" s="34" t="str">
        <f t="shared" si="79"/>
        <v/>
      </c>
      <c r="O375" s="34" t="str">
        <f t="shared" si="80"/>
        <v/>
      </c>
      <c r="P375" s="34" t="str">
        <f t="shared" si="81"/>
        <v/>
      </c>
      <c r="Q375" s="34" t="str">
        <f t="shared" si="82"/>
        <v/>
      </c>
      <c r="R375" s="34" t="str">
        <f t="shared" si="83"/>
        <v/>
      </c>
      <c r="S375" s="34" t="str">
        <f t="shared" si="84"/>
        <v/>
      </c>
    </row>
    <row r="376" spans="12:19" x14ac:dyDescent="0.3">
      <c r="M376" s="34" t="str">
        <f t="shared" si="76"/>
        <v/>
      </c>
      <c r="N376" s="34" t="str">
        <f t="shared" si="79"/>
        <v/>
      </c>
      <c r="O376" s="34" t="str">
        <f t="shared" si="80"/>
        <v/>
      </c>
      <c r="P376" s="34" t="str">
        <f t="shared" si="81"/>
        <v/>
      </c>
      <c r="Q376" s="34" t="str">
        <f t="shared" si="82"/>
        <v/>
      </c>
      <c r="R376" s="34" t="str">
        <f t="shared" si="83"/>
        <v/>
      </c>
      <c r="S376" s="34" t="str">
        <f t="shared" si="84"/>
        <v/>
      </c>
    </row>
    <row r="377" spans="12:19" x14ac:dyDescent="0.3">
      <c r="L377" s="34" t="str">
        <f t="shared" ref="L377" si="90">RIGHT(A377,5)</f>
        <v/>
      </c>
      <c r="M377" s="34" t="str">
        <f t="shared" si="76"/>
        <v/>
      </c>
      <c r="N377" s="34" t="str">
        <f t="shared" si="79"/>
        <v/>
      </c>
      <c r="O377" s="34" t="str">
        <f t="shared" si="80"/>
        <v/>
      </c>
      <c r="P377" s="34" t="str">
        <f t="shared" si="81"/>
        <v/>
      </c>
      <c r="Q377" s="34" t="str">
        <f t="shared" si="82"/>
        <v/>
      </c>
      <c r="R377" s="34" t="str">
        <f t="shared" si="83"/>
        <v/>
      </c>
      <c r="S377" s="34" t="str">
        <f t="shared" si="84"/>
        <v/>
      </c>
    </row>
    <row r="378" spans="12:19" x14ac:dyDescent="0.3">
      <c r="L378" s="34" t="str">
        <f t="shared" ref="L378" si="91">L377</f>
        <v/>
      </c>
      <c r="M378" s="34" t="str">
        <f t="shared" si="76"/>
        <v/>
      </c>
      <c r="N378" s="34" t="str">
        <f t="shared" si="79"/>
        <v/>
      </c>
      <c r="O378" s="34" t="str">
        <f t="shared" si="80"/>
        <v/>
      </c>
      <c r="P378" s="34" t="str">
        <f t="shared" si="81"/>
        <v/>
      </c>
      <c r="Q378" s="34" t="str">
        <f t="shared" si="82"/>
        <v/>
      </c>
      <c r="R378" s="34" t="str">
        <f t="shared" si="83"/>
        <v/>
      </c>
      <c r="S378" s="34" t="str">
        <f t="shared" si="84"/>
        <v/>
      </c>
    </row>
    <row r="379" spans="12:19" x14ac:dyDescent="0.3">
      <c r="L379" s="34" t="str">
        <f t="shared" si="85"/>
        <v/>
      </c>
      <c r="M379" s="34" t="str">
        <f t="shared" si="76"/>
        <v/>
      </c>
      <c r="N379" s="34" t="str">
        <f t="shared" si="79"/>
        <v/>
      </c>
      <c r="O379" s="34" t="str">
        <f t="shared" si="80"/>
        <v/>
      </c>
      <c r="P379" s="34" t="str">
        <f t="shared" si="81"/>
        <v/>
      </c>
      <c r="Q379" s="34" t="str">
        <f t="shared" si="82"/>
        <v/>
      </c>
      <c r="R379" s="34" t="str">
        <f t="shared" si="83"/>
        <v/>
      </c>
      <c r="S379" s="34" t="str">
        <f t="shared" si="84"/>
        <v/>
      </c>
    </row>
    <row r="380" spans="12:19" x14ac:dyDescent="0.3">
      <c r="L380" s="34" t="str">
        <f t="shared" si="85"/>
        <v/>
      </c>
      <c r="M380" s="34" t="str">
        <f t="shared" si="76"/>
        <v/>
      </c>
      <c r="N380" s="34" t="str">
        <f t="shared" si="79"/>
        <v/>
      </c>
      <c r="O380" s="34" t="str">
        <f t="shared" si="80"/>
        <v/>
      </c>
      <c r="P380" s="34" t="str">
        <f t="shared" si="81"/>
        <v/>
      </c>
      <c r="Q380" s="34" t="str">
        <f t="shared" si="82"/>
        <v/>
      </c>
      <c r="R380" s="34" t="str">
        <f t="shared" si="83"/>
        <v/>
      </c>
      <c r="S380" s="34" t="str">
        <f t="shared" si="84"/>
        <v/>
      </c>
    </row>
    <row r="381" spans="12:19" x14ac:dyDescent="0.3">
      <c r="L381" s="34" t="str">
        <f t="shared" si="85"/>
        <v/>
      </c>
      <c r="M381" s="34" t="str">
        <f t="shared" si="76"/>
        <v/>
      </c>
      <c r="N381" s="34" t="str">
        <f t="shared" si="79"/>
        <v/>
      </c>
      <c r="O381" s="34" t="str">
        <f t="shared" si="80"/>
        <v/>
      </c>
      <c r="P381" s="34" t="str">
        <f t="shared" si="81"/>
        <v/>
      </c>
      <c r="Q381" s="34" t="str">
        <f t="shared" si="82"/>
        <v/>
      </c>
      <c r="R381" s="34" t="str">
        <f t="shared" si="83"/>
        <v/>
      </c>
      <c r="S381" s="34" t="str">
        <f t="shared" si="84"/>
        <v/>
      </c>
    </row>
    <row r="382" spans="12:19" x14ac:dyDescent="0.3">
      <c r="L382" s="34" t="str">
        <f t="shared" si="85"/>
        <v/>
      </c>
      <c r="M382" s="34" t="str">
        <f t="shared" si="76"/>
        <v/>
      </c>
      <c r="N382" s="34" t="str">
        <f t="shared" si="79"/>
        <v/>
      </c>
      <c r="O382" s="34" t="str">
        <f t="shared" si="80"/>
        <v/>
      </c>
      <c r="P382" s="34" t="str">
        <f t="shared" si="81"/>
        <v/>
      </c>
      <c r="Q382" s="34" t="str">
        <f t="shared" si="82"/>
        <v/>
      </c>
      <c r="R382" s="34" t="str">
        <f t="shared" si="83"/>
        <v/>
      </c>
      <c r="S382" s="34" t="str">
        <f t="shared" si="84"/>
        <v/>
      </c>
    </row>
    <row r="383" spans="12:19" x14ac:dyDescent="0.3">
      <c r="L383" s="34" t="str">
        <f t="shared" si="85"/>
        <v/>
      </c>
      <c r="M383" s="34" t="str">
        <f t="shared" si="76"/>
        <v/>
      </c>
      <c r="N383" s="34" t="str">
        <f t="shared" si="79"/>
        <v/>
      </c>
      <c r="O383" s="34" t="str">
        <f t="shared" si="80"/>
        <v/>
      </c>
      <c r="P383" s="34" t="str">
        <f t="shared" si="81"/>
        <v/>
      </c>
      <c r="Q383" s="34" t="str">
        <f t="shared" si="82"/>
        <v/>
      </c>
      <c r="R383" s="34" t="str">
        <f t="shared" si="83"/>
        <v/>
      </c>
      <c r="S383" s="34" t="str">
        <f t="shared" si="84"/>
        <v/>
      </c>
    </row>
    <row r="384" spans="12:19" x14ac:dyDescent="0.3">
      <c r="L384" s="34" t="str">
        <f t="shared" si="85"/>
        <v/>
      </c>
      <c r="M384" s="34" t="str">
        <f t="shared" si="76"/>
        <v/>
      </c>
      <c r="N384" s="34" t="str">
        <f t="shared" si="79"/>
        <v/>
      </c>
      <c r="O384" s="34" t="str">
        <f t="shared" si="80"/>
        <v/>
      </c>
      <c r="P384" s="34" t="str">
        <f t="shared" si="81"/>
        <v/>
      </c>
      <c r="Q384" s="34" t="str">
        <f t="shared" si="82"/>
        <v/>
      </c>
      <c r="R384" s="34" t="str">
        <f t="shared" si="83"/>
        <v/>
      </c>
      <c r="S384" s="34" t="str">
        <f t="shared" si="84"/>
        <v/>
      </c>
    </row>
    <row r="385" spans="12:19" x14ac:dyDescent="0.3">
      <c r="L385" s="34" t="str">
        <f t="shared" si="85"/>
        <v/>
      </c>
      <c r="M385" s="34" t="str">
        <f t="shared" si="76"/>
        <v/>
      </c>
      <c r="N385" s="34" t="str">
        <f t="shared" si="79"/>
        <v/>
      </c>
      <c r="O385" s="34" t="str">
        <f t="shared" si="80"/>
        <v/>
      </c>
      <c r="P385" s="34" t="str">
        <f t="shared" si="81"/>
        <v/>
      </c>
      <c r="Q385" s="34" t="str">
        <f t="shared" si="82"/>
        <v/>
      </c>
      <c r="R385" s="34" t="str">
        <f t="shared" si="83"/>
        <v/>
      </c>
      <c r="S385" s="34" t="str">
        <f t="shared" si="84"/>
        <v/>
      </c>
    </row>
    <row r="386" spans="12:19" x14ac:dyDescent="0.3">
      <c r="L386" s="34" t="str">
        <f t="shared" si="85"/>
        <v/>
      </c>
      <c r="M386" s="34" t="str">
        <f t="shared" si="76"/>
        <v/>
      </c>
      <c r="N386" s="34" t="str">
        <f t="shared" si="79"/>
        <v/>
      </c>
      <c r="O386" s="34" t="str">
        <f t="shared" si="80"/>
        <v/>
      </c>
      <c r="P386" s="34" t="str">
        <f t="shared" si="81"/>
        <v/>
      </c>
      <c r="Q386" s="34" t="str">
        <f t="shared" si="82"/>
        <v/>
      </c>
      <c r="R386" s="34" t="str">
        <f t="shared" si="83"/>
        <v/>
      </c>
      <c r="S386" s="34" t="str">
        <f t="shared" si="84"/>
        <v/>
      </c>
    </row>
    <row r="387" spans="12:19" x14ac:dyDescent="0.3">
      <c r="L387" s="34" t="str">
        <f t="shared" si="85"/>
        <v/>
      </c>
      <c r="M387" s="34" t="str">
        <f t="shared" si="76"/>
        <v/>
      </c>
      <c r="N387" s="34" t="str">
        <f t="shared" si="79"/>
        <v/>
      </c>
      <c r="O387" s="34" t="str">
        <f t="shared" si="80"/>
        <v/>
      </c>
      <c r="P387" s="34" t="str">
        <f t="shared" si="81"/>
        <v/>
      </c>
      <c r="Q387" s="34" t="str">
        <f t="shared" si="82"/>
        <v/>
      </c>
      <c r="R387" s="34" t="str">
        <f t="shared" si="83"/>
        <v/>
      </c>
      <c r="S387" s="34" t="str">
        <f t="shared" si="84"/>
        <v/>
      </c>
    </row>
    <row r="388" spans="12:19" x14ac:dyDescent="0.3">
      <c r="L388" s="34" t="str">
        <f t="shared" si="85"/>
        <v/>
      </c>
      <c r="M388" s="34" t="str">
        <f t="shared" si="76"/>
        <v/>
      </c>
      <c r="N388" s="34" t="str">
        <f t="shared" si="79"/>
        <v/>
      </c>
      <c r="O388" s="34" t="str">
        <f t="shared" si="80"/>
        <v/>
      </c>
      <c r="P388" s="34" t="str">
        <f t="shared" si="81"/>
        <v/>
      </c>
      <c r="Q388" s="34" t="str">
        <f t="shared" si="82"/>
        <v/>
      </c>
      <c r="R388" s="34" t="str">
        <f t="shared" si="83"/>
        <v/>
      </c>
      <c r="S388" s="34" t="str">
        <f t="shared" si="84"/>
        <v/>
      </c>
    </row>
    <row r="389" spans="12:19" x14ac:dyDescent="0.3">
      <c r="L389" s="34" t="str">
        <f t="shared" si="85"/>
        <v/>
      </c>
      <c r="M389" s="34" t="str">
        <f t="shared" ref="M389:M452" si="92">IF(AND(L389="s.csv",A389=1),ABS(1000/12/D389),"")</f>
        <v/>
      </c>
      <c r="N389" s="34" t="str">
        <f t="shared" si="79"/>
        <v/>
      </c>
      <c r="O389" s="34" t="str">
        <f t="shared" si="80"/>
        <v/>
      </c>
      <c r="P389" s="34" t="str">
        <f t="shared" si="81"/>
        <v/>
      </c>
      <c r="Q389" s="34" t="str">
        <f t="shared" si="82"/>
        <v/>
      </c>
      <c r="R389" s="34" t="str">
        <f t="shared" si="83"/>
        <v/>
      </c>
      <c r="S389" s="34" t="str">
        <f t="shared" si="84"/>
        <v/>
      </c>
    </row>
    <row r="390" spans="12:19" x14ac:dyDescent="0.3">
      <c r="L390" s="34" t="str">
        <f t="shared" si="85"/>
        <v/>
      </c>
      <c r="M390" s="34" t="str">
        <f t="shared" si="92"/>
        <v/>
      </c>
      <c r="N390" s="34" t="str">
        <f t="shared" si="79"/>
        <v/>
      </c>
      <c r="O390" s="34" t="str">
        <f t="shared" si="80"/>
        <v/>
      </c>
      <c r="P390" s="34" t="str">
        <f t="shared" si="81"/>
        <v/>
      </c>
      <c r="Q390" s="34" t="str">
        <f t="shared" si="82"/>
        <v/>
      </c>
      <c r="R390" s="34" t="str">
        <f t="shared" si="83"/>
        <v/>
      </c>
      <c r="S390" s="34" t="str">
        <f t="shared" si="84"/>
        <v/>
      </c>
    </row>
    <row r="391" spans="12:19" x14ac:dyDescent="0.3">
      <c r="L391" s="34" t="str">
        <f t="shared" si="85"/>
        <v/>
      </c>
      <c r="M391" s="34" t="str">
        <f t="shared" si="92"/>
        <v/>
      </c>
      <c r="N391" s="34" t="str">
        <f t="shared" si="79"/>
        <v/>
      </c>
      <c r="O391" s="34" t="str">
        <f t="shared" si="80"/>
        <v/>
      </c>
      <c r="P391" s="34" t="str">
        <f t="shared" si="81"/>
        <v/>
      </c>
      <c r="Q391" s="34" t="str">
        <f t="shared" si="82"/>
        <v/>
      </c>
      <c r="R391" s="34" t="str">
        <f t="shared" si="83"/>
        <v/>
      </c>
      <c r="S391" s="34" t="str">
        <f t="shared" si="84"/>
        <v/>
      </c>
    </row>
    <row r="392" spans="12:19" x14ac:dyDescent="0.3">
      <c r="M392" s="34" t="str">
        <f t="shared" si="92"/>
        <v/>
      </c>
      <c r="N392" s="34" t="str">
        <f t="shared" si="79"/>
        <v/>
      </c>
      <c r="O392" s="34" t="str">
        <f t="shared" si="80"/>
        <v/>
      </c>
      <c r="P392" s="34" t="str">
        <f t="shared" si="81"/>
        <v/>
      </c>
      <c r="Q392" s="34" t="str">
        <f t="shared" si="82"/>
        <v/>
      </c>
      <c r="R392" s="34" t="str">
        <f t="shared" si="83"/>
        <v/>
      </c>
      <c r="S392" s="34" t="str">
        <f t="shared" si="84"/>
        <v/>
      </c>
    </row>
    <row r="393" spans="12:19" x14ac:dyDescent="0.3">
      <c r="M393" s="34" t="str">
        <f t="shared" si="92"/>
        <v/>
      </c>
      <c r="N393" s="34" t="str">
        <f t="shared" si="79"/>
        <v/>
      </c>
      <c r="O393" s="34" t="str">
        <f t="shared" si="80"/>
        <v/>
      </c>
      <c r="P393" s="34" t="str">
        <f t="shared" si="81"/>
        <v/>
      </c>
      <c r="Q393" s="34" t="str">
        <f t="shared" si="82"/>
        <v/>
      </c>
      <c r="R393" s="34" t="str">
        <f t="shared" si="83"/>
        <v/>
      </c>
      <c r="S393" s="34" t="str">
        <f t="shared" si="84"/>
        <v/>
      </c>
    </row>
    <row r="394" spans="12:19" x14ac:dyDescent="0.3">
      <c r="L394" s="34" t="str">
        <f t="shared" ref="L394" si="93">RIGHT(A394,5)</f>
        <v/>
      </c>
      <c r="M394" s="34" t="str">
        <f t="shared" si="92"/>
        <v/>
      </c>
      <c r="N394" s="34" t="str">
        <f t="shared" si="79"/>
        <v/>
      </c>
      <c r="O394" s="34" t="str">
        <f t="shared" si="80"/>
        <v/>
      </c>
      <c r="P394" s="34" t="str">
        <f t="shared" si="81"/>
        <v/>
      </c>
      <c r="Q394" s="34" t="str">
        <f t="shared" si="82"/>
        <v/>
      </c>
      <c r="R394" s="34" t="str">
        <f t="shared" si="83"/>
        <v/>
      </c>
      <c r="S394" s="34" t="str">
        <f t="shared" si="84"/>
        <v/>
      </c>
    </row>
    <row r="395" spans="12:19" x14ac:dyDescent="0.3">
      <c r="L395" s="34" t="str">
        <f t="shared" ref="L395" si="94">L394</f>
        <v/>
      </c>
      <c r="M395" s="34" t="str">
        <f t="shared" si="92"/>
        <v/>
      </c>
      <c r="N395" s="34" t="str">
        <f t="shared" si="79"/>
        <v/>
      </c>
      <c r="O395" s="34" t="str">
        <f t="shared" si="80"/>
        <v/>
      </c>
      <c r="P395" s="34" t="str">
        <f t="shared" si="81"/>
        <v/>
      </c>
      <c r="Q395" s="34" t="str">
        <f t="shared" si="82"/>
        <v/>
      </c>
      <c r="R395" s="34" t="str">
        <f t="shared" si="83"/>
        <v/>
      </c>
      <c r="S395" s="34" t="str">
        <f t="shared" si="84"/>
        <v/>
      </c>
    </row>
    <row r="396" spans="12:19" x14ac:dyDescent="0.3">
      <c r="L396" s="34" t="str">
        <f t="shared" si="85"/>
        <v/>
      </c>
      <c r="M396" s="34" t="str">
        <f t="shared" si="92"/>
        <v/>
      </c>
      <c r="N396" s="34" t="str">
        <f t="shared" ref="N396:N459" si="95">IF(AND(OR($L396="l.csv",$L396="g.csv"),$E396&gt;4),F396,"")</f>
        <v/>
      </c>
      <c r="O396" s="34" t="str">
        <f t="shared" ref="O396:O459" si="96">IF(AND(OR($L396="l.csv",$L396="g.csv"),$E396&gt;4),G396,"")</f>
        <v/>
      </c>
      <c r="P396" s="34" t="str">
        <f t="shared" ref="P396:P459" si="97">IF(AND(OR($L396="l.csv",$L396="g.csv"),$E396&gt;4),H396,"")</f>
        <v/>
      </c>
      <c r="Q396" s="34" t="str">
        <f t="shared" ref="Q396:Q459" si="98">IF(AND(OR($L396="l.csv",$L396="g.csv"),$E396&gt;4),I396,"")</f>
        <v/>
      </c>
      <c r="R396" s="34" t="str">
        <f t="shared" ref="R396:R459" si="99">IF(AND(OR($L396="l.csv",$L396="g.csv"),$E396&gt;4),J396,"")</f>
        <v/>
      </c>
      <c r="S396" s="34" t="str">
        <f t="shared" ref="S396:S459" si="100">IF(AND(OR($L396="l.csv",$L396="g.csv"),$E396&gt;4),K396,"")</f>
        <v/>
      </c>
    </row>
    <row r="397" spans="12:19" x14ac:dyDescent="0.3">
      <c r="L397" s="34" t="str">
        <f t="shared" si="85"/>
        <v/>
      </c>
      <c r="M397" s="34" t="str">
        <f t="shared" si="92"/>
        <v/>
      </c>
      <c r="N397" s="34" t="str">
        <f t="shared" si="95"/>
        <v/>
      </c>
      <c r="O397" s="34" t="str">
        <f t="shared" si="96"/>
        <v/>
      </c>
      <c r="P397" s="34" t="str">
        <f t="shared" si="97"/>
        <v/>
      </c>
      <c r="Q397" s="34" t="str">
        <f t="shared" si="98"/>
        <v/>
      </c>
      <c r="R397" s="34" t="str">
        <f t="shared" si="99"/>
        <v/>
      </c>
      <c r="S397" s="34" t="str">
        <f t="shared" si="100"/>
        <v/>
      </c>
    </row>
    <row r="398" spans="12:19" x14ac:dyDescent="0.3">
      <c r="L398" s="34" t="str">
        <f t="shared" si="85"/>
        <v/>
      </c>
      <c r="M398" s="34" t="str">
        <f t="shared" si="92"/>
        <v/>
      </c>
      <c r="N398" s="34" t="str">
        <f t="shared" si="95"/>
        <v/>
      </c>
      <c r="O398" s="34" t="str">
        <f t="shared" si="96"/>
        <v/>
      </c>
      <c r="P398" s="34" t="str">
        <f t="shared" si="97"/>
        <v/>
      </c>
      <c r="Q398" s="34" t="str">
        <f t="shared" si="98"/>
        <v/>
      </c>
      <c r="R398" s="34" t="str">
        <f t="shared" si="99"/>
        <v/>
      </c>
      <c r="S398" s="34" t="str">
        <f t="shared" si="100"/>
        <v/>
      </c>
    </row>
    <row r="399" spans="12:19" x14ac:dyDescent="0.3">
      <c r="L399" s="34" t="str">
        <f t="shared" si="85"/>
        <v/>
      </c>
      <c r="M399" s="34" t="str">
        <f t="shared" si="92"/>
        <v/>
      </c>
      <c r="N399" s="34" t="str">
        <f t="shared" si="95"/>
        <v/>
      </c>
      <c r="O399" s="34" t="str">
        <f t="shared" si="96"/>
        <v/>
      </c>
      <c r="P399" s="34" t="str">
        <f t="shared" si="97"/>
        <v/>
      </c>
      <c r="Q399" s="34" t="str">
        <f t="shared" si="98"/>
        <v/>
      </c>
      <c r="R399" s="34" t="str">
        <f t="shared" si="99"/>
        <v/>
      </c>
      <c r="S399" s="34" t="str">
        <f t="shared" si="100"/>
        <v/>
      </c>
    </row>
    <row r="400" spans="12:19" x14ac:dyDescent="0.3">
      <c r="L400" s="34" t="str">
        <f t="shared" si="85"/>
        <v/>
      </c>
      <c r="M400" s="34" t="str">
        <f t="shared" si="92"/>
        <v/>
      </c>
      <c r="N400" s="34" t="str">
        <f t="shared" si="95"/>
        <v/>
      </c>
      <c r="O400" s="34" t="str">
        <f t="shared" si="96"/>
        <v/>
      </c>
      <c r="P400" s="34" t="str">
        <f t="shared" si="97"/>
        <v/>
      </c>
      <c r="Q400" s="34" t="str">
        <f t="shared" si="98"/>
        <v/>
      </c>
      <c r="R400" s="34" t="str">
        <f t="shared" si="99"/>
        <v/>
      </c>
      <c r="S400" s="34" t="str">
        <f t="shared" si="100"/>
        <v/>
      </c>
    </row>
    <row r="401" spans="12:19" x14ac:dyDescent="0.3">
      <c r="L401" s="34" t="str">
        <f t="shared" si="85"/>
        <v/>
      </c>
      <c r="M401" s="34" t="str">
        <f t="shared" si="92"/>
        <v/>
      </c>
      <c r="N401" s="34" t="str">
        <f t="shared" si="95"/>
        <v/>
      </c>
      <c r="O401" s="34" t="str">
        <f t="shared" si="96"/>
        <v/>
      </c>
      <c r="P401" s="34" t="str">
        <f t="shared" si="97"/>
        <v/>
      </c>
      <c r="Q401" s="34" t="str">
        <f t="shared" si="98"/>
        <v/>
      </c>
      <c r="R401" s="34" t="str">
        <f t="shared" si="99"/>
        <v/>
      </c>
      <c r="S401" s="34" t="str">
        <f t="shared" si="100"/>
        <v/>
      </c>
    </row>
    <row r="402" spans="12:19" x14ac:dyDescent="0.3">
      <c r="L402" s="34" t="str">
        <f t="shared" si="85"/>
        <v/>
      </c>
      <c r="M402" s="34" t="str">
        <f t="shared" si="92"/>
        <v/>
      </c>
      <c r="N402" s="34" t="str">
        <f t="shared" si="95"/>
        <v/>
      </c>
      <c r="O402" s="34" t="str">
        <f t="shared" si="96"/>
        <v/>
      </c>
      <c r="P402" s="34" t="str">
        <f t="shared" si="97"/>
        <v/>
      </c>
      <c r="Q402" s="34" t="str">
        <f t="shared" si="98"/>
        <v/>
      </c>
      <c r="R402" s="34" t="str">
        <f t="shared" si="99"/>
        <v/>
      </c>
      <c r="S402" s="34" t="str">
        <f t="shared" si="100"/>
        <v/>
      </c>
    </row>
    <row r="403" spans="12:19" x14ac:dyDescent="0.3">
      <c r="L403" s="34" t="str">
        <f t="shared" si="85"/>
        <v/>
      </c>
      <c r="M403" s="34" t="str">
        <f t="shared" si="92"/>
        <v/>
      </c>
      <c r="N403" s="34" t="str">
        <f t="shared" si="95"/>
        <v/>
      </c>
      <c r="O403" s="34" t="str">
        <f t="shared" si="96"/>
        <v/>
      </c>
      <c r="P403" s="34" t="str">
        <f t="shared" si="97"/>
        <v/>
      </c>
      <c r="Q403" s="34" t="str">
        <f t="shared" si="98"/>
        <v/>
      </c>
      <c r="R403" s="34" t="str">
        <f t="shared" si="99"/>
        <v/>
      </c>
      <c r="S403" s="34" t="str">
        <f t="shared" si="100"/>
        <v/>
      </c>
    </row>
    <row r="404" spans="12:19" x14ac:dyDescent="0.3">
      <c r="L404" s="34" t="str">
        <f t="shared" ref="L404:L467" si="101">L403</f>
        <v/>
      </c>
      <c r="M404" s="34" t="str">
        <f t="shared" si="92"/>
        <v/>
      </c>
      <c r="N404" s="34" t="str">
        <f t="shared" si="95"/>
        <v/>
      </c>
      <c r="O404" s="34" t="str">
        <f t="shared" si="96"/>
        <v/>
      </c>
      <c r="P404" s="34" t="str">
        <f t="shared" si="97"/>
        <v/>
      </c>
      <c r="Q404" s="34" t="str">
        <f t="shared" si="98"/>
        <v/>
      </c>
      <c r="R404" s="34" t="str">
        <f t="shared" si="99"/>
        <v/>
      </c>
      <c r="S404" s="34" t="str">
        <f t="shared" si="100"/>
        <v/>
      </c>
    </row>
    <row r="405" spans="12:19" x14ac:dyDescent="0.3">
      <c r="L405" s="34" t="str">
        <f t="shared" si="101"/>
        <v/>
      </c>
      <c r="M405" s="34" t="str">
        <f t="shared" si="92"/>
        <v/>
      </c>
      <c r="N405" s="34" t="str">
        <f t="shared" si="95"/>
        <v/>
      </c>
      <c r="O405" s="34" t="str">
        <f t="shared" si="96"/>
        <v/>
      </c>
      <c r="P405" s="34" t="str">
        <f t="shared" si="97"/>
        <v/>
      </c>
      <c r="Q405" s="34" t="str">
        <f t="shared" si="98"/>
        <v/>
      </c>
      <c r="R405" s="34" t="str">
        <f t="shared" si="99"/>
        <v/>
      </c>
      <c r="S405" s="34" t="str">
        <f t="shared" si="100"/>
        <v/>
      </c>
    </row>
    <row r="406" spans="12:19" x14ac:dyDescent="0.3">
      <c r="L406" s="34" t="str">
        <f t="shared" si="101"/>
        <v/>
      </c>
      <c r="M406" s="34" t="str">
        <f t="shared" si="92"/>
        <v/>
      </c>
      <c r="N406" s="34" t="str">
        <f t="shared" si="95"/>
        <v/>
      </c>
      <c r="O406" s="34" t="str">
        <f t="shared" si="96"/>
        <v/>
      </c>
      <c r="P406" s="34" t="str">
        <f t="shared" si="97"/>
        <v/>
      </c>
      <c r="Q406" s="34" t="str">
        <f t="shared" si="98"/>
        <v/>
      </c>
      <c r="R406" s="34" t="str">
        <f t="shared" si="99"/>
        <v/>
      </c>
      <c r="S406" s="34" t="str">
        <f t="shared" si="100"/>
        <v/>
      </c>
    </row>
    <row r="407" spans="12:19" x14ac:dyDescent="0.3">
      <c r="L407" s="34" t="str">
        <f t="shared" si="101"/>
        <v/>
      </c>
      <c r="M407" s="34" t="str">
        <f t="shared" si="92"/>
        <v/>
      </c>
      <c r="N407" s="34" t="str">
        <f t="shared" si="95"/>
        <v/>
      </c>
      <c r="O407" s="34" t="str">
        <f t="shared" si="96"/>
        <v/>
      </c>
      <c r="P407" s="34" t="str">
        <f t="shared" si="97"/>
        <v/>
      </c>
      <c r="Q407" s="34" t="str">
        <f t="shared" si="98"/>
        <v/>
      </c>
      <c r="R407" s="34" t="str">
        <f t="shared" si="99"/>
        <v/>
      </c>
      <c r="S407" s="34" t="str">
        <f t="shared" si="100"/>
        <v/>
      </c>
    </row>
    <row r="408" spans="12:19" x14ac:dyDescent="0.3">
      <c r="L408" s="34" t="str">
        <f t="shared" si="101"/>
        <v/>
      </c>
      <c r="M408" s="34" t="str">
        <f t="shared" si="92"/>
        <v/>
      </c>
      <c r="N408" s="34" t="str">
        <f t="shared" si="95"/>
        <v/>
      </c>
      <c r="O408" s="34" t="str">
        <f t="shared" si="96"/>
        <v/>
      </c>
      <c r="P408" s="34" t="str">
        <f t="shared" si="97"/>
        <v/>
      </c>
      <c r="Q408" s="34" t="str">
        <f t="shared" si="98"/>
        <v/>
      </c>
      <c r="R408" s="34" t="str">
        <f t="shared" si="99"/>
        <v/>
      </c>
      <c r="S408" s="34" t="str">
        <f t="shared" si="100"/>
        <v/>
      </c>
    </row>
    <row r="409" spans="12:19" x14ac:dyDescent="0.3">
      <c r="M409" s="34" t="str">
        <f t="shared" si="92"/>
        <v/>
      </c>
      <c r="N409" s="34" t="str">
        <f t="shared" si="95"/>
        <v/>
      </c>
      <c r="O409" s="34" t="str">
        <f t="shared" si="96"/>
        <v/>
      </c>
      <c r="P409" s="34" t="str">
        <f t="shared" si="97"/>
        <v/>
      </c>
      <c r="Q409" s="34" t="str">
        <f t="shared" si="98"/>
        <v/>
      </c>
      <c r="R409" s="34" t="str">
        <f t="shared" si="99"/>
        <v/>
      </c>
      <c r="S409" s="34" t="str">
        <f t="shared" si="100"/>
        <v/>
      </c>
    </row>
    <row r="410" spans="12:19" x14ac:dyDescent="0.3">
      <c r="M410" s="34" t="str">
        <f t="shared" si="92"/>
        <v/>
      </c>
      <c r="N410" s="34" t="str">
        <f t="shared" si="95"/>
        <v/>
      </c>
      <c r="O410" s="34" t="str">
        <f t="shared" si="96"/>
        <v/>
      </c>
      <c r="P410" s="34" t="str">
        <f t="shared" si="97"/>
        <v/>
      </c>
      <c r="Q410" s="34" t="str">
        <f t="shared" si="98"/>
        <v/>
      </c>
      <c r="R410" s="34" t="str">
        <f t="shared" si="99"/>
        <v/>
      </c>
      <c r="S410" s="34" t="str">
        <f t="shared" si="100"/>
        <v/>
      </c>
    </row>
    <row r="411" spans="12:19" x14ac:dyDescent="0.3">
      <c r="L411" s="34" t="str">
        <f t="shared" ref="L411" si="102">RIGHT(A411,5)</f>
        <v/>
      </c>
      <c r="M411" s="34" t="str">
        <f t="shared" si="92"/>
        <v/>
      </c>
      <c r="N411" s="34" t="str">
        <f t="shared" si="95"/>
        <v/>
      </c>
      <c r="O411" s="34" t="str">
        <f t="shared" si="96"/>
        <v/>
      </c>
      <c r="P411" s="34" t="str">
        <f t="shared" si="97"/>
        <v/>
      </c>
      <c r="Q411" s="34" t="str">
        <f t="shared" si="98"/>
        <v/>
      </c>
      <c r="R411" s="34" t="str">
        <f t="shared" si="99"/>
        <v/>
      </c>
      <c r="S411" s="34" t="str">
        <f t="shared" si="100"/>
        <v/>
      </c>
    </row>
    <row r="412" spans="12:19" x14ac:dyDescent="0.3">
      <c r="L412" s="34" t="str">
        <f t="shared" ref="L412" si="103">L411</f>
        <v/>
      </c>
      <c r="M412" s="34" t="str">
        <f t="shared" si="92"/>
        <v/>
      </c>
      <c r="N412" s="34" t="str">
        <f t="shared" si="95"/>
        <v/>
      </c>
      <c r="O412" s="34" t="str">
        <f t="shared" si="96"/>
        <v/>
      </c>
      <c r="P412" s="34" t="str">
        <f t="shared" si="97"/>
        <v/>
      </c>
      <c r="Q412" s="34" t="str">
        <f t="shared" si="98"/>
        <v/>
      </c>
      <c r="R412" s="34" t="str">
        <f t="shared" si="99"/>
        <v/>
      </c>
      <c r="S412" s="34" t="str">
        <f t="shared" si="100"/>
        <v/>
      </c>
    </row>
    <row r="413" spans="12:19" x14ac:dyDescent="0.3">
      <c r="L413" s="34" t="str">
        <f t="shared" si="101"/>
        <v/>
      </c>
      <c r="M413" s="34" t="str">
        <f t="shared" si="92"/>
        <v/>
      </c>
      <c r="N413" s="34" t="str">
        <f t="shared" si="95"/>
        <v/>
      </c>
      <c r="O413" s="34" t="str">
        <f t="shared" si="96"/>
        <v/>
      </c>
      <c r="P413" s="34" t="str">
        <f t="shared" si="97"/>
        <v/>
      </c>
      <c r="Q413" s="34" t="str">
        <f t="shared" si="98"/>
        <v/>
      </c>
      <c r="R413" s="34" t="str">
        <f t="shared" si="99"/>
        <v/>
      </c>
      <c r="S413" s="34" t="str">
        <f t="shared" si="100"/>
        <v/>
      </c>
    </row>
    <row r="414" spans="12:19" x14ac:dyDescent="0.3">
      <c r="L414" s="34" t="str">
        <f t="shared" si="101"/>
        <v/>
      </c>
      <c r="M414" s="34" t="str">
        <f t="shared" si="92"/>
        <v/>
      </c>
      <c r="N414" s="34" t="str">
        <f t="shared" si="95"/>
        <v/>
      </c>
      <c r="O414" s="34" t="str">
        <f t="shared" si="96"/>
        <v/>
      </c>
      <c r="P414" s="34" t="str">
        <f t="shared" si="97"/>
        <v/>
      </c>
      <c r="Q414" s="34" t="str">
        <f t="shared" si="98"/>
        <v/>
      </c>
      <c r="R414" s="34" t="str">
        <f t="shared" si="99"/>
        <v/>
      </c>
      <c r="S414" s="34" t="str">
        <f t="shared" si="100"/>
        <v/>
      </c>
    </row>
    <row r="415" spans="12:19" x14ac:dyDescent="0.3">
      <c r="L415" s="34" t="str">
        <f t="shared" si="101"/>
        <v/>
      </c>
      <c r="M415" s="34" t="str">
        <f t="shared" si="92"/>
        <v/>
      </c>
      <c r="N415" s="34" t="str">
        <f t="shared" si="95"/>
        <v/>
      </c>
      <c r="O415" s="34" t="str">
        <f t="shared" si="96"/>
        <v/>
      </c>
      <c r="P415" s="34" t="str">
        <f t="shared" si="97"/>
        <v/>
      </c>
      <c r="Q415" s="34" t="str">
        <f t="shared" si="98"/>
        <v/>
      </c>
      <c r="R415" s="34" t="str">
        <f t="shared" si="99"/>
        <v/>
      </c>
      <c r="S415" s="34" t="str">
        <f t="shared" si="100"/>
        <v/>
      </c>
    </row>
    <row r="416" spans="12:19" x14ac:dyDescent="0.3">
      <c r="L416" s="34" t="str">
        <f t="shared" si="101"/>
        <v/>
      </c>
      <c r="M416" s="34" t="str">
        <f t="shared" si="92"/>
        <v/>
      </c>
      <c r="N416" s="34" t="str">
        <f t="shared" si="95"/>
        <v/>
      </c>
      <c r="O416" s="34" t="str">
        <f t="shared" si="96"/>
        <v/>
      </c>
      <c r="P416" s="34" t="str">
        <f t="shared" si="97"/>
        <v/>
      </c>
      <c r="Q416" s="34" t="str">
        <f t="shared" si="98"/>
        <v/>
      </c>
      <c r="R416" s="34" t="str">
        <f t="shared" si="99"/>
        <v/>
      </c>
      <c r="S416" s="34" t="str">
        <f t="shared" si="100"/>
        <v/>
      </c>
    </row>
    <row r="417" spans="12:19" x14ac:dyDescent="0.3">
      <c r="L417" s="34" t="str">
        <f t="shared" si="101"/>
        <v/>
      </c>
      <c r="M417" s="34" t="str">
        <f t="shared" si="92"/>
        <v/>
      </c>
      <c r="N417" s="34" t="str">
        <f t="shared" si="95"/>
        <v/>
      </c>
      <c r="O417" s="34" t="str">
        <f t="shared" si="96"/>
        <v/>
      </c>
      <c r="P417" s="34" t="str">
        <f t="shared" si="97"/>
        <v/>
      </c>
      <c r="Q417" s="34" t="str">
        <f t="shared" si="98"/>
        <v/>
      </c>
      <c r="R417" s="34" t="str">
        <f t="shared" si="99"/>
        <v/>
      </c>
      <c r="S417" s="34" t="str">
        <f t="shared" si="100"/>
        <v/>
      </c>
    </row>
    <row r="418" spans="12:19" x14ac:dyDescent="0.3">
      <c r="L418" s="34" t="str">
        <f t="shared" si="101"/>
        <v/>
      </c>
      <c r="M418" s="34" t="str">
        <f t="shared" si="92"/>
        <v/>
      </c>
      <c r="N418" s="34" t="str">
        <f t="shared" si="95"/>
        <v/>
      </c>
      <c r="O418" s="34" t="str">
        <f t="shared" si="96"/>
        <v/>
      </c>
      <c r="P418" s="34" t="str">
        <f t="shared" si="97"/>
        <v/>
      </c>
      <c r="Q418" s="34" t="str">
        <f t="shared" si="98"/>
        <v/>
      </c>
      <c r="R418" s="34" t="str">
        <f t="shared" si="99"/>
        <v/>
      </c>
      <c r="S418" s="34" t="str">
        <f t="shared" si="100"/>
        <v/>
      </c>
    </row>
    <row r="419" spans="12:19" x14ac:dyDescent="0.3">
      <c r="L419" s="34" t="str">
        <f t="shared" si="101"/>
        <v/>
      </c>
      <c r="M419" s="34" t="str">
        <f t="shared" si="92"/>
        <v/>
      </c>
      <c r="N419" s="34" t="str">
        <f t="shared" si="95"/>
        <v/>
      </c>
      <c r="O419" s="34" t="str">
        <f t="shared" si="96"/>
        <v/>
      </c>
      <c r="P419" s="34" t="str">
        <f t="shared" si="97"/>
        <v/>
      </c>
      <c r="Q419" s="34" t="str">
        <f t="shared" si="98"/>
        <v/>
      </c>
      <c r="R419" s="34" t="str">
        <f t="shared" si="99"/>
        <v/>
      </c>
      <c r="S419" s="34" t="str">
        <f t="shared" si="100"/>
        <v/>
      </c>
    </row>
    <row r="420" spans="12:19" x14ac:dyDescent="0.3">
      <c r="L420" s="34" t="str">
        <f t="shared" si="101"/>
        <v/>
      </c>
      <c r="M420" s="34" t="str">
        <f t="shared" si="92"/>
        <v/>
      </c>
      <c r="N420" s="34" t="str">
        <f t="shared" si="95"/>
        <v/>
      </c>
      <c r="O420" s="34" t="str">
        <f t="shared" si="96"/>
        <v/>
      </c>
      <c r="P420" s="34" t="str">
        <f t="shared" si="97"/>
        <v/>
      </c>
      <c r="Q420" s="34" t="str">
        <f t="shared" si="98"/>
        <v/>
      </c>
      <c r="R420" s="34" t="str">
        <f t="shared" si="99"/>
        <v/>
      </c>
      <c r="S420" s="34" t="str">
        <f t="shared" si="100"/>
        <v/>
      </c>
    </row>
    <row r="421" spans="12:19" x14ac:dyDescent="0.3">
      <c r="L421" s="34" t="str">
        <f t="shared" si="101"/>
        <v/>
      </c>
      <c r="M421" s="34" t="str">
        <f t="shared" si="92"/>
        <v/>
      </c>
      <c r="N421" s="34" t="str">
        <f t="shared" si="95"/>
        <v/>
      </c>
      <c r="O421" s="34" t="str">
        <f t="shared" si="96"/>
        <v/>
      </c>
      <c r="P421" s="34" t="str">
        <f t="shared" si="97"/>
        <v/>
      </c>
      <c r="Q421" s="34" t="str">
        <f t="shared" si="98"/>
        <v/>
      </c>
      <c r="R421" s="34" t="str">
        <f t="shared" si="99"/>
        <v/>
      </c>
      <c r="S421" s="34" t="str">
        <f t="shared" si="100"/>
        <v/>
      </c>
    </row>
    <row r="422" spans="12:19" x14ac:dyDescent="0.3">
      <c r="L422" s="34" t="str">
        <f t="shared" si="101"/>
        <v/>
      </c>
      <c r="M422" s="34" t="str">
        <f t="shared" si="92"/>
        <v/>
      </c>
      <c r="N422" s="34" t="str">
        <f t="shared" si="95"/>
        <v/>
      </c>
      <c r="O422" s="34" t="str">
        <f t="shared" si="96"/>
        <v/>
      </c>
      <c r="P422" s="34" t="str">
        <f t="shared" si="97"/>
        <v/>
      </c>
      <c r="Q422" s="34" t="str">
        <f t="shared" si="98"/>
        <v/>
      </c>
      <c r="R422" s="34" t="str">
        <f t="shared" si="99"/>
        <v/>
      </c>
      <c r="S422" s="34" t="str">
        <f t="shared" si="100"/>
        <v/>
      </c>
    </row>
    <row r="423" spans="12:19" x14ac:dyDescent="0.3">
      <c r="L423" s="34" t="str">
        <f t="shared" si="101"/>
        <v/>
      </c>
      <c r="M423" s="34" t="str">
        <f t="shared" si="92"/>
        <v/>
      </c>
      <c r="N423" s="34" t="str">
        <f t="shared" si="95"/>
        <v/>
      </c>
      <c r="O423" s="34" t="str">
        <f t="shared" si="96"/>
        <v/>
      </c>
      <c r="P423" s="34" t="str">
        <f t="shared" si="97"/>
        <v/>
      </c>
      <c r="Q423" s="34" t="str">
        <f t="shared" si="98"/>
        <v/>
      </c>
      <c r="R423" s="34" t="str">
        <f t="shared" si="99"/>
        <v/>
      </c>
      <c r="S423" s="34" t="str">
        <f t="shared" si="100"/>
        <v/>
      </c>
    </row>
    <row r="424" spans="12:19" x14ac:dyDescent="0.3">
      <c r="L424" s="34" t="str">
        <f t="shared" si="101"/>
        <v/>
      </c>
      <c r="M424" s="34" t="str">
        <f t="shared" si="92"/>
        <v/>
      </c>
      <c r="N424" s="34" t="str">
        <f t="shared" si="95"/>
        <v/>
      </c>
      <c r="O424" s="34" t="str">
        <f t="shared" si="96"/>
        <v/>
      </c>
      <c r="P424" s="34" t="str">
        <f t="shared" si="97"/>
        <v/>
      </c>
      <c r="Q424" s="34" t="str">
        <f t="shared" si="98"/>
        <v/>
      </c>
      <c r="R424" s="34" t="str">
        <f t="shared" si="99"/>
        <v/>
      </c>
      <c r="S424" s="34" t="str">
        <f t="shared" si="100"/>
        <v/>
      </c>
    </row>
    <row r="425" spans="12:19" x14ac:dyDescent="0.3">
      <c r="L425" s="34" t="str">
        <f t="shared" si="101"/>
        <v/>
      </c>
      <c r="M425" s="34" t="str">
        <f t="shared" si="92"/>
        <v/>
      </c>
      <c r="N425" s="34" t="str">
        <f t="shared" si="95"/>
        <v/>
      </c>
      <c r="O425" s="34" t="str">
        <f t="shared" si="96"/>
        <v/>
      </c>
      <c r="P425" s="34" t="str">
        <f t="shared" si="97"/>
        <v/>
      </c>
      <c r="Q425" s="34" t="str">
        <f t="shared" si="98"/>
        <v/>
      </c>
      <c r="R425" s="34" t="str">
        <f t="shared" si="99"/>
        <v/>
      </c>
      <c r="S425" s="34" t="str">
        <f t="shared" si="100"/>
        <v/>
      </c>
    </row>
    <row r="426" spans="12:19" x14ac:dyDescent="0.3">
      <c r="M426" s="34" t="str">
        <f t="shared" si="92"/>
        <v/>
      </c>
      <c r="N426" s="34" t="str">
        <f t="shared" si="95"/>
        <v/>
      </c>
      <c r="O426" s="34" t="str">
        <f t="shared" si="96"/>
        <v/>
      </c>
      <c r="P426" s="34" t="str">
        <f t="shared" si="97"/>
        <v/>
      </c>
      <c r="Q426" s="34" t="str">
        <f t="shared" si="98"/>
        <v/>
      </c>
      <c r="R426" s="34" t="str">
        <f t="shared" si="99"/>
        <v/>
      </c>
      <c r="S426" s="34" t="str">
        <f t="shared" si="100"/>
        <v/>
      </c>
    </row>
    <row r="427" spans="12:19" x14ac:dyDescent="0.3">
      <c r="M427" s="34" t="str">
        <f t="shared" si="92"/>
        <v/>
      </c>
      <c r="N427" s="34" t="str">
        <f t="shared" si="95"/>
        <v/>
      </c>
      <c r="O427" s="34" t="str">
        <f t="shared" si="96"/>
        <v/>
      </c>
      <c r="P427" s="34" t="str">
        <f t="shared" si="97"/>
        <v/>
      </c>
      <c r="Q427" s="34" t="str">
        <f t="shared" si="98"/>
        <v/>
      </c>
      <c r="R427" s="34" t="str">
        <f t="shared" si="99"/>
        <v/>
      </c>
      <c r="S427" s="34" t="str">
        <f t="shared" si="100"/>
        <v/>
      </c>
    </row>
    <row r="428" spans="12:19" x14ac:dyDescent="0.3">
      <c r="L428" s="34" t="str">
        <f t="shared" ref="L428" si="104">RIGHT(A428,5)</f>
        <v/>
      </c>
      <c r="M428" s="34" t="str">
        <f t="shared" si="92"/>
        <v/>
      </c>
      <c r="N428" s="34" t="str">
        <f t="shared" si="95"/>
        <v/>
      </c>
      <c r="O428" s="34" t="str">
        <f t="shared" si="96"/>
        <v/>
      </c>
      <c r="P428" s="34" t="str">
        <f t="shared" si="97"/>
        <v/>
      </c>
      <c r="Q428" s="34" t="str">
        <f t="shared" si="98"/>
        <v/>
      </c>
      <c r="R428" s="34" t="str">
        <f t="shared" si="99"/>
        <v/>
      </c>
      <c r="S428" s="34" t="str">
        <f t="shared" si="100"/>
        <v/>
      </c>
    </row>
    <row r="429" spans="12:19" x14ac:dyDescent="0.3">
      <c r="L429" s="34" t="str">
        <f t="shared" ref="L429" si="105">L428</f>
        <v/>
      </c>
      <c r="M429" s="34" t="str">
        <f t="shared" si="92"/>
        <v/>
      </c>
      <c r="N429" s="34" t="str">
        <f t="shared" si="95"/>
        <v/>
      </c>
      <c r="O429" s="34" t="str">
        <f t="shared" si="96"/>
        <v/>
      </c>
      <c r="P429" s="34" t="str">
        <f t="shared" si="97"/>
        <v/>
      </c>
      <c r="Q429" s="34" t="str">
        <f t="shared" si="98"/>
        <v/>
      </c>
      <c r="R429" s="34" t="str">
        <f t="shared" si="99"/>
        <v/>
      </c>
      <c r="S429" s="34" t="str">
        <f t="shared" si="100"/>
        <v/>
      </c>
    </row>
    <row r="430" spans="12:19" x14ac:dyDescent="0.3">
      <c r="L430" s="34" t="str">
        <f t="shared" si="101"/>
        <v/>
      </c>
      <c r="M430" s="34" t="str">
        <f t="shared" si="92"/>
        <v/>
      </c>
      <c r="N430" s="34" t="str">
        <f t="shared" si="95"/>
        <v/>
      </c>
      <c r="O430" s="34" t="str">
        <f t="shared" si="96"/>
        <v/>
      </c>
      <c r="P430" s="34" t="str">
        <f t="shared" si="97"/>
        <v/>
      </c>
      <c r="Q430" s="34" t="str">
        <f t="shared" si="98"/>
        <v/>
      </c>
      <c r="R430" s="34" t="str">
        <f t="shared" si="99"/>
        <v/>
      </c>
      <c r="S430" s="34" t="str">
        <f t="shared" si="100"/>
        <v/>
      </c>
    </row>
    <row r="431" spans="12:19" x14ac:dyDescent="0.3">
      <c r="L431" s="34" t="str">
        <f t="shared" si="101"/>
        <v/>
      </c>
      <c r="M431" s="34" t="str">
        <f t="shared" si="92"/>
        <v/>
      </c>
      <c r="N431" s="34" t="str">
        <f t="shared" si="95"/>
        <v/>
      </c>
      <c r="O431" s="34" t="str">
        <f t="shared" si="96"/>
        <v/>
      </c>
      <c r="P431" s="34" t="str">
        <f t="shared" si="97"/>
        <v/>
      </c>
      <c r="Q431" s="34" t="str">
        <f t="shared" si="98"/>
        <v/>
      </c>
      <c r="R431" s="34" t="str">
        <f t="shared" si="99"/>
        <v/>
      </c>
      <c r="S431" s="34" t="str">
        <f t="shared" si="100"/>
        <v/>
      </c>
    </row>
    <row r="432" spans="12:19" x14ac:dyDescent="0.3">
      <c r="L432" s="34" t="str">
        <f t="shared" si="101"/>
        <v/>
      </c>
      <c r="M432" s="34" t="str">
        <f t="shared" si="92"/>
        <v/>
      </c>
      <c r="N432" s="34" t="str">
        <f t="shared" si="95"/>
        <v/>
      </c>
      <c r="O432" s="34" t="str">
        <f t="shared" si="96"/>
        <v/>
      </c>
      <c r="P432" s="34" t="str">
        <f t="shared" si="97"/>
        <v/>
      </c>
      <c r="Q432" s="34" t="str">
        <f t="shared" si="98"/>
        <v/>
      </c>
      <c r="R432" s="34" t="str">
        <f t="shared" si="99"/>
        <v/>
      </c>
      <c r="S432" s="34" t="str">
        <f t="shared" si="100"/>
        <v/>
      </c>
    </row>
    <row r="433" spans="12:19" x14ac:dyDescent="0.3">
      <c r="L433" s="34" t="str">
        <f t="shared" si="101"/>
        <v/>
      </c>
      <c r="M433" s="34" t="str">
        <f t="shared" si="92"/>
        <v/>
      </c>
      <c r="N433" s="34" t="str">
        <f t="shared" si="95"/>
        <v/>
      </c>
      <c r="O433" s="34" t="str">
        <f t="shared" si="96"/>
        <v/>
      </c>
      <c r="P433" s="34" t="str">
        <f t="shared" si="97"/>
        <v/>
      </c>
      <c r="Q433" s="34" t="str">
        <f t="shared" si="98"/>
        <v/>
      </c>
      <c r="R433" s="34" t="str">
        <f t="shared" si="99"/>
        <v/>
      </c>
      <c r="S433" s="34" t="str">
        <f t="shared" si="100"/>
        <v/>
      </c>
    </row>
    <row r="434" spans="12:19" x14ac:dyDescent="0.3">
      <c r="L434" s="34" t="str">
        <f t="shared" si="101"/>
        <v/>
      </c>
      <c r="M434" s="34" t="str">
        <f t="shared" si="92"/>
        <v/>
      </c>
      <c r="N434" s="34" t="str">
        <f t="shared" si="95"/>
        <v/>
      </c>
      <c r="O434" s="34" t="str">
        <f t="shared" si="96"/>
        <v/>
      </c>
      <c r="P434" s="34" t="str">
        <f t="shared" si="97"/>
        <v/>
      </c>
      <c r="Q434" s="34" t="str">
        <f t="shared" si="98"/>
        <v/>
      </c>
      <c r="R434" s="34" t="str">
        <f t="shared" si="99"/>
        <v/>
      </c>
      <c r="S434" s="34" t="str">
        <f t="shared" si="100"/>
        <v/>
      </c>
    </row>
    <row r="435" spans="12:19" x14ac:dyDescent="0.3">
      <c r="L435" s="34" t="str">
        <f t="shared" si="101"/>
        <v/>
      </c>
      <c r="M435" s="34" t="str">
        <f t="shared" si="92"/>
        <v/>
      </c>
      <c r="N435" s="34" t="str">
        <f t="shared" si="95"/>
        <v/>
      </c>
      <c r="O435" s="34" t="str">
        <f t="shared" si="96"/>
        <v/>
      </c>
      <c r="P435" s="34" t="str">
        <f t="shared" si="97"/>
        <v/>
      </c>
      <c r="Q435" s="34" t="str">
        <f t="shared" si="98"/>
        <v/>
      </c>
      <c r="R435" s="34" t="str">
        <f t="shared" si="99"/>
        <v/>
      </c>
      <c r="S435" s="34" t="str">
        <f t="shared" si="100"/>
        <v/>
      </c>
    </row>
    <row r="436" spans="12:19" x14ac:dyDescent="0.3">
      <c r="L436" s="34" t="str">
        <f t="shared" si="101"/>
        <v/>
      </c>
      <c r="M436" s="34" t="str">
        <f t="shared" si="92"/>
        <v/>
      </c>
      <c r="N436" s="34" t="str">
        <f t="shared" si="95"/>
        <v/>
      </c>
      <c r="O436" s="34" t="str">
        <f t="shared" si="96"/>
        <v/>
      </c>
      <c r="P436" s="34" t="str">
        <f t="shared" si="97"/>
        <v/>
      </c>
      <c r="Q436" s="34" t="str">
        <f t="shared" si="98"/>
        <v/>
      </c>
      <c r="R436" s="34" t="str">
        <f t="shared" si="99"/>
        <v/>
      </c>
      <c r="S436" s="34" t="str">
        <f t="shared" si="100"/>
        <v/>
      </c>
    </row>
    <row r="437" spans="12:19" x14ac:dyDescent="0.3">
      <c r="L437" s="34" t="str">
        <f t="shared" si="101"/>
        <v/>
      </c>
      <c r="M437" s="34" t="str">
        <f t="shared" si="92"/>
        <v/>
      </c>
      <c r="N437" s="34" t="str">
        <f t="shared" si="95"/>
        <v/>
      </c>
      <c r="O437" s="34" t="str">
        <f t="shared" si="96"/>
        <v/>
      </c>
      <c r="P437" s="34" t="str">
        <f t="shared" si="97"/>
        <v/>
      </c>
      <c r="Q437" s="34" t="str">
        <f t="shared" si="98"/>
        <v/>
      </c>
      <c r="R437" s="34" t="str">
        <f t="shared" si="99"/>
        <v/>
      </c>
      <c r="S437" s="34" t="str">
        <f t="shared" si="100"/>
        <v/>
      </c>
    </row>
    <row r="438" spans="12:19" x14ac:dyDescent="0.3">
      <c r="L438" s="34" t="str">
        <f t="shared" si="101"/>
        <v/>
      </c>
      <c r="M438" s="34" t="str">
        <f t="shared" si="92"/>
        <v/>
      </c>
      <c r="N438" s="34" t="str">
        <f t="shared" si="95"/>
        <v/>
      </c>
      <c r="O438" s="34" t="str">
        <f t="shared" si="96"/>
        <v/>
      </c>
      <c r="P438" s="34" t="str">
        <f t="shared" si="97"/>
        <v/>
      </c>
      <c r="Q438" s="34" t="str">
        <f t="shared" si="98"/>
        <v/>
      </c>
      <c r="R438" s="34" t="str">
        <f t="shared" si="99"/>
        <v/>
      </c>
      <c r="S438" s="34" t="str">
        <f t="shared" si="100"/>
        <v/>
      </c>
    </row>
    <row r="439" spans="12:19" x14ac:dyDescent="0.3">
      <c r="L439" s="34" t="str">
        <f t="shared" si="101"/>
        <v/>
      </c>
      <c r="M439" s="34" t="str">
        <f t="shared" si="92"/>
        <v/>
      </c>
      <c r="N439" s="34" t="str">
        <f t="shared" si="95"/>
        <v/>
      </c>
      <c r="O439" s="34" t="str">
        <f t="shared" si="96"/>
        <v/>
      </c>
      <c r="P439" s="34" t="str">
        <f t="shared" si="97"/>
        <v/>
      </c>
      <c r="Q439" s="34" t="str">
        <f t="shared" si="98"/>
        <v/>
      </c>
      <c r="R439" s="34" t="str">
        <f t="shared" si="99"/>
        <v/>
      </c>
      <c r="S439" s="34" t="str">
        <f t="shared" si="100"/>
        <v/>
      </c>
    </row>
    <row r="440" spans="12:19" x14ac:dyDescent="0.3">
      <c r="L440" s="34" t="str">
        <f t="shared" si="101"/>
        <v/>
      </c>
      <c r="M440" s="34" t="str">
        <f t="shared" si="92"/>
        <v/>
      </c>
      <c r="N440" s="34" t="str">
        <f t="shared" si="95"/>
        <v/>
      </c>
      <c r="O440" s="34" t="str">
        <f t="shared" si="96"/>
        <v/>
      </c>
      <c r="P440" s="34" t="str">
        <f t="shared" si="97"/>
        <v/>
      </c>
      <c r="Q440" s="34" t="str">
        <f t="shared" si="98"/>
        <v/>
      </c>
      <c r="R440" s="34" t="str">
        <f t="shared" si="99"/>
        <v/>
      </c>
      <c r="S440" s="34" t="str">
        <f t="shared" si="100"/>
        <v/>
      </c>
    </row>
    <row r="441" spans="12:19" x14ac:dyDescent="0.3">
      <c r="L441" s="34" t="str">
        <f t="shared" si="101"/>
        <v/>
      </c>
      <c r="M441" s="34" t="str">
        <f t="shared" si="92"/>
        <v/>
      </c>
      <c r="N441" s="34" t="str">
        <f t="shared" si="95"/>
        <v/>
      </c>
      <c r="O441" s="34" t="str">
        <f t="shared" si="96"/>
        <v/>
      </c>
      <c r="P441" s="34" t="str">
        <f t="shared" si="97"/>
        <v/>
      </c>
      <c r="Q441" s="34" t="str">
        <f t="shared" si="98"/>
        <v/>
      </c>
      <c r="R441" s="34" t="str">
        <f t="shared" si="99"/>
        <v/>
      </c>
      <c r="S441" s="34" t="str">
        <f t="shared" si="100"/>
        <v/>
      </c>
    </row>
    <row r="442" spans="12:19" x14ac:dyDescent="0.3">
      <c r="L442" s="34" t="str">
        <f t="shared" si="101"/>
        <v/>
      </c>
      <c r="M442" s="34" t="str">
        <f t="shared" si="92"/>
        <v/>
      </c>
      <c r="N442" s="34" t="str">
        <f t="shared" si="95"/>
        <v/>
      </c>
      <c r="O442" s="34" t="str">
        <f t="shared" si="96"/>
        <v/>
      </c>
      <c r="P442" s="34" t="str">
        <f t="shared" si="97"/>
        <v/>
      </c>
      <c r="Q442" s="34" t="str">
        <f t="shared" si="98"/>
        <v/>
      </c>
      <c r="R442" s="34" t="str">
        <f t="shared" si="99"/>
        <v/>
      </c>
      <c r="S442" s="34" t="str">
        <f t="shared" si="100"/>
        <v/>
      </c>
    </row>
    <row r="443" spans="12:19" x14ac:dyDescent="0.3">
      <c r="M443" s="34" t="str">
        <f t="shared" si="92"/>
        <v/>
      </c>
      <c r="N443" s="34" t="str">
        <f t="shared" si="95"/>
        <v/>
      </c>
      <c r="O443" s="34" t="str">
        <f t="shared" si="96"/>
        <v/>
      </c>
      <c r="P443" s="34" t="str">
        <f t="shared" si="97"/>
        <v/>
      </c>
      <c r="Q443" s="34" t="str">
        <f t="shared" si="98"/>
        <v/>
      </c>
      <c r="R443" s="34" t="str">
        <f t="shared" si="99"/>
        <v/>
      </c>
      <c r="S443" s="34" t="str">
        <f t="shared" si="100"/>
        <v/>
      </c>
    </row>
    <row r="444" spans="12:19" x14ac:dyDescent="0.3">
      <c r="M444" s="34" t="str">
        <f t="shared" si="92"/>
        <v/>
      </c>
      <c r="N444" s="34" t="str">
        <f t="shared" si="95"/>
        <v/>
      </c>
      <c r="O444" s="34" t="str">
        <f t="shared" si="96"/>
        <v/>
      </c>
      <c r="P444" s="34" t="str">
        <f t="shared" si="97"/>
        <v/>
      </c>
      <c r="Q444" s="34" t="str">
        <f t="shared" si="98"/>
        <v/>
      </c>
      <c r="R444" s="34" t="str">
        <f t="shared" si="99"/>
        <v/>
      </c>
      <c r="S444" s="34" t="str">
        <f t="shared" si="100"/>
        <v/>
      </c>
    </row>
    <row r="445" spans="12:19" x14ac:dyDescent="0.3">
      <c r="L445" s="34" t="str">
        <f t="shared" ref="L445" si="106">RIGHT(A445,5)</f>
        <v/>
      </c>
      <c r="M445" s="34" t="str">
        <f t="shared" si="92"/>
        <v/>
      </c>
      <c r="N445" s="34" t="str">
        <f t="shared" si="95"/>
        <v/>
      </c>
      <c r="O445" s="34" t="str">
        <f t="shared" si="96"/>
        <v/>
      </c>
      <c r="P445" s="34" t="str">
        <f t="shared" si="97"/>
        <v/>
      </c>
      <c r="Q445" s="34" t="str">
        <f t="shared" si="98"/>
        <v/>
      </c>
      <c r="R445" s="34" t="str">
        <f t="shared" si="99"/>
        <v/>
      </c>
      <c r="S445" s="34" t="str">
        <f t="shared" si="100"/>
        <v/>
      </c>
    </row>
    <row r="446" spans="12:19" x14ac:dyDescent="0.3">
      <c r="L446" s="34" t="str">
        <f t="shared" ref="L446" si="107">L445</f>
        <v/>
      </c>
      <c r="M446" s="34" t="str">
        <f t="shared" si="92"/>
        <v/>
      </c>
      <c r="N446" s="34" t="str">
        <f t="shared" si="95"/>
        <v/>
      </c>
      <c r="O446" s="34" t="str">
        <f t="shared" si="96"/>
        <v/>
      </c>
      <c r="P446" s="34" t="str">
        <f t="shared" si="97"/>
        <v/>
      </c>
      <c r="Q446" s="34" t="str">
        <f t="shared" si="98"/>
        <v/>
      </c>
      <c r="R446" s="34" t="str">
        <f t="shared" si="99"/>
        <v/>
      </c>
      <c r="S446" s="34" t="str">
        <f t="shared" si="100"/>
        <v/>
      </c>
    </row>
    <row r="447" spans="12:19" x14ac:dyDescent="0.3">
      <c r="L447" s="34" t="str">
        <f t="shared" si="101"/>
        <v/>
      </c>
      <c r="M447" s="34" t="str">
        <f t="shared" si="92"/>
        <v/>
      </c>
      <c r="N447" s="34" t="str">
        <f t="shared" si="95"/>
        <v/>
      </c>
      <c r="O447" s="34" t="str">
        <f t="shared" si="96"/>
        <v/>
      </c>
      <c r="P447" s="34" t="str">
        <f t="shared" si="97"/>
        <v/>
      </c>
      <c r="Q447" s="34" t="str">
        <f t="shared" si="98"/>
        <v/>
      </c>
      <c r="R447" s="34" t="str">
        <f t="shared" si="99"/>
        <v/>
      </c>
      <c r="S447" s="34" t="str">
        <f t="shared" si="100"/>
        <v/>
      </c>
    </row>
    <row r="448" spans="12:19" x14ac:dyDescent="0.3">
      <c r="L448" s="34" t="str">
        <f t="shared" si="101"/>
        <v/>
      </c>
      <c r="M448" s="34" t="str">
        <f t="shared" si="92"/>
        <v/>
      </c>
      <c r="N448" s="34" t="str">
        <f t="shared" si="95"/>
        <v/>
      </c>
      <c r="O448" s="34" t="str">
        <f t="shared" si="96"/>
        <v/>
      </c>
      <c r="P448" s="34" t="str">
        <f t="shared" si="97"/>
        <v/>
      </c>
      <c r="Q448" s="34" t="str">
        <f t="shared" si="98"/>
        <v/>
      </c>
      <c r="R448" s="34" t="str">
        <f t="shared" si="99"/>
        <v/>
      </c>
      <c r="S448" s="34" t="str">
        <f t="shared" si="100"/>
        <v/>
      </c>
    </row>
    <row r="449" spans="12:19" x14ac:dyDescent="0.3">
      <c r="L449" s="34" t="str">
        <f t="shared" si="101"/>
        <v/>
      </c>
      <c r="M449" s="34" t="str">
        <f t="shared" si="92"/>
        <v/>
      </c>
      <c r="N449" s="34" t="str">
        <f t="shared" si="95"/>
        <v/>
      </c>
      <c r="O449" s="34" t="str">
        <f t="shared" si="96"/>
        <v/>
      </c>
      <c r="P449" s="34" t="str">
        <f t="shared" si="97"/>
        <v/>
      </c>
      <c r="Q449" s="34" t="str">
        <f t="shared" si="98"/>
        <v/>
      </c>
      <c r="R449" s="34" t="str">
        <f t="shared" si="99"/>
        <v/>
      </c>
      <c r="S449" s="34" t="str">
        <f t="shared" si="100"/>
        <v/>
      </c>
    </row>
    <row r="450" spans="12:19" x14ac:dyDescent="0.3">
      <c r="L450" s="34" t="str">
        <f t="shared" si="101"/>
        <v/>
      </c>
      <c r="M450" s="34" t="str">
        <f t="shared" si="92"/>
        <v/>
      </c>
      <c r="N450" s="34" t="str">
        <f t="shared" si="95"/>
        <v/>
      </c>
      <c r="O450" s="34" t="str">
        <f t="shared" si="96"/>
        <v/>
      </c>
      <c r="P450" s="34" t="str">
        <f t="shared" si="97"/>
        <v/>
      </c>
      <c r="Q450" s="34" t="str">
        <f t="shared" si="98"/>
        <v/>
      </c>
      <c r="R450" s="34" t="str">
        <f t="shared" si="99"/>
        <v/>
      </c>
      <c r="S450" s="34" t="str">
        <f t="shared" si="100"/>
        <v/>
      </c>
    </row>
    <row r="451" spans="12:19" x14ac:dyDescent="0.3">
      <c r="L451" s="34" t="str">
        <f t="shared" si="101"/>
        <v/>
      </c>
      <c r="M451" s="34" t="str">
        <f t="shared" si="92"/>
        <v/>
      </c>
      <c r="N451" s="34" t="str">
        <f t="shared" si="95"/>
        <v/>
      </c>
      <c r="O451" s="34" t="str">
        <f t="shared" si="96"/>
        <v/>
      </c>
      <c r="P451" s="34" t="str">
        <f t="shared" si="97"/>
        <v/>
      </c>
      <c r="Q451" s="34" t="str">
        <f t="shared" si="98"/>
        <v/>
      </c>
      <c r="R451" s="34" t="str">
        <f t="shared" si="99"/>
        <v/>
      </c>
      <c r="S451" s="34" t="str">
        <f t="shared" si="100"/>
        <v/>
      </c>
    </row>
    <row r="452" spans="12:19" x14ac:dyDescent="0.3">
      <c r="L452" s="34" t="str">
        <f t="shared" si="101"/>
        <v/>
      </c>
      <c r="M452" s="34" t="str">
        <f t="shared" si="92"/>
        <v/>
      </c>
      <c r="N452" s="34" t="str">
        <f t="shared" si="95"/>
        <v/>
      </c>
      <c r="O452" s="34" t="str">
        <f t="shared" si="96"/>
        <v/>
      </c>
      <c r="P452" s="34" t="str">
        <f t="shared" si="97"/>
        <v/>
      </c>
      <c r="Q452" s="34" t="str">
        <f t="shared" si="98"/>
        <v/>
      </c>
      <c r="R452" s="34" t="str">
        <f t="shared" si="99"/>
        <v/>
      </c>
      <c r="S452" s="34" t="str">
        <f t="shared" si="100"/>
        <v/>
      </c>
    </row>
    <row r="453" spans="12:19" x14ac:dyDescent="0.3">
      <c r="L453" s="34" t="str">
        <f t="shared" si="101"/>
        <v/>
      </c>
      <c r="M453" s="34" t="str">
        <f t="shared" ref="M453:M516" si="108">IF(AND(L453="s.csv",A453=1),ABS(1000/12/D453),"")</f>
        <v/>
      </c>
      <c r="N453" s="34" t="str">
        <f t="shared" si="95"/>
        <v/>
      </c>
      <c r="O453" s="34" t="str">
        <f t="shared" si="96"/>
        <v/>
      </c>
      <c r="P453" s="34" t="str">
        <f t="shared" si="97"/>
        <v/>
      </c>
      <c r="Q453" s="34" t="str">
        <f t="shared" si="98"/>
        <v/>
      </c>
      <c r="R453" s="34" t="str">
        <f t="shared" si="99"/>
        <v/>
      </c>
      <c r="S453" s="34" t="str">
        <f t="shared" si="100"/>
        <v/>
      </c>
    </row>
    <row r="454" spans="12:19" x14ac:dyDescent="0.3">
      <c r="L454" s="34" t="str">
        <f t="shared" si="101"/>
        <v/>
      </c>
      <c r="M454" s="34" t="str">
        <f t="shared" si="108"/>
        <v/>
      </c>
      <c r="N454" s="34" t="str">
        <f t="shared" si="95"/>
        <v/>
      </c>
      <c r="O454" s="34" t="str">
        <f t="shared" si="96"/>
        <v/>
      </c>
      <c r="P454" s="34" t="str">
        <f t="shared" si="97"/>
        <v/>
      </c>
      <c r="Q454" s="34" t="str">
        <f t="shared" si="98"/>
        <v/>
      </c>
      <c r="R454" s="34" t="str">
        <f t="shared" si="99"/>
        <v/>
      </c>
      <c r="S454" s="34" t="str">
        <f t="shared" si="100"/>
        <v/>
      </c>
    </row>
    <row r="455" spans="12:19" x14ac:dyDescent="0.3">
      <c r="L455" s="34" t="str">
        <f t="shared" si="101"/>
        <v/>
      </c>
      <c r="M455" s="34" t="str">
        <f t="shared" si="108"/>
        <v/>
      </c>
      <c r="N455" s="34" t="str">
        <f t="shared" si="95"/>
        <v/>
      </c>
      <c r="O455" s="34" t="str">
        <f t="shared" si="96"/>
        <v/>
      </c>
      <c r="P455" s="34" t="str">
        <f t="shared" si="97"/>
        <v/>
      </c>
      <c r="Q455" s="34" t="str">
        <f t="shared" si="98"/>
        <v/>
      </c>
      <c r="R455" s="34" t="str">
        <f t="shared" si="99"/>
        <v/>
      </c>
      <c r="S455" s="34" t="str">
        <f t="shared" si="100"/>
        <v/>
      </c>
    </row>
    <row r="456" spans="12:19" x14ac:dyDescent="0.3">
      <c r="L456" s="34" t="str">
        <f t="shared" si="101"/>
        <v/>
      </c>
      <c r="M456" s="34" t="str">
        <f t="shared" si="108"/>
        <v/>
      </c>
      <c r="N456" s="34" t="str">
        <f t="shared" si="95"/>
        <v/>
      </c>
      <c r="O456" s="34" t="str">
        <f t="shared" si="96"/>
        <v/>
      </c>
      <c r="P456" s="34" t="str">
        <f t="shared" si="97"/>
        <v/>
      </c>
      <c r="Q456" s="34" t="str">
        <f t="shared" si="98"/>
        <v/>
      </c>
      <c r="R456" s="34" t="str">
        <f t="shared" si="99"/>
        <v/>
      </c>
      <c r="S456" s="34" t="str">
        <f t="shared" si="100"/>
        <v/>
      </c>
    </row>
    <row r="457" spans="12:19" x14ac:dyDescent="0.3">
      <c r="L457" s="34" t="str">
        <f t="shared" si="101"/>
        <v/>
      </c>
      <c r="M457" s="34" t="str">
        <f t="shared" si="108"/>
        <v/>
      </c>
      <c r="N457" s="34" t="str">
        <f t="shared" si="95"/>
        <v/>
      </c>
      <c r="O457" s="34" t="str">
        <f t="shared" si="96"/>
        <v/>
      </c>
      <c r="P457" s="34" t="str">
        <f t="shared" si="97"/>
        <v/>
      </c>
      <c r="Q457" s="34" t="str">
        <f t="shared" si="98"/>
        <v/>
      </c>
      <c r="R457" s="34" t="str">
        <f t="shared" si="99"/>
        <v/>
      </c>
      <c r="S457" s="34" t="str">
        <f t="shared" si="100"/>
        <v/>
      </c>
    </row>
    <row r="458" spans="12:19" x14ac:dyDescent="0.3">
      <c r="L458" s="34" t="str">
        <f t="shared" si="101"/>
        <v/>
      </c>
      <c r="M458" s="34" t="str">
        <f t="shared" si="108"/>
        <v/>
      </c>
      <c r="N458" s="34" t="str">
        <f t="shared" si="95"/>
        <v/>
      </c>
      <c r="O458" s="34" t="str">
        <f t="shared" si="96"/>
        <v/>
      </c>
      <c r="P458" s="34" t="str">
        <f t="shared" si="97"/>
        <v/>
      </c>
      <c r="Q458" s="34" t="str">
        <f t="shared" si="98"/>
        <v/>
      </c>
      <c r="R458" s="34" t="str">
        <f t="shared" si="99"/>
        <v/>
      </c>
      <c r="S458" s="34" t="str">
        <f t="shared" si="100"/>
        <v/>
      </c>
    </row>
    <row r="459" spans="12:19" x14ac:dyDescent="0.3">
      <c r="L459" s="34" t="str">
        <f t="shared" si="101"/>
        <v/>
      </c>
      <c r="M459" s="34" t="str">
        <f t="shared" si="108"/>
        <v/>
      </c>
      <c r="N459" s="34" t="str">
        <f t="shared" si="95"/>
        <v/>
      </c>
      <c r="O459" s="34" t="str">
        <f t="shared" si="96"/>
        <v/>
      </c>
      <c r="P459" s="34" t="str">
        <f t="shared" si="97"/>
        <v/>
      </c>
      <c r="Q459" s="34" t="str">
        <f t="shared" si="98"/>
        <v/>
      </c>
      <c r="R459" s="34" t="str">
        <f t="shared" si="99"/>
        <v/>
      </c>
      <c r="S459" s="34" t="str">
        <f t="shared" si="100"/>
        <v/>
      </c>
    </row>
    <row r="460" spans="12:19" x14ac:dyDescent="0.3">
      <c r="M460" s="34" t="str">
        <f t="shared" si="108"/>
        <v/>
      </c>
      <c r="N460" s="34" t="str">
        <f t="shared" ref="N460:N523" si="109">IF(AND(OR($L460="l.csv",$L460="g.csv"),$E460&gt;4),F460,"")</f>
        <v/>
      </c>
      <c r="O460" s="34" t="str">
        <f t="shared" ref="O460:O523" si="110">IF(AND(OR($L460="l.csv",$L460="g.csv"),$E460&gt;4),G460,"")</f>
        <v/>
      </c>
      <c r="P460" s="34" t="str">
        <f t="shared" ref="P460:P523" si="111">IF(AND(OR($L460="l.csv",$L460="g.csv"),$E460&gt;4),H460,"")</f>
        <v/>
      </c>
      <c r="Q460" s="34" t="str">
        <f t="shared" ref="Q460:Q523" si="112">IF(AND(OR($L460="l.csv",$L460="g.csv"),$E460&gt;4),I460,"")</f>
        <v/>
      </c>
      <c r="R460" s="34" t="str">
        <f t="shared" ref="R460:R523" si="113">IF(AND(OR($L460="l.csv",$L460="g.csv"),$E460&gt;4),J460,"")</f>
        <v/>
      </c>
      <c r="S460" s="34" t="str">
        <f t="shared" ref="S460:S523" si="114">IF(AND(OR($L460="l.csv",$L460="g.csv"),$E460&gt;4),K460,"")</f>
        <v/>
      </c>
    </row>
    <row r="461" spans="12:19" x14ac:dyDescent="0.3">
      <c r="M461" s="34" t="str">
        <f t="shared" si="108"/>
        <v/>
      </c>
      <c r="N461" s="34" t="str">
        <f t="shared" si="109"/>
        <v/>
      </c>
      <c r="O461" s="34" t="str">
        <f t="shared" si="110"/>
        <v/>
      </c>
      <c r="P461" s="34" t="str">
        <f t="shared" si="111"/>
        <v/>
      </c>
      <c r="Q461" s="34" t="str">
        <f t="shared" si="112"/>
        <v/>
      </c>
      <c r="R461" s="34" t="str">
        <f t="shared" si="113"/>
        <v/>
      </c>
      <c r="S461" s="34" t="str">
        <f t="shared" si="114"/>
        <v/>
      </c>
    </row>
    <row r="462" spans="12:19" x14ac:dyDescent="0.3">
      <c r="L462" s="34" t="str">
        <f t="shared" ref="L462" si="115">RIGHT(A462,5)</f>
        <v/>
      </c>
      <c r="M462" s="34" t="str">
        <f t="shared" si="108"/>
        <v/>
      </c>
      <c r="N462" s="34" t="str">
        <f t="shared" si="109"/>
        <v/>
      </c>
      <c r="O462" s="34" t="str">
        <f t="shared" si="110"/>
        <v/>
      </c>
      <c r="P462" s="34" t="str">
        <f t="shared" si="111"/>
        <v/>
      </c>
      <c r="Q462" s="34" t="str">
        <f t="shared" si="112"/>
        <v/>
      </c>
      <c r="R462" s="34" t="str">
        <f t="shared" si="113"/>
        <v/>
      </c>
      <c r="S462" s="34" t="str">
        <f t="shared" si="114"/>
        <v/>
      </c>
    </row>
    <row r="463" spans="12:19" x14ac:dyDescent="0.3">
      <c r="L463" s="34" t="str">
        <f t="shared" ref="L463" si="116">L462</f>
        <v/>
      </c>
      <c r="M463" s="34" t="str">
        <f t="shared" si="108"/>
        <v/>
      </c>
      <c r="N463" s="34" t="str">
        <f t="shared" si="109"/>
        <v/>
      </c>
      <c r="O463" s="34" t="str">
        <f t="shared" si="110"/>
        <v/>
      </c>
      <c r="P463" s="34" t="str">
        <f t="shared" si="111"/>
        <v/>
      </c>
      <c r="Q463" s="34" t="str">
        <f t="shared" si="112"/>
        <v/>
      </c>
      <c r="R463" s="34" t="str">
        <f t="shared" si="113"/>
        <v/>
      </c>
      <c r="S463" s="34" t="str">
        <f t="shared" si="114"/>
        <v/>
      </c>
    </row>
    <row r="464" spans="12:19" x14ac:dyDescent="0.3">
      <c r="L464" s="34" t="str">
        <f t="shared" si="101"/>
        <v/>
      </c>
      <c r="M464" s="34" t="str">
        <f t="shared" si="108"/>
        <v/>
      </c>
      <c r="N464" s="34" t="str">
        <f t="shared" si="109"/>
        <v/>
      </c>
      <c r="O464" s="34" t="str">
        <f t="shared" si="110"/>
        <v/>
      </c>
      <c r="P464" s="34" t="str">
        <f t="shared" si="111"/>
        <v/>
      </c>
      <c r="Q464" s="34" t="str">
        <f t="shared" si="112"/>
        <v/>
      </c>
      <c r="R464" s="34" t="str">
        <f t="shared" si="113"/>
        <v/>
      </c>
      <c r="S464" s="34" t="str">
        <f t="shared" si="114"/>
        <v/>
      </c>
    </row>
    <row r="465" spans="12:19" x14ac:dyDescent="0.3">
      <c r="L465" s="34" t="str">
        <f t="shared" si="101"/>
        <v/>
      </c>
      <c r="M465" s="34" t="str">
        <f t="shared" si="108"/>
        <v/>
      </c>
      <c r="N465" s="34" t="str">
        <f t="shared" si="109"/>
        <v/>
      </c>
      <c r="O465" s="34" t="str">
        <f t="shared" si="110"/>
        <v/>
      </c>
      <c r="P465" s="34" t="str">
        <f t="shared" si="111"/>
        <v/>
      </c>
      <c r="Q465" s="34" t="str">
        <f t="shared" si="112"/>
        <v/>
      </c>
      <c r="R465" s="34" t="str">
        <f t="shared" si="113"/>
        <v/>
      </c>
      <c r="S465" s="34" t="str">
        <f t="shared" si="114"/>
        <v/>
      </c>
    </row>
    <row r="466" spans="12:19" x14ac:dyDescent="0.3">
      <c r="L466" s="34" t="str">
        <f t="shared" si="101"/>
        <v/>
      </c>
      <c r="M466" s="34" t="str">
        <f t="shared" si="108"/>
        <v/>
      </c>
      <c r="N466" s="34" t="str">
        <f t="shared" si="109"/>
        <v/>
      </c>
      <c r="O466" s="34" t="str">
        <f t="shared" si="110"/>
        <v/>
      </c>
      <c r="P466" s="34" t="str">
        <f t="shared" si="111"/>
        <v/>
      </c>
      <c r="Q466" s="34" t="str">
        <f t="shared" si="112"/>
        <v/>
      </c>
      <c r="R466" s="34" t="str">
        <f t="shared" si="113"/>
        <v/>
      </c>
      <c r="S466" s="34" t="str">
        <f t="shared" si="114"/>
        <v/>
      </c>
    </row>
    <row r="467" spans="12:19" x14ac:dyDescent="0.3">
      <c r="L467" s="34" t="str">
        <f t="shared" si="101"/>
        <v/>
      </c>
      <c r="M467" s="34" t="str">
        <f t="shared" si="108"/>
        <v/>
      </c>
      <c r="N467" s="34" t="str">
        <f t="shared" si="109"/>
        <v/>
      </c>
      <c r="O467" s="34" t="str">
        <f t="shared" si="110"/>
        <v/>
      </c>
      <c r="P467" s="34" t="str">
        <f t="shared" si="111"/>
        <v/>
      </c>
      <c r="Q467" s="34" t="str">
        <f t="shared" si="112"/>
        <v/>
      </c>
      <c r="R467" s="34" t="str">
        <f t="shared" si="113"/>
        <v/>
      </c>
      <c r="S467" s="34" t="str">
        <f t="shared" si="114"/>
        <v/>
      </c>
    </row>
    <row r="468" spans="12:19" x14ac:dyDescent="0.3">
      <c r="L468" s="34" t="str">
        <f t="shared" ref="L468:L527" si="117">L467</f>
        <v/>
      </c>
      <c r="M468" s="34" t="str">
        <f t="shared" si="108"/>
        <v/>
      </c>
      <c r="N468" s="34" t="str">
        <f t="shared" si="109"/>
        <v/>
      </c>
      <c r="O468" s="34" t="str">
        <f t="shared" si="110"/>
        <v/>
      </c>
      <c r="P468" s="34" t="str">
        <f t="shared" si="111"/>
        <v/>
      </c>
      <c r="Q468" s="34" t="str">
        <f t="shared" si="112"/>
        <v/>
      </c>
      <c r="R468" s="34" t="str">
        <f t="shared" si="113"/>
        <v/>
      </c>
      <c r="S468" s="34" t="str">
        <f t="shared" si="114"/>
        <v/>
      </c>
    </row>
    <row r="469" spans="12:19" x14ac:dyDescent="0.3">
      <c r="L469" s="34" t="str">
        <f t="shared" si="117"/>
        <v/>
      </c>
      <c r="M469" s="34" t="str">
        <f t="shared" si="108"/>
        <v/>
      </c>
      <c r="N469" s="34" t="str">
        <f t="shared" si="109"/>
        <v/>
      </c>
      <c r="O469" s="34" t="str">
        <f t="shared" si="110"/>
        <v/>
      </c>
      <c r="P469" s="34" t="str">
        <f t="shared" si="111"/>
        <v/>
      </c>
      <c r="Q469" s="34" t="str">
        <f t="shared" si="112"/>
        <v/>
      </c>
      <c r="R469" s="34" t="str">
        <f t="shared" si="113"/>
        <v/>
      </c>
      <c r="S469" s="34" t="str">
        <f t="shared" si="114"/>
        <v/>
      </c>
    </row>
    <row r="470" spans="12:19" x14ac:dyDescent="0.3">
      <c r="L470" s="34" t="str">
        <f t="shared" si="117"/>
        <v/>
      </c>
      <c r="M470" s="34" t="str">
        <f t="shared" si="108"/>
        <v/>
      </c>
      <c r="N470" s="34" t="str">
        <f t="shared" si="109"/>
        <v/>
      </c>
      <c r="O470" s="34" t="str">
        <f t="shared" si="110"/>
        <v/>
      </c>
      <c r="P470" s="34" t="str">
        <f t="shared" si="111"/>
        <v/>
      </c>
      <c r="Q470" s="34" t="str">
        <f t="shared" si="112"/>
        <v/>
      </c>
      <c r="R470" s="34" t="str">
        <f t="shared" si="113"/>
        <v/>
      </c>
      <c r="S470" s="34" t="str">
        <f t="shared" si="114"/>
        <v/>
      </c>
    </row>
    <row r="471" spans="12:19" x14ac:dyDescent="0.3">
      <c r="L471" s="34" t="str">
        <f t="shared" si="117"/>
        <v/>
      </c>
      <c r="M471" s="34" t="str">
        <f t="shared" si="108"/>
        <v/>
      </c>
      <c r="N471" s="34" t="str">
        <f t="shared" si="109"/>
        <v/>
      </c>
      <c r="O471" s="34" t="str">
        <f t="shared" si="110"/>
        <v/>
      </c>
      <c r="P471" s="34" t="str">
        <f t="shared" si="111"/>
        <v/>
      </c>
      <c r="Q471" s="34" t="str">
        <f t="shared" si="112"/>
        <v/>
      </c>
      <c r="R471" s="34" t="str">
        <f t="shared" si="113"/>
        <v/>
      </c>
      <c r="S471" s="34" t="str">
        <f t="shared" si="114"/>
        <v/>
      </c>
    </row>
    <row r="472" spans="12:19" x14ac:dyDescent="0.3">
      <c r="L472" s="34" t="str">
        <f t="shared" si="117"/>
        <v/>
      </c>
      <c r="M472" s="34" t="str">
        <f t="shared" si="108"/>
        <v/>
      </c>
      <c r="N472" s="34" t="str">
        <f t="shared" si="109"/>
        <v/>
      </c>
      <c r="O472" s="34" t="str">
        <f t="shared" si="110"/>
        <v/>
      </c>
      <c r="P472" s="34" t="str">
        <f t="shared" si="111"/>
        <v/>
      </c>
      <c r="Q472" s="34" t="str">
        <f t="shared" si="112"/>
        <v/>
      </c>
      <c r="R472" s="34" t="str">
        <f t="shared" si="113"/>
        <v/>
      </c>
      <c r="S472" s="34" t="str">
        <f t="shared" si="114"/>
        <v/>
      </c>
    </row>
    <row r="473" spans="12:19" x14ac:dyDescent="0.3">
      <c r="L473" s="34" t="str">
        <f t="shared" si="117"/>
        <v/>
      </c>
      <c r="M473" s="34" t="str">
        <f t="shared" si="108"/>
        <v/>
      </c>
      <c r="N473" s="34" t="str">
        <f t="shared" si="109"/>
        <v/>
      </c>
      <c r="O473" s="34" t="str">
        <f t="shared" si="110"/>
        <v/>
      </c>
      <c r="P473" s="34" t="str">
        <f t="shared" si="111"/>
        <v/>
      </c>
      <c r="Q473" s="34" t="str">
        <f t="shared" si="112"/>
        <v/>
      </c>
      <c r="R473" s="34" t="str">
        <f t="shared" si="113"/>
        <v/>
      </c>
      <c r="S473" s="34" t="str">
        <f t="shared" si="114"/>
        <v/>
      </c>
    </row>
    <row r="474" spans="12:19" x14ac:dyDescent="0.3">
      <c r="L474" s="34" t="str">
        <f t="shared" si="117"/>
        <v/>
      </c>
      <c r="M474" s="34" t="str">
        <f t="shared" si="108"/>
        <v/>
      </c>
      <c r="N474" s="34" t="str">
        <f t="shared" si="109"/>
        <v/>
      </c>
      <c r="O474" s="34" t="str">
        <f t="shared" si="110"/>
        <v/>
      </c>
      <c r="P474" s="34" t="str">
        <f t="shared" si="111"/>
        <v/>
      </c>
      <c r="Q474" s="34" t="str">
        <f t="shared" si="112"/>
        <v/>
      </c>
      <c r="R474" s="34" t="str">
        <f t="shared" si="113"/>
        <v/>
      </c>
      <c r="S474" s="34" t="str">
        <f t="shared" si="114"/>
        <v/>
      </c>
    </row>
    <row r="475" spans="12:19" x14ac:dyDescent="0.3">
      <c r="L475" s="34" t="str">
        <f t="shared" si="117"/>
        <v/>
      </c>
      <c r="M475" s="34" t="str">
        <f t="shared" si="108"/>
        <v/>
      </c>
      <c r="N475" s="34" t="str">
        <f t="shared" si="109"/>
        <v/>
      </c>
      <c r="O475" s="34" t="str">
        <f t="shared" si="110"/>
        <v/>
      </c>
      <c r="P475" s="34" t="str">
        <f t="shared" si="111"/>
        <v/>
      </c>
      <c r="Q475" s="34" t="str">
        <f t="shared" si="112"/>
        <v/>
      </c>
      <c r="R475" s="34" t="str">
        <f t="shared" si="113"/>
        <v/>
      </c>
      <c r="S475" s="34" t="str">
        <f t="shared" si="114"/>
        <v/>
      </c>
    </row>
    <row r="476" spans="12:19" x14ac:dyDescent="0.3">
      <c r="L476" s="34" t="str">
        <f t="shared" si="117"/>
        <v/>
      </c>
      <c r="M476" s="34" t="str">
        <f t="shared" si="108"/>
        <v/>
      </c>
      <c r="N476" s="34" t="str">
        <f t="shared" si="109"/>
        <v/>
      </c>
      <c r="O476" s="34" t="str">
        <f t="shared" si="110"/>
        <v/>
      </c>
      <c r="P476" s="34" t="str">
        <f t="shared" si="111"/>
        <v/>
      </c>
      <c r="Q476" s="34" t="str">
        <f t="shared" si="112"/>
        <v/>
      </c>
      <c r="R476" s="34" t="str">
        <f t="shared" si="113"/>
        <v/>
      </c>
      <c r="S476" s="34" t="str">
        <f t="shared" si="114"/>
        <v/>
      </c>
    </row>
    <row r="477" spans="12:19" x14ac:dyDescent="0.3">
      <c r="M477" s="34" t="str">
        <f t="shared" si="108"/>
        <v/>
      </c>
      <c r="N477" s="34" t="str">
        <f t="shared" si="109"/>
        <v/>
      </c>
      <c r="O477" s="34" t="str">
        <f t="shared" si="110"/>
        <v/>
      </c>
      <c r="P477" s="34" t="str">
        <f t="shared" si="111"/>
        <v/>
      </c>
      <c r="Q477" s="34" t="str">
        <f t="shared" si="112"/>
        <v/>
      </c>
      <c r="R477" s="34" t="str">
        <f t="shared" si="113"/>
        <v/>
      </c>
      <c r="S477" s="34" t="str">
        <f t="shared" si="114"/>
        <v/>
      </c>
    </row>
    <row r="478" spans="12:19" x14ac:dyDescent="0.3">
      <c r="M478" s="34" t="str">
        <f t="shared" si="108"/>
        <v/>
      </c>
      <c r="N478" s="34" t="str">
        <f t="shared" si="109"/>
        <v/>
      </c>
      <c r="O478" s="34" t="str">
        <f t="shared" si="110"/>
        <v/>
      </c>
      <c r="P478" s="34" t="str">
        <f t="shared" si="111"/>
        <v/>
      </c>
      <c r="Q478" s="34" t="str">
        <f t="shared" si="112"/>
        <v/>
      </c>
      <c r="R478" s="34" t="str">
        <f t="shared" si="113"/>
        <v/>
      </c>
      <c r="S478" s="34" t="str">
        <f t="shared" si="114"/>
        <v/>
      </c>
    </row>
    <row r="479" spans="12:19" x14ac:dyDescent="0.3">
      <c r="L479" s="34" t="str">
        <f t="shared" ref="L479" si="118">RIGHT(A479,5)</f>
        <v/>
      </c>
      <c r="M479" s="34" t="str">
        <f t="shared" si="108"/>
        <v/>
      </c>
      <c r="N479" s="34" t="str">
        <f t="shared" si="109"/>
        <v/>
      </c>
      <c r="O479" s="34" t="str">
        <f t="shared" si="110"/>
        <v/>
      </c>
      <c r="P479" s="34" t="str">
        <f t="shared" si="111"/>
        <v/>
      </c>
      <c r="Q479" s="34" t="str">
        <f t="shared" si="112"/>
        <v/>
      </c>
      <c r="R479" s="34" t="str">
        <f t="shared" si="113"/>
        <v/>
      </c>
      <c r="S479" s="34" t="str">
        <f t="shared" si="114"/>
        <v/>
      </c>
    </row>
    <row r="480" spans="12:19" x14ac:dyDescent="0.3">
      <c r="L480" s="34" t="str">
        <f t="shared" ref="L480" si="119">L479</f>
        <v/>
      </c>
      <c r="M480" s="34" t="str">
        <f t="shared" si="108"/>
        <v/>
      </c>
      <c r="N480" s="34" t="str">
        <f t="shared" si="109"/>
        <v/>
      </c>
      <c r="O480" s="34" t="str">
        <f t="shared" si="110"/>
        <v/>
      </c>
      <c r="P480" s="34" t="str">
        <f t="shared" si="111"/>
        <v/>
      </c>
      <c r="Q480" s="34" t="str">
        <f t="shared" si="112"/>
        <v/>
      </c>
      <c r="R480" s="34" t="str">
        <f t="shared" si="113"/>
        <v/>
      </c>
      <c r="S480" s="34" t="str">
        <f t="shared" si="114"/>
        <v/>
      </c>
    </row>
    <row r="481" spans="12:19" x14ac:dyDescent="0.3">
      <c r="L481" s="34" t="str">
        <f t="shared" si="117"/>
        <v/>
      </c>
      <c r="M481" s="34" t="str">
        <f t="shared" si="108"/>
        <v/>
      </c>
      <c r="N481" s="34" t="str">
        <f t="shared" si="109"/>
        <v/>
      </c>
      <c r="O481" s="34" t="str">
        <f t="shared" si="110"/>
        <v/>
      </c>
      <c r="P481" s="34" t="str">
        <f t="shared" si="111"/>
        <v/>
      </c>
      <c r="Q481" s="34" t="str">
        <f t="shared" si="112"/>
        <v/>
      </c>
      <c r="R481" s="34" t="str">
        <f t="shared" si="113"/>
        <v/>
      </c>
      <c r="S481" s="34" t="str">
        <f t="shared" si="114"/>
        <v/>
      </c>
    </row>
    <row r="482" spans="12:19" x14ac:dyDescent="0.3">
      <c r="L482" s="34" t="str">
        <f t="shared" si="117"/>
        <v/>
      </c>
      <c r="M482" s="34" t="str">
        <f t="shared" si="108"/>
        <v/>
      </c>
      <c r="N482" s="34" t="str">
        <f t="shared" si="109"/>
        <v/>
      </c>
      <c r="O482" s="34" t="str">
        <f t="shared" si="110"/>
        <v/>
      </c>
      <c r="P482" s="34" t="str">
        <f t="shared" si="111"/>
        <v/>
      </c>
      <c r="Q482" s="34" t="str">
        <f t="shared" si="112"/>
        <v/>
      </c>
      <c r="R482" s="34" t="str">
        <f t="shared" si="113"/>
        <v/>
      </c>
      <c r="S482" s="34" t="str">
        <f t="shared" si="114"/>
        <v/>
      </c>
    </row>
    <row r="483" spans="12:19" x14ac:dyDescent="0.3">
      <c r="L483" s="34" t="str">
        <f t="shared" si="117"/>
        <v/>
      </c>
      <c r="M483" s="34" t="str">
        <f t="shared" si="108"/>
        <v/>
      </c>
      <c r="N483" s="34" t="str">
        <f t="shared" si="109"/>
        <v/>
      </c>
      <c r="O483" s="34" t="str">
        <f t="shared" si="110"/>
        <v/>
      </c>
      <c r="P483" s="34" t="str">
        <f t="shared" si="111"/>
        <v/>
      </c>
      <c r="Q483" s="34" t="str">
        <f t="shared" si="112"/>
        <v/>
      </c>
      <c r="R483" s="34" t="str">
        <f t="shared" si="113"/>
        <v/>
      </c>
      <c r="S483" s="34" t="str">
        <f t="shared" si="114"/>
        <v/>
      </c>
    </row>
    <row r="484" spans="12:19" x14ac:dyDescent="0.3">
      <c r="L484" s="34" t="str">
        <f t="shared" si="117"/>
        <v/>
      </c>
      <c r="M484" s="34" t="str">
        <f t="shared" si="108"/>
        <v/>
      </c>
      <c r="N484" s="34" t="str">
        <f t="shared" si="109"/>
        <v/>
      </c>
      <c r="O484" s="34" t="str">
        <f t="shared" si="110"/>
        <v/>
      </c>
      <c r="P484" s="34" t="str">
        <f t="shared" si="111"/>
        <v/>
      </c>
      <c r="Q484" s="34" t="str">
        <f t="shared" si="112"/>
        <v/>
      </c>
      <c r="R484" s="34" t="str">
        <f t="shared" si="113"/>
        <v/>
      </c>
      <c r="S484" s="34" t="str">
        <f t="shared" si="114"/>
        <v/>
      </c>
    </row>
    <row r="485" spans="12:19" x14ac:dyDescent="0.3">
      <c r="L485" s="34" t="str">
        <f t="shared" si="117"/>
        <v/>
      </c>
      <c r="M485" s="34" t="str">
        <f t="shared" si="108"/>
        <v/>
      </c>
      <c r="N485" s="34" t="str">
        <f t="shared" si="109"/>
        <v/>
      </c>
      <c r="O485" s="34" t="str">
        <f t="shared" si="110"/>
        <v/>
      </c>
      <c r="P485" s="34" t="str">
        <f t="shared" si="111"/>
        <v/>
      </c>
      <c r="Q485" s="34" t="str">
        <f t="shared" si="112"/>
        <v/>
      </c>
      <c r="R485" s="34" t="str">
        <f t="shared" si="113"/>
        <v/>
      </c>
      <c r="S485" s="34" t="str">
        <f t="shared" si="114"/>
        <v/>
      </c>
    </row>
    <row r="486" spans="12:19" x14ac:dyDescent="0.3">
      <c r="L486" s="34" t="str">
        <f t="shared" si="117"/>
        <v/>
      </c>
      <c r="M486" s="34" t="str">
        <f t="shared" si="108"/>
        <v/>
      </c>
      <c r="N486" s="34" t="str">
        <f t="shared" si="109"/>
        <v/>
      </c>
      <c r="O486" s="34" t="str">
        <f t="shared" si="110"/>
        <v/>
      </c>
      <c r="P486" s="34" t="str">
        <f t="shared" si="111"/>
        <v/>
      </c>
      <c r="Q486" s="34" t="str">
        <f t="shared" si="112"/>
        <v/>
      </c>
      <c r="R486" s="34" t="str">
        <f t="shared" si="113"/>
        <v/>
      </c>
      <c r="S486" s="34" t="str">
        <f t="shared" si="114"/>
        <v/>
      </c>
    </row>
    <row r="487" spans="12:19" x14ac:dyDescent="0.3">
      <c r="L487" s="34" t="str">
        <f t="shared" si="117"/>
        <v/>
      </c>
      <c r="M487" s="34" t="str">
        <f t="shared" si="108"/>
        <v/>
      </c>
      <c r="N487" s="34" t="str">
        <f t="shared" si="109"/>
        <v/>
      </c>
      <c r="O487" s="34" t="str">
        <f t="shared" si="110"/>
        <v/>
      </c>
      <c r="P487" s="34" t="str">
        <f t="shared" si="111"/>
        <v/>
      </c>
      <c r="Q487" s="34" t="str">
        <f t="shared" si="112"/>
        <v/>
      </c>
      <c r="R487" s="34" t="str">
        <f t="shared" si="113"/>
        <v/>
      </c>
      <c r="S487" s="34" t="str">
        <f t="shared" si="114"/>
        <v/>
      </c>
    </row>
    <row r="488" spans="12:19" x14ac:dyDescent="0.3">
      <c r="L488" s="34" t="str">
        <f t="shared" si="117"/>
        <v/>
      </c>
      <c r="M488" s="34" t="str">
        <f t="shared" si="108"/>
        <v/>
      </c>
      <c r="N488" s="34" t="str">
        <f t="shared" si="109"/>
        <v/>
      </c>
      <c r="O488" s="34" t="str">
        <f t="shared" si="110"/>
        <v/>
      </c>
      <c r="P488" s="34" t="str">
        <f t="shared" si="111"/>
        <v/>
      </c>
      <c r="Q488" s="34" t="str">
        <f t="shared" si="112"/>
        <v/>
      </c>
      <c r="R488" s="34" t="str">
        <f t="shared" si="113"/>
        <v/>
      </c>
      <c r="S488" s="34" t="str">
        <f t="shared" si="114"/>
        <v/>
      </c>
    </row>
    <row r="489" spans="12:19" x14ac:dyDescent="0.3">
      <c r="L489" s="34" t="str">
        <f t="shared" si="117"/>
        <v/>
      </c>
      <c r="M489" s="34" t="str">
        <f t="shared" si="108"/>
        <v/>
      </c>
      <c r="N489" s="34" t="str">
        <f t="shared" si="109"/>
        <v/>
      </c>
      <c r="O489" s="34" t="str">
        <f t="shared" si="110"/>
        <v/>
      </c>
      <c r="P489" s="34" t="str">
        <f t="shared" si="111"/>
        <v/>
      </c>
      <c r="Q489" s="34" t="str">
        <f t="shared" si="112"/>
        <v/>
      </c>
      <c r="R489" s="34" t="str">
        <f t="shared" si="113"/>
        <v/>
      </c>
      <c r="S489" s="34" t="str">
        <f t="shared" si="114"/>
        <v/>
      </c>
    </row>
    <row r="490" spans="12:19" x14ac:dyDescent="0.3">
      <c r="L490" s="34" t="str">
        <f t="shared" si="117"/>
        <v/>
      </c>
      <c r="M490" s="34" t="str">
        <f t="shared" si="108"/>
        <v/>
      </c>
      <c r="N490" s="34" t="str">
        <f t="shared" si="109"/>
        <v/>
      </c>
      <c r="O490" s="34" t="str">
        <f t="shared" si="110"/>
        <v/>
      </c>
      <c r="P490" s="34" t="str">
        <f t="shared" si="111"/>
        <v/>
      </c>
      <c r="Q490" s="34" t="str">
        <f t="shared" si="112"/>
        <v/>
      </c>
      <c r="R490" s="34" t="str">
        <f t="shared" si="113"/>
        <v/>
      </c>
      <c r="S490" s="34" t="str">
        <f t="shared" si="114"/>
        <v/>
      </c>
    </row>
    <row r="491" spans="12:19" x14ac:dyDescent="0.3">
      <c r="L491" s="34" t="str">
        <f t="shared" si="117"/>
        <v/>
      </c>
      <c r="M491" s="34" t="str">
        <f t="shared" si="108"/>
        <v/>
      </c>
      <c r="N491" s="34" t="str">
        <f t="shared" si="109"/>
        <v/>
      </c>
      <c r="O491" s="34" t="str">
        <f t="shared" si="110"/>
        <v/>
      </c>
      <c r="P491" s="34" t="str">
        <f t="shared" si="111"/>
        <v/>
      </c>
      <c r="Q491" s="34" t="str">
        <f t="shared" si="112"/>
        <v/>
      </c>
      <c r="R491" s="34" t="str">
        <f t="shared" si="113"/>
        <v/>
      </c>
      <c r="S491" s="34" t="str">
        <f t="shared" si="114"/>
        <v/>
      </c>
    </row>
    <row r="492" spans="12:19" x14ac:dyDescent="0.3">
      <c r="L492" s="34" t="str">
        <f t="shared" si="117"/>
        <v/>
      </c>
      <c r="M492" s="34" t="str">
        <f t="shared" si="108"/>
        <v/>
      </c>
      <c r="N492" s="34" t="str">
        <f t="shared" si="109"/>
        <v/>
      </c>
      <c r="O492" s="34" t="str">
        <f t="shared" si="110"/>
        <v/>
      </c>
      <c r="P492" s="34" t="str">
        <f t="shared" si="111"/>
        <v/>
      </c>
      <c r="Q492" s="34" t="str">
        <f t="shared" si="112"/>
        <v/>
      </c>
      <c r="R492" s="34" t="str">
        <f t="shared" si="113"/>
        <v/>
      </c>
      <c r="S492" s="34" t="str">
        <f t="shared" si="114"/>
        <v/>
      </c>
    </row>
    <row r="493" spans="12:19" x14ac:dyDescent="0.3">
      <c r="L493" s="34" t="str">
        <f t="shared" si="117"/>
        <v/>
      </c>
      <c r="M493" s="34" t="str">
        <f t="shared" si="108"/>
        <v/>
      </c>
      <c r="N493" s="34" t="str">
        <f t="shared" si="109"/>
        <v/>
      </c>
      <c r="O493" s="34" t="str">
        <f t="shared" si="110"/>
        <v/>
      </c>
      <c r="P493" s="34" t="str">
        <f t="shared" si="111"/>
        <v/>
      </c>
      <c r="Q493" s="34" t="str">
        <f t="shared" si="112"/>
        <v/>
      </c>
      <c r="R493" s="34" t="str">
        <f t="shared" si="113"/>
        <v/>
      </c>
      <c r="S493" s="34" t="str">
        <f t="shared" si="114"/>
        <v/>
      </c>
    </row>
    <row r="494" spans="12:19" x14ac:dyDescent="0.3">
      <c r="M494" s="34" t="str">
        <f t="shared" si="108"/>
        <v/>
      </c>
      <c r="N494" s="34" t="str">
        <f t="shared" si="109"/>
        <v/>
      </c>
      <c r="O494" s="34" t="str">
        <f t="shared" si="110"/>
        <v/>
      </c>
      <c r="P494" s="34" t="str">
        <f t="shared" si="111"/>
        <v/>
      </c>
      <c r="Q494" s="34" t="str">
        <f t="shared" si="112"/>
        <v/>
      </c>
      <c r="R494" s="34" t="str">
        <f t="shared" si="113"/>
        <v/>
      </c>
      <c r="S494" s="34" t="str">
        <f t="shared" si="114"/>
        <v/>
      </c>
    </row>
    <row r="495" spans="12:19" x14ac:dyDescent="0.3">
      <c r="M495" s="34" t="str">
        <f t="shared" si="108"/>
        <v/>
      </c>
      <c r="N495" s="34" t="str">
        <f t="shared" si="109"/>
        <v/>
      </c>
      <c r="O495" s="34" t="str">
        <f t="shared" si="110"/>
        <v/>
      </c>
      <c r="P495" s="34" t="str">
        <f t="shared" si="111"/>
        <v/>
      </c>
      <c r="Q495" s="34" t="str">
        <f t="shared" si="112"/>
        <v/>
      </c>
      <c r="R495" s="34" t="str">
        <f t="shared" si="113"/>
        <v/>
      </c>
      <c r="S495" s="34" t="str">
        <f t="shared" si="114"/>
        <v/>
      </c>
    </row>
    <row r="496" spans="12:19" x14ac:dyDescent="0.3">
      <c r="L496" s="34" t="str">
        <f t="shared" ref="L496" si="120">RIGHT(A496,5)</f>
        <v/>
      </c>
      <c r="M496" s="34" t="str">
        <f t="shared" si="108"/>
        <v/>
      </c>
      <c r="N496" s="34" t="str">
        <f t="shared" si="109"/>
        <v/>
      </c>
      <c r="O496" s="34" t="str">
        <f t="shared" si="110"/>
        <v/>
      </c>
      <c r="P496" s="34" t="str">
        <f t="shared" si="111"/>
        <v/>
      </c>
      <c r="Q496" s="34" t="str">
        <f t="shared" si="112"/>
        <v/>
      </c>
      <c r="R496" s="34" t="str">
        <f t="shared" si="113"/>
        <v/>
      </c>
      <c r="S496" s="34" t="str">
        <f t="shared" si="114"/>
        <v/>
      </c>
    </row>
    <row r="497" spans="12:19" x14ac:dyDescent="0.3">
      <c r="L497" s="34" t="str">
        <f t="shared" ref="L497" si="121">L496</f>
        <v/>
      </c>
      <c r="M497" s="34" t="str">
        <f t="shared" si="108"/>
        <v/>
      </c>
      <c r="N497" s="34" t="str">
        <f t="shared" si="109"/>
        <v/>
      </c>
      <c r="O497" s="34" t="str">
        <f t="shared" si="110"/>
        <v/>
      </c>
      <c r="P497" s="34" t="str">
        <f t="shared" si="111"/>
        <v/>
      </c>
      <c r="Q497" s="34" t="str">
        <f t="shared" si="112"/>
        <v/>
      </c>
      <c r="R497" s="34" t="str">
        <f t="shared" si="113"/>
        <v/>
      </c>
      <c r="S497" s="34" t="str">
        <f t="shared" si="114"/>
        <v/>
      </c>
    </row>
    <row r="498" spans="12:19" x14ac:dyDescent="0.3">
      <c r="L498" s="34" t="str">
        <f t="shared" si="117"/>
        <v/>
      </c>
      <c r="M498" s="34" t="str">
        <f t="shared" si="108"/>
        <v/>
      </c>
      <c r="N498" s="34" t="str">
        <f t="shared" si="109"/>
        <v/>
      </c>
      <c r="O498" s="34" t="str">
        <f t="shared" si="110"/>
        <v/>
      </c>
      <c r="P498" s="34" t="str">
        <f t="shared" si="111"/>
        <v/>
      </c>
      <c r="Q498" s="34" t="str">
        <f t="shared" si="112"/>
        <v/>
      </c>
      <c r="R498" s="34" t="str">
        <f t="shared" si="113"/>
        <v/>
      </c>
      <c r="S498" s="34" t="str">
        <f t="shared" si="114"/>
        <v/>
      </c>
    </row>
    <row r="499" spans="12:19" x14ac:dyDescent="0.3">
      <c r="L499" s="34" t="str">
        <f t="shared" si="117"/>
        <v/>
      </c>
      <c r="M499" s="34" t="str">
        <f t="shared" si="108"/>
        <v/>
      </c>
      <c r="N499" s="34" t="str">
        <f t="shared" si="109"/>
        <v/>
      </c>
      <c r="O499" s="34" t="str">
        <f t="shared" si="110"/>
        <v/>
      </c>
      <c r="P499" s="34" t="str">
        <f t="shared" si="111"/>
        <v/>
      </c>
      <c r="Q499" s="34" t="str">
        <f t="shared" si="112"/>
        <v/>
      </c>
      <c r="R499" s="34" t="str">
        <f t="shared" si="113"/>
        <v/>
      </c>
      <c r="S499" s="34" t="str">
        <f t="shared" si="114"/>
        <v/>
      </c>
    </row>
    <row r="500" spans="12:19" x14ac:dyDescent="0.3">
      <c r="L500" s="34" t="str">
        <f t="shared" si="117"/>
        <v/>
      </c>
      <c r="M500" s="34" t="str">
        <f t="shared" si="108"/>
        <v/>
      </c>
      <c r="N500" s="34" t="str">
        <f t="shared" si="109"/>
        <v/>
      </c>
      <c r="O500" s="34" t="str">
        <f t="shared" si="110"/>
        <v/>
      </c>
      <c r="P500" s="34" t="str">
        <f t="shared" si="111"/>
        <v/>
      </c>
      <c r="Q500" s="34" t="str">
        <f t="shared" si="112"/>
        <v/>
      </c>
      <c r="R500" s="34" t="str">
        <f t="shared" si="113"/>
        <v/>
      </c>
      <c r="S500" s="34" t="str">
        <f t="shared" si="114"/>
        <v/>
      </c>
    </row>
    <row r="501" spans="12:19" x14ac:dyDescent="0.3">
      <c r="L501" s="34" t="str">
        <f t="shared" si="117"/>
        <v/>
      </c>
      <c r="M501" s="34" t="str">
        <f t="shared" si="108"/>
        <v/>
      </c>
      <c r="N501" s="34" t="str">
        <f t="shared" si="109"/>
        <v/>
      </c>
      <c r="O501" s="34" t="str">
        <f t="shared" si="110"/>
        <v/>
      </c>
      <c r="P501" s="34" t="str">
        <f t="shared" si="111"/>
        <v/>
      </c>
      <c r="Q501" s="34" t="str">
        <f t="shared" si="112"/>
        <v/>
      </c>
      <c r="R501" s="34" t="str">
        <f t="shared" si="113"/>
        <v/>
      </c>
      <c r="S501" s="34" t="str">
        <f t="shared" si="114"/>
        <v/>
      </c>
    </row>
    <row r="502" spans="12:19" x14ac:dyDescent="0.3">
      <c r="L502" s="34" t="str">
        <f t="shared" si="117"/>
        <v/>
      </c>
      <c r="M502" s="34" t="str">
        <f t="shared" si="108"/>
        <v/>
      </c>
      <c r="N502" s="34" t="str">
        <f t="shared" si="109"/>
        <v/>
      </c>
      <c r="O502" s="34" t="str">
        <f t="shared" si="110"/>
        <v/>
      </c>
      <c r="P502" s="34" t="str">
        <f t="shared" si="111"/>
        <v/>
      </c>
      <c r="Q502" s="34" t="str">
        <f t="shared" si="112"/>
        <v/>
      </c>
      <c r="R502" s="34" t="str">
        <f t="shared" si="113"/>
        <v/>
      </c>
      <c r="S502" s="34" t="str">
        <f t="shared" si="114"/>
        <v/>
      </c>
    </row>
    <row r="503" spans="12:19" x14ac:dyDescent="0.3">
      <c r="L503" s="34" t="str">
        <f t="shared" si="117"/>
        <v/>
      </c>
      <c r="M503" s="34" t="str">
        <f t="shared" si="108"/>
        <v/>
      </c>
      <c r="N503" s="34" t="str">
        <f t="shared" si="109"/>
        <v/>
      </c>
      <c r="O503" s="34" t="str">
        <f t="shared" si="110"/>
        <v/>
      </c>
      <c r="P503" s="34" t="str">
        <f t="shared" si="111"/>
        <v/>
      </c>
      <c r="Q503" s="34" t="str">
        <f t="shared" si="112"/>
        <v/>
      </c>
      <c r="R503" s="34" t="str">
        <f t="shared" si="113"/>
        <v/>
      </c>
      <c r="S503" s="34" t="str">
        <f t="shared" si="114"/>
        <v/>
      </c>
    </row>
    <row r="504" spans="12:19" x14ac:dyDescent="0.3">
      <c r="L504" s="34" t="str">
        <f t="shared" si="117"/>
        <v/>
      </c>
      <c r="M504" s="34" t="str">
        <f t="shared" si="108"/>
        <v/>
      </c>
      <c r="N504" s="34" t="str">
        <f t="shared" si="109"/>
        <v/>
      </c>
      <c r="O504" s="34" t="str">
        <f t="shared" si="110"/>
        <v/>
      </c>
      <c r="P504" s="34" t="str">
        <f t="shared" si="111"/>
        <v/>
      </c>
      <c r="Q504" s="34" t="str">
        <f t="shared" si="112"/>
        <v/>
      </c>
      <c r="R504" s="34" t="str">
        <f t="shared" si="113"/>
        <v/>
      </c>
      <c r="S504" s="34" t="str">
        <f t="shared" si="114"/>
        <v/>
      </c>
    </row>
    <row r="505" spans="12:19" x14ac:dyDescent="0.3">
      <c r="L505" s="34" t="str">
        <f t="shared" si="117"/>
        <v/>
      </c>
      <c r="M505" s="34" t="str">
        <f t="shared" si="108"/>
        <v/>
      </c>
      <c r="N505" s="34" t="str">
        <f t="shared" si="109"/>
        <v/>
      </c>
      <c r="O505" s="34" t="str">
        <f t="shared" si="110"/>
        <v/>
      </c>
      <c r="P505" s="34" t="str">
        <f t="shared" si="111"/>
        <v/>
      </c>
      <c r="Q505" s="34" t="str">
        <f t="shared" si="112"/>
        <v/>
      </c>
      <c r="R505" s="34" t="str">
        <f t="shared" si="113"/>
        <v/>
      </c>
      <c r="S505" s="34" t="str">
        <f t="shared" si="114"/>
        <v/>
      </c>
    </row>
    <row r="506" spans="12:19" x14ac:dyDescent="0.3">
      <c r="L506" s="34" t="str">
        <f t="shared" si="117"/>
        <v/>
      </c>
      <c r="M506" s="34" t="str">
        <f t="shared" si="108"/>
        <v/>
      </c>
      <c r="N506" s="34" t="str">
        <f t="shared" si="109"/>
        <v/>
      </c>
      <c r="O506" s="34" t="str">
        <f t="shared" si="110"/>
        <v/>
      </c>
      <c r="P506" s="34" t="str">
        <f t="shared" si="111"/>
        <v/>
      </c>
      <c r="Q506" s="34" t="str">
        <f t="shared" si="112"/>
        <v/>
      </c>
      <c r="R506" s="34" t="str">
        <f t="shared" si="113"/>
        <v/>
      </c>
      <c r="S506" s="34" t="str">
        <f t="shared" si="114"/>
        <v/>
      </c>
    </row>
    <row r="507" spans="12:19" x14ac:dyDescent="0.3">
      <c r="L507" s="34" t="str">
        <f t="shared" si="117"/>
        <v/>
      </c>
      <c r="M507" s="34" t="str">
        <f t="shared" si="108"/>
        <v/>
      </c>
      <c r="N507" s="34" t="str">
        <f t="shared" si="109"/>
        <v/>
      </c>
      <c r="O507" s="34" t="str">
        <f t="shared" si="110"/>
        <v/>
      </c>
      <c r="P507" s="34" t="str">
        <f t="shared" si="111"/>
        <v/>
      </c>
      <c r="Q507" s="34" t="str">
        <f t="shared" si="112"/>
        <v/>
      </c>
      <c r="R507" s="34" t="str">
        <f t="shared" si="113"/>
        <v/>
      </c>
      <c r="S507" s="34" t="str">
        <f t="shared" si="114"/>
        <v/>
      </c>
    </row>
    <row r="508" spans="12:19" x14ac:dyDescent="0.3">
      <c r="L508" s="34" t="str">
        <f t="shared" si="117"/>
        <v/>
      </c>
      <c r="M508" s="34" t="str">
        <f t="shared" si="108"/>
        <v/>
      </c>
      <c r="N508" s="34" t="str">
        <f t="shared" si="109"/>
        <v/>
      </c>
      <c r="O508" s="34" t="str">
        <f t="shared" si="110"/>
        <v/>
      </c>
      <c r="P508" s="34" t="str">
        <f t="shared" si="111"/>
        <v/>
      </c>
      <c r="Q508" s="34" t="str">
        <f t="shared" si="112"/>
        <v/>
      </c>
      <c r="R508" s="34" t="str">
        <f t="shared" si="113"/>
        <v/>
      </c>
      <c r="S508" s="34" t="str">
        <f t="shared" si="114"/>
        <v/>
      </c>
    </row>
    <row r="509" spans="12:19" x14ac:dyDescent="0.3">
      <c r="L509" s="34" t="str">
        <f t="shared" si="117"/>
        <v/>
      </c>
      <c r="M509" s="34" t="str">
        <f t="shared" si="108"/>
        <v/>
      </c>
      <c r="N509" s="34" t="str">
        <f t="shared" si="109"/>
        <v/>
      </c>
      <c r="O509" s="34" t="str">
        <f t="shared" si="110"/>
        <v/>
      </c>
      <c r="P509" s="34" t="str">
        <f t="shared" si="111"/>
        <v/>
      </c>
      <c r="Q509" s="34" t="str">
        <f t="shared" si="112"/>
        <v/>
      </c>
      <c r="R509" s="34" t="str">
        <f t="shared" si="113"/>
        <v/>
      </c>
      <c r="S509" s="34" t="str">
        <f t="shared" si="114"/>
        <v/>
      </c>
    </row>
    <row r="510" spans="12:19" x14ac:dyDescent="0.3">
      <c r="L510" s="34" t="str">
        <f t="shared" si="117"/>
        <v/>
      </c>
      <c r="M510" s="34" t="str">
        <f t="shared" si="108"/>
        <v/>
      </c>
      <c r="N510" s="34" t="str">
        <f t="shared" si="109"/>
        <v/>
      </c>
      <c r="O510" s="34" t="str">
        <f t="shared" si="110"/>
        <v/>
      </c>
      <c r="P510" s="34" t="str">
        <f t="shared" si="111"/>
        <v/>
      </c>
      <c r="Q510" s="34" t="str">
        <f t="shared" si="112"/>
        <v/>
      </c>
      <c r="R510" s="34" t="str">
        <f t="shared" si="113"/>
        <v/>
      </c>
      <c r="S510" s="34" t="str">
        <f t="shared" si="114"/>
        <v/>
      </c>
    </row>
    <row r="511" spans="12:19" x14ac:dyDescent="0.3">
      <c r="M511" s="34" t="str">
        <f t="shared" si="108"/>
        <v/>
      </c>
      <c r="N511" s="34" t="str">
        <f t="shared" si="109"/>
        <v/>
      </c>
      <c r="O511" s="34" t="str">
        <f t="shared" si="110"/>
        <v/>
      </c>
      <c r="P511" s="34" t="str">
        <f t="shared" si="111"/>
        <v/>
      </c>
      <c r="Q511" s="34" t="str">
        <f t="shared" si="112"/>
        <v/>
      </c>
      <c r="R511" s="34" t="str">
        <f t="shared" si="113"/>
        <v/>
      </c>
      <c r="S511" s="34" t="str">
        <f t="shared" si="114"/>
        <v/>
      </c>
    </row>
    <row r="512" spans="12:19" x14ac:dyDescent="0.3">
      <c r="M512" s="34" t="str">
        <f t="shared" si="108"/>
        <v/>
      </c>
      <c r="N512" s="34" t="str">
        <f t="shared" si="109"/>
        <v/>
      </c>
      <c r="O512" s="34" t="str">
        <f t="shared" si="110"/>
        <v/>
      </c>
      <c r="P512" s="34" t="str">
        <f t="shared" si="111"/>
        <v/>
      </c>
      <c r="Q512" s="34" t="str">
        <f t="shared" si="112"/>
        <v/>
      </c>
      <c r="R512" s="34" t="str">
        <f t="shared" si="113"/>
        <v/>
      </c>
      <c r="S512" s="34" t="str">
        <f t="shared" si="114"/>
        <v/>
      </c>
    </row>
    <row r="513" spans="12:19" x14ac:dyDescent="0.3">
      <c r="L513" s="34" t="str">
        <f t="shared" ref="L513" si="122">RIGHT(A513,5)</f>
        <v/>
      </c>
      <c r="M513" s="34" t="str">
        <f t="shared" si="108"/>
        <v/>
      </c>
      <c r="N513" s="34" t="str">
        <f t="shared" si="109"/>
        <v/>
      </c>
      <c r="O513" s="34" t="str">
        <f t="shared" si="110"/>
        <v/>
      </c>
      <c r="P513" s="34" t="str">
        <f t="shared" si="111"/>
        <v/>
      </c>
      <c r="Q513" s="34" t="str">
        <f t="shared" si="112"/>
        <v/>
      </c>
      <c r="R513" s="34" t="str">
        <f t="shared" si="113"/>
        <v/>
      </c>
      <c r="S513" s="34" t="str">
        <f t="shared" si="114"/>
        <v/>
      </c>
    </row>
    <row r="514" spans="12:19" x14ac:dyDescent="0.3">
      <c r="L514" s="34" t="str">
        <f t="shared" ref="L514" si="123">L513</f>
        <v/>
      </c>
      <c r="M514" s="34" t="str">
        <f t="shared" si="108"/>
        <v/>
      </c>
      <c r="N514" s="34" t="str">
        <f t="shared" si="109"/>
        <v/>
      </c>
      <c r="O514" s="34" t="str">
        <f t="shared" si="110"/>
        <v/>
      </c>
      <c r="P514" s="34" t="str">
        <f t="shared" si="111"/>
        <v/>
      </c>
      <c r="Q514" s="34" t="str">
        <f t="shared" si="112"/>
        <v/>
      </c>
      <c r="R514" s="34" t="str">
        <f t="shared" si="113"/>
        <v/>
      </c>
      <c r="S514" s="34" t="str">
        <f t="shared" si="114"/>
        <v/>
      </c>
    </row>
    <row r="515" spans="12:19" x14ac:dyDescent="0.3">
      <c r="L515" s="34" t="str">
        <f t="shared" si="117"/>
        <v/>
      </c>
      <c r="M515" s="34" t="str">
        <f t="shared" si="108"/>
        <v/>
      </c>
      <c r="N515" s="34" t="str">
        <f t="shared" si="109"/>
        <v/>
      </c>
      <c r="O515" s="34" t="str">
        <f t="shared" si="110"/>
        <v/>
      </c>
      <c r="P515" s="34" t="str">
        <f t="shared" si="111"/>
        <v/>
      </c>
      <c r="Q515" s="34" t="str">
        <f t="shared" si="112"/>
        <v/>
      </c>
      <c r="R515" s="34" t="str">
        <f t="shared" si="113"/>
        <v/>
      </c>
      <c r="S515" s="34" t="str">
        <f t="shared" si="114"/>
        <v/>
      </c>
    </row>
    <row r="516" spans="12:19" x14ac:dyDescent="0.3">
      <c r="L516" s="34" t="str">
        <f t="shared" si="117"/>
        <v/>
      </c>
      <c r="M516" s="34" t="str">
        <f t="shared" si="108"/>
        <v/>
      </c>
      <c r="N516" s="34" t="str">
        <f t="shared" si="109"/>
        <v/>
      </c>
      <c r="O516" s="34" t="str">
        <f t="shared" si="110"/>
        <v/>
      </c>
      <c r="P516" s="34" t="str">
        <f t="shared" si="111"/>
        <v/>
      </c>
      <c r="Q516" s="34" t="str">
        <f t="shared" si="112"/>
        <v/>
      </c>
      <c r="R516" s="34" t="str">
        <f t="shared" si="113"/>
        <v/>
      </c>
      <c r="S516" s="34" t="str">
        <f t="shared" si="114"/>
        <v/>
      </c>
    </row>
    <row r="517" spans="12:19" x14ac:dyDescent="0.3">
      <c r="L517" s="34" t="str">
        <f t="shared" si="117"/>
        <v/>
      </c>
      <c r="M517" s="34" t="str">
        <f t="shared" ref="M517:M580" si="124">IF(AND(L517="s.csv",A517=1),ABS(1000/12/D517),"")</f>
        <v/>
      </c>
      <c r="N517" s="34" t="str">
        <f t="shared" si="109"/>
        <v/>
      </c>
      <c r="O517" s="34" t="str">
        <f t="shared" si="110"/>
        <v/>
      </c>
      <c r="P517" s="34" t="str">
        <f t="shared" si="111"/>
        <v/>
      </c>
      <c r="Q517" s="34" t="str">
        <f t="shared" si="112"/>
        <v/>
      </c>
      <c r="R517" s="34" t="str">
        <f t="shared" si="113"/>
        <v/>
      </c>
      <c r="S517" s="34" t="str">
        <f t="shared" si="114"/>
        <v/>
      </c>
    </row>
    <row r="518" spans="12:19" x14ac:dyDescent="0.3">
      <c r="L518" s="34" t="str">
        <f t="shared" si="117"/>
        <v/>
      </c>
      <c r="M518" s="34" t="str">
        <f t="shared" si="124"/>
        <v/>
      </c>
      <c r="N518" s="34" t="str">
        <f t="shared" si="109"/>
        <v/>
      </c>
      <c r="O518" s="34" t="str">
        <f t="shared" si="110"/>
        <v/>
      </c>
      <c r="P518" s="34" t="str">
        <f t="shared" si="111"/>
        <v/>
      </c>
      <c r="Q518" s="34" t="str">
        <f t="shared" si="112"/>
        <v/>
      </c>
      <c r="R518" s="34" t="str">
        <f t="shared" si="113"/>
        <v/>
      </c>
      <c r="S518" s="34" t="str">
        <f t="shared" si="114"/>
        <v/>
      </c>
    </row>
    <row r="519" spans="12:19" x14ac:dyDescent="0.3">
      <c r="L519" s="34" t="str">
        <f t="shared" si="117"/>
        <v/>
      </c>
      <c r="M519" s="34" t="str">
        <f t="shared" si="124"/>
        <v/>
      </c>
      <c r="N519" s="34" t="str">
        <f t="shared" si="109"/>
        <v/>
      </c>
      <c r="O519" s="34" t="str">
        <f t="shared" si="110"/>
        <v/>
      </c>
      <c r="P519" s="34" t="str">
        <f t="shared" si="111"/>
        <v/>
      </c>
      <c r="Q519" s="34" t="str">
        <f t="shared" si="112"/>
        <v/>
      </c>
      <c r="R519" s="34" t="str">
        <f t="shared" si="113"/>
        <v/>
      </c>
      <c r="S519" s="34" t="str">
        <f t="shared" si="114"/>
        <v/>
      </c>
    </row>
    <row r="520" spans="12:19" x14ac:dyDescent="0.3">
      <c r="L520" s="34" t="str">
        <f t="shared" si="117"/>
        <v/>
      </c>
      <c r="M520" s="34" t="str">
        <f t="shared" si="124"/>
        <v/>
      </c>
      <c r="N520" s="34" t="str">
        <f t="shared" si="109"/>
        <v/>
      </c>
      <c r="O520" s="34" t="str">
        <f t="shared" si="110"/>
        <v/>
      </c>
      <c r="P520" s="34" t="str">
        <f t="shared" si="111"/>
        <v/>
      </c>
      <c r="Q520" s="34" t="str">
        <f t="shared" si="112"/>
        <v/>
      </c>
      <c r="R520" s="34" t="str">
        <f t="shared" si="113"/>
        <v/>
      </c>
      <c r="S520" s="34" t="str">
        <f t="shared" si="114"/>
        <v/>
      </c>
    </row>
    <row r="521" spans="12:19" x14ac:dyDescent="0.3">
      <c r="L521" s="34" t="str">
        <f t="shared" si="117"/>
        <v/>
      </c>
      <c r="M521" s="34" t="str">
        <f t="shared" si="124"/>
        <v/>
      </c>
      <c r="N521" s="34" t="str">
        <f t="shared" si="109"/>
        <v/>
      </c>
      <c r="O521" s="34" t="str">
        <f t="shared" si="110"/>
        <v/>
      </c>
      <c r="P521" s="34" t="str">
        <f t="shared" si="111"/>
        <v/>
      </c>
      <c r="Q521" s="34" t="str">
        <f t="shared" si="112"/>
        <v/>
      </c>
      <c r="R521" s="34" t="str">
        <f t="shared" si="113"/>
        <v/>
      </c>
      <c r="S521" s="34" t="str">
        <f t="shared" si="114"/>
        <v/>
      </c>
    </row>
    <row r="522" spans="12:19" x14ac:dyDescent="0.3">
      <c r="L522" s="34" t="str">
        <f t="shared" si="117"/>
        <v/>
      </c>
      <c r="M522" s="34" t="str">
        <f t="shared" si="124"/>
        <v/>
      </c>
      <c r="N522" s="34" t="str">
        <f t="shared" si="109"/>
        <v/>
      </c>
      <c r="O522" s="34" t="str">
        <f t="shared" si="110"/>
        <v/>
      </c>
      <c r="P522" s="34" t="str">
        <f t="shared" si="111"/>
        <v/>
      </c>
      <c r="Q522" s="34" t="str">
        <f t="shared" si="112"/>
        <v/>
      </c>
      <c r="R522" s="34" t="str">
        <f t="shared" si="113"/>
        <v/>
      </c>
      <c r="S522" s="34" t="str">
        <f t="shared" si="114"/>
        <v/>
      </c>
    </row>
    <row r="523" spans="12:19" x14ac:dyDescent="0.3">
      <c r="L523" s="34" t="str">
        <f t="shared" si="117"/>
        <v/>
      </c>
      <c r="M523" s="34" t="str">
        <f t="shared" si="124"/>
        <v/>
      </c>
      <c r="N523" s="34" t="str">
        <f t="shared" si="109"/>
        <v/>
      </c>
      <c r="O523" s="34" t="str">
        <f t="shared" si="110"/>
        <v/>
      </c>
      <c r="P523" s="34" t="str">
        <f t="shared" si="111"/>
        <v/>
      </c>
      <c r="Q523" s="34" t="str">
        <f t="shared" si="112"/>
        <v/>
      </c>
      <c r="R523" s="34" t="str">
        <f t="shared" si="113"/>
        <v/>
      </c>
      <c r="S523" s="34" t="str">
        <f t="shared" si="114"/>
        <v/>
      </c>
    </row>
    <row r="524" spans="12:19" x14ac:dyDescent="0.3">
      <c r="L524" s="34" t="str">
        <f t="shared" si="117"/>
        <v/>
      </c>
      <c r="M524" s="34" t="str">
        <f t="shared" si="124"/>
        <v/>
      </c>
      <c r="N524" s="34" t="str">
        <f t="shared" ref="N524:N587" si="125">IF(AND(OR($L524="l.csv",$L524="g.csv"),$E524&gt;4),F524,"")</f>
        <v/>
      </c>
      <c r="O524" s="34" t="str">
        <f t="shared" ref="O524:O587" si="126">IF(AND(OR($L524="l.csv",$L524="g.csv"),$E524&gt;4),G524,"")</f>
        <v/>
      </c>
      <c r="P524" s="34" t="str">
        <f t="shared" ref="P524:P587" si="127">IF(AND(OR($L524="l.csv",$L524="g.csv"),$E524&gt;4),H524,"")</f>
        <v/>
      </c>
      <c r="Q524" s="34" t="str">
        <f t="shared" ref="Q524:Q587" si="128">IF(AND(OR($L524="l.csv",$L524="g.csv"),$E524&gt;4),I524,"")</f>
        <v/>
      </c>
      <c r="R524" s="34" t="str">
        <f t="shared" ref="R524:R587" si="129">IF(AND(OR($L524="l.csv",$L524="g.csv"),$E524&gt;4),J524,"")</f>
        <v/>
      </c>
      <c r="S524" s="34" t="str">
        <f t="shared" ref="S524:S587" si="130">IF(AND(OR($L524="l.csv",$L524="g.csv"),$E524&gt;4),K524,"")</f>
        <v/>
      </c>
    </row>
    <row r="525" spans="12:19" x14ac:dyDescent="0.3">
      <c r="L525" s="34" t="str">
        <f t="shared" si="117"/>
        <v/>
      </c>
      <c r="M525" s="34" t="str">
        <f t="shared" si="124"/>
        <v/>
      </c>
      <c r="N525" s="34" t="str">
        <f t="shared" si="125"/>
        <v/>
      </c>
      <c r="O525" s="34" t="str">
        <f t="shared" si="126"/>
        <v/>
      </c>
      <c r="P525" s="34" t="str">
        <f t="shared" si="127"/>
        <v/>
      </c>
      <c r="Q525" s="34" t="str">
        <f t="shared" si="128"/>
        <v/>
      </c>
      <c r="R525" s="34" t="str">
        <f t="shared" si="129"/>
        <v/>
      </c>
      <c r="S525" s="34" t="str">
        <f t="shared" si="130"/>
        <v/>
      </c>
    </row>
    <row r="526" spans="12:19" x14ac:dyDescent="0.3">
      <c r="L526" s="34" t="str">
        <f t="shared" si="117"/>
        <v/>
      </c>
      <c r="M526" s="34" t="str">
        <f t="shared" si="124"/>
        <v/>
      </c>
      <c r="N526" s="34" t="str">
        <f t="shared" si="125"/>
        <v/>
      </c>
      <c r="O526" s="34" t="str">
        <f t="shared" si="126"/>
        <v/>
      </c>
      <c r="P526" s="34" t="str">
        <f t="shared" si="127"/>
        <v/>
      </c>
      <c r="Q526" s="34" t="str">
        <f t="shared" si="128"/>
        <v/>
      </c>
      <c r="R526" s="34" t="str">
        <f t="shared" si="129"/>
        <v/>
      </c>
      <c r="S526" s="34" t="str">
        <f t="shared" si="130"/>
        <v/>
      </c>
    </row>
    <row r="527" spans="12:19" x14ac:dyDescent="0.3">
      <c r="L527" s="34" t="str">
        <f t="shared" si="117"/>
        <v/>
      </c>
      <c r="M527" s="34" t="str">
        <f t="shared" si="124"/>
        <v/>
      </c>
      <c r="N527" s="34" t="str">
        <f t="shared" si="125"/>
        <v/>
      </c>
      <c r="O527" s="34" t="str">
        <f t="shared" si="126"/>
        <v/>
      </c>
      <c r="P527" s="34" t="str">
        <f t="shared" si="127"/>
        <v/>
      </c>
      <c r="Q527" s="34" t="str">
        <f t="shared" si="128"/>
        <v/>
      </c>
      <c r="R527" s="34" t="str">
        <f t="shared" si="129"/>
        <v/>
      </c>
      <c r="S527" s="34" t="str">
        <f t="shared" si="130"/>
        <v/>
      </c>
    </row>
    <row r="528" spans="12:19" x14ac:dyDescent="0.3">
      <c r="M528" s="34" t="str">
        <f t="shared" si="124"/>
        <v/>
      </c>
      <c r="N528" s="34" t="str">
        <f t="shared" si="125"/>
        <v/>
      </c>
      <c r="O528" s="34" t="str">
        <f t="shared" si="126"/>
        <v/>
      </c>
      <c r="P528" s="34" t="str">
        <f t="shared" si="127"/>
        <v/>
      </c>
      <c r="Q528" s="34" t="str">
        <f t="shared" si="128"/>
        <v/>
      </c>
      <c r="R528" s="34" t="str">
        <f t="shared" si="129"/>
        <v/>
      </c>
      <c r="S528" s="34" t="str">
        <f t="shared" si="130"/>
        <v/>
      </c>
    </row>
    <row r="529" spans="12:19" x14ac:dyDescent="0.3">
      <c r="M529" s="34" t="str">
        <f t="shared" si="124"/>
        <v/>
      </c>
      <c r="N529" s="34" t="str">
        <f t="shared" si="125"/>
        <v/>
      </c>
      <c r="O529" s="34" t="str">
        <f t="shared" si="126"/>
        <v/>
      </c>
      <c r="P529" s="34" t="str">
        <f t="shared" si="127"/>
        <v/>
      </c>
      <c r="Q529" s="34" t="str">
        <f t="shared" si="128"/>
        <v/>
      </c>
      <c r="R529" s="34" t="str">
        <f t="shared" si="129"/>
        <v/>
      </c>
      <c r="S529" s="34" t="str">
        <f t="shared" si="130"/>
        <v/>
      </c>
    </row>
    <row r="530" spans="12:19" x14ac:dyDescent="0.3">
      <c r="L530" s="34" t="str">
        <f t="shared" ref="L530" si="131">RIGHT(A530,5)</f>
        <v/>
      </c>
      <c r="M530" s="34" t="str">
        <f t="shared" si="124"/>
        <v/>
      </c>
      <c r="N530" s="34" t="str">
        <f t="shared" si="125"/>
        <v/>
      </c>
      <c r="O530" s="34" t="str">
        <f t="shared" si="126"/>
        <v/>
      </c>
      <c r="P530" s="34" t="str">
        <f t="shared" si="127"/>
        <v/>
      </c>
      <c r="Q530" s="34" t="str">
        <f t="shared" si="128"/>
        <v/>
      </c>
      <c r="R530" s="34" t="str">
        <f t="shared" si="129"/>
        <v/>
      </c>
      <c r="S530" s="34" t="str">
        <f t="shared" si="130"/>
        <v/>
      </c>
    </row>
    <row r="531" spans="12:19" x14ac:dyDescent="0.3">
      <c r="L531" s="34" t="str">
        <f t="shared" ref="L531:L594" si="132">L530</f>
        <v/>
      </c>
      <c r="M531" s="34" t="str">
        <f t="shared" si="124"/>
        <v/>
      </c>
      <c r="N531" s="34" t="str">
        <f t="shared" si="125"/>
        <v/>
      </c>
      <c r="O531" s="34" t="str">
        <f t="shared" si="126"/>
        <v/>
      </c>
      <c r="P531" s="34" t="str">
        <f t="shared" si="127"/>
        <v/>
      </c>
      <c r="Q531" s="34" t="str">
        <f t="shared" si="128"/>
        <v/>
      </c>
      <c r="R531" s="34" t="str">
        <f t="shared" si="129"/>
        <v/>
      </c>
      <c r="S531" s="34" t="str">
        <f t="shared" si="130"/>
        <v/>
      </c>
    </row>
    <row r="532" spans="12:19" x14ac:dyDescent="0.3">
      <c r="L532" s="34" t="str">
        <f t="shared" si="132"/>
        <v/>
      </c>
      <c r="M532" s="34" t="str">
        <f t="shared" si="124"/>
        <v/>
      </c>
      <c r="N532" s="34" t="str">
        <f t="shared" si="125"/>
        <v/>
      </c>
      <c r="O532" s="34" t="str">
        <f t="shared" si="126"/>
        <v/>
      </c>
      <c r="P532" s="34" t="str">
        <f t="shared" si="127"/>
        <v/>
      </c>
      <c r="Q532" s="34" t="str">
        <f t="shared" si="128"/>
        <v/>
      </c>
      <c r="R532" s="34" t="str">
        <f t="shared" si="129"/>
        <v/>
      </c>
      <c r="S532" s="34" t="str">
        <f t="shared" si="130"/>
        <v/>
      </c>
    </row>
    <row r="533" spans="12:19" x14ac:dyDescent="0.3">
      <c r="L533" s="34" t="str">
        <f t="shared" si="132"/>
        <v/>
      </c>
      <c r="M533" s="34" t="str">
        <f t="shared" si="124"/>
        <v/>
      </c>
      <c r="N533" s="34" t="str">
        <f t="shared" si="125"/>
        <v/>
      </c>
      <c r="O533" s="34" t="str">
        <f t="shared" si="126"/>
        <v/>
      </c>
      <c r="P533" s="34" t="str">
        <f t="shared" si="127"/>
        <v/>
      </c>
      <c r="Q533" s="34" t="str">
        <f t="shared" si="128"/>
        <v/>
      </c>
      <c r="R533" s="34" t="str">
        <f t="shared" si="129"/>
        <v/>
      </c>
      <c r="S533" s="34" t="str">
        <f t="shared" si="130"/>
        <v/>
      </c>
    </row>
    <row r="534" spans="12:19" x14ac:dyDescent="0.3">
      <c r="L534" s="34" t="str">
        <f t="shared" si="132"/>
        <v/>
      </c>
      <c r="M534" s="34" t="str">
        <f t="shared" si="124"/>
        <v/>
      </c>
      <c r="N534" s="34" t="str">
        <f t="shared" si="125"/>
        <v/>
      </c>
      <c r="O534" s="34" t="str">
        <f t="shared" si="126"/>
        <v/>
      </c>
      <c r="P534" s="34" t="str">
        <f t="shared" si="127"/>
        <v/>
      </c>
      <c r="Q534" s="34" t="str">
        <f t="shared" si="128"/>
        <v/>
      </c>
      <c r="R534" s="34" t="str">
        <f t="shared" si="129"/>
        <v/>
      </c>
      <c r="S534" s="34" t="str">
        <f t="shared" si="130"/>
        <v/>
      </c>
    </row>
    <row r="535" spans="12:19" x14ac:dyDescent="0.3">
      <c r="L535" s="34" t="str">
        <f t="shared" si="132"/>
        <v/>
      </c>
      <c r="M535" s="34" t="str">
        <f t="shared" si="124"/>
        <v/>
      </c>
      <c r="N535" s="34" t="str">
        <f t="shared" si="125"/>
        <v/>
      </c>
      <c r="O535" s="34" t="str">
        <f t="shared" si="126"/>
        <v/>
      </c>
      <c r="P535" s="34" t="str">
        <f t="shared" si="127"/>
        <v/>
      </c>
      <c r="Q535" s="34" t="str">
        <f t="shared" si="128"/>
        <v/>
      </c>
      <c r="R535" s="34" t="str">
        <f t="shared" si="129"/>
        <v/>
      </c>
      <c r="S535" s="34" t="str">
        <f t="shared" si="130"/>
        <v/>
      </c>
    </row>
    <row r="536" spans="12:19" x14ac:dyDescent="0.3">
      <c r="L536" s="34" t="str">
        <f t="shared" si="132"/>
        <v/>
      </c>
      <c r="M536" s="34" t="str">
        <f t="shared" si="124"/>
        <v/>
      </c>
      <c r="N536" s="34" t="str">
        <f t="shared" si="125"/>
        <v/>
      </c>
      <c r="O536" s="34" t="str">
        <f t="shared" si="126"/>
        <v/>
      </c>
      <c r="P536" s="34" t="str">
        <f t="shared" si="127"/>
        <v/>
      </c>
      <c r="Q536" s="34" t="str">
        <f t="shared" si="128"/>
        <v/>
      </c>
      <c r="R536" s="34" t="str">
        <f t="shared" si="129"/>
        <v/>
      </c>
      <c r="S536" s="34" t="str">
        <f t="shared" si="130"/>
        <v/>
      </c>
    </row>
    <row r="537" spans="12:19" x14ac:dyDescent="0.3">
      <c r="L537" s="34" t="str">
        <f t="shared" si="132"/>
        <v/>
      </c>
      <c r="M537" s="34" t="str">
        <f t="shared" si="124"/>
        <v/>
      </c>
      <c r="N537" s="34" t="str">
        <f t="shared" si="125"/>
        <v/>
      </c>
      <c r="O537" s="34" t="str">
        <f t="shared" si="126"/>
        <v/>
      </c>
      <c r="P537" s="34" t="str">
        <f t="shared" si="127"/>
        <v/>
      </c>
      <c r="Q537" s="34" t="str">
        <f t="shared" si="128"/>
        <v/>
      </c>
      <c r="R537" s="34" t="str">
        <f t="shared" si="129"/>
        <v/>
      </c>
      <c r="S537" s="34" t="str">
        <f t="shared" si="130"/>
        <v/>
      </c>
    </row>
    <row r="538" spans="12:19" x14ac:dyDescent="0.3">
      <c r="L538" s="34" t="str">
        <f t="shared" si="132"/>
        <v/>
      </c>
      <c r="M538" s="34" t="str">
        <f t="shared" si="124"/>
        <v/>
      </c>
      <c r="N538" s="34" t="str">
        <f t="shared" si="125"/>
        <v/>
      </c>
      <c r="O538" s="34" t="str">
        <f t="shared" si="126"/>
        <v/>
      </c>
      <c r="P538" s="34" t="str">
        <f t="shared" si="127"/>
        <v/>
      </c>
      <c r="Q538" s="34" t="str">
        <f t="shared" si="128"/>
        <v/>
      </c>
      <c r="R538" s="34" t="str">
        <f t="shared" si="129"/>
        <v/>
      </c>
      <c r="S538" s="34" t="str">
        <f t="shared" si="130"/>
        <v/>
      </c>
    </row>
    <row r="539" spans="12:19" x14ac:dyDescent="0.3">
      <c r="L539" s="34" t="str">
        <f t="shared" si="132"/>
        <v/>
      </c>
      <c r="M539" s="34" t="str">
        <f t="shared" si="124"/>
        <v/>
      </c>
      <c r="N539" s="34" t="str">
        <f t="shared" si="125"/>
        <v/>
      </c>
      <c r="O539" s="34" t="str">
        <f t="shared" si="126"/>
        <v/>
      </c>
      <c r="P539" s="34" t="str">
        <f t="shared" si="127"/>
        <v/>
      </c>
      <c r="Q539" s="34" t="str">
        <f t="shared" si="128"/>
        <v/>
      </c>
      <c r="R539" s="34" t="str">
        <f t="shared" si="129"/>
        <v/>
      </c>
      <c r="S539" s="34" t="str">
        <f t="shared" si="130"/>
        <v/>
      </c>
    </row>
    <row r="540" spans="12:19" x14ac:dyDescent="0.3">
      <c r="L540" s="34" t="str">
        <f t="shared" si="132"/>
        <v/>
      </c>
      <c r="M540" s="34" t="str">
        <f t="shared" si="124"/>
        <v/>
      </c>
      <c r="N540" s="34" t="str">
        <f t="shared" si="125"/>
        <v/>
      </c>
      <c r="O540" s="34" t="str">
        <f t="shared" si="126"/>
        <v/>
      </c>
      <c r="P540" s="34" t="str">
        <f t="shared" si="127"/>
        <v/>
      </c>
      <c r="Q540" s="34" t="str">
        <f t="shared" si="128"/>
        <v/>
      </c>
      <c r="R540" s="34" t="str">
        <f t="shared" si="129"/>
        <v/>
      </c>
      <c r="S540" s="34" t="str">
        <f t="shared" si="130"/>
        <v/>
      </c>
    </row>
    <row r="541" spans="12:19" x14ac:dyDescent="0.3">
      <c r="L541" s="34" t="str">
        <f t="shared" si="132"/>
        <v/>
      </c>
      <c r="M541" s="34" t="str">
        <f t="shared" si="124"/>
        <v/>
      </c>
      <c r="N541" s="34" t="str">
        <f t="shared" si="125"/>
        <v/>
      </c>
      <c r="O541" s="34" t="str">
        <f t="shared" si="126"/>
        <v/>
      </c>
      <c r="P541" s="34" t="str">
        <f t="shared" si="127"/>
        <v/>
      </c>
      <c r="Q541" s="34" t="str">
        <f t="shared" si="128"/>
        <v/>
      </c>
      <c r="R541" s="34" t="str">
        <f t="shared" si="129"/>
        <v/>
      </c>
      <c r="S541" s="34" t="str">
        <f t="shared" si="130"/>
        <v/>
      </c>
    </row>
    <row r="542" spans="12:19" x14ac:dyDescent="0.3">
      <c r="L542" s="34" t="str">
        <f t="shared" si="132"/>
        <v/>
      </c>
      <c r="M542" s="34" t="str">
        <f t="shared" si="124"/>
        <v/>
      </c>
      <c r="N542" s="34" t="str">
        <f t="shared" si="125"/>
        <v/>
      </c>
      <c r="O542" s="34" t="str">
        <f t="shared" si="126"/>
        <v/>
      </c>
      <c r="P542" s="34" t="str">
        <f t="shared" si="127"/>
        <v/>
      </c>
      <c r="Q542" s="34" t="str">
        <f t="shared" si="128"/>
        <v/>
      </c>
      <c r="R542" s="34" t="str">
        <f t="shared" si="129"/>
        <v/>
      </c>
      <c r="S542" s="34" t="str">
        <f t="shared" si="130"/>
        <v/>
      </c>
    </row>
    <row r="543" spans="12:19" x14ac:dyDescent="0.3">
      <c r="L543" s="34" t="str">
        <f t="shared" si="132"/>
        <v/>
      </c>
      <c r="M543" s="34" t="str">
        <f t="shared" si="124"/>
        <v/>
      </c>
      <c r="N543" s="34" t="str">
        <f t="shared" si="125"/>
        <v/>
      </c>
      <c r="O543" s="34" t="str">
        <f t="shared" si="126"/>
        <v/>
      </c>
      <c r="P543" s="34" t="str">
        <f t="shared" si="127"/>
        <v/>
      </c>
      <c r="Q543" s="34" t="str">
        <f t="shared" si="128"/>
        <v/>
      </c>
      <c r="R543" s="34" t="str">
        <f t="shared" si="129"/>
        <v/>
      </c>
      <c r="S543" s="34" t="str">
        <f t="shared" si="130"/>
        <v/>
      </c>
    </row>
    <row r="544" spans="12:19" x14ac:dyDescent="0.3">
      <c r="L544" s="34" t="str">
        <f t="shared" si="132"/>
        <v/>
      </c>
      <c r="M544" s="34" t="str">
        <f t="shared" si="124"/>
        <v/>
      </c>
      <c r="N544" s="34" t="str">
        <f t="shared" si="125"/>
        <v/>
      </c>
      <c r="O544" s="34" t="str">
        <f t="shared" si="126"/>
        <v/>
      </c>
      <c r="P544" s="34" t="str">
        <f t="shared" si="127"/>
        <v/>
      </c>
      <c r="Q544" s="34" t="str">
        <f t="shared" si="128"/>
        <v/>
      </c>
      <c r="R544" s="34" t="str">
        <f t="shared" si="129"/>
        <v/>
      </c>
      <c r="S544" s="34" t="str">
        <f t="shared" si="130"/>
        <v/>
      </c>
    </row>
    <row r="545" spans="12:19" x14ac:dyDescent="0.3">
      <c r="M545" s="34" t="str">
        <f t="shared" si="124"/>
        <v/>
      </c>
      <c r="N545" s="34" t="str">
        <f t="shared" si="125"/>
        <v/>
      </c>
      <c r="O545" s="34" t="str">
        <f t="shared" si="126"/>
        <v/>
      </c>
      <c r="P545" s="34" t="str">
        <f t="shared" si="127"/>
        <v/>
      </c>
      <c r="Q545" s="34" t="str">
        <f t="shared" si="128"/>
        <v/>
      </c>
      <c r="R545" s="34" t="str">
        <f t="shared" si="129"/>
        <v/>
      </c>
      <c r="S545" s="34" t="str">
        <f t="shared" si="130"/>
        <v/>
      </c>
    </row>
    <row r="546" spans="12:19" x14ac:dyDescent="0.3">
      <c r="M546" s="34" t="str">
        <f t="shared" si="124"/>
        <v/>
      </c>
      <c r="N546" s="34" t="str">
        <f t="shared" si="125"/>
        <v/>
      </c>
      <c r="O546" s="34" t="str">
        <f t="shared" si="126"/>
        <v/>
      </c>
      <c r="P546" s="34" t="str">
        <f t="shared" si="127"/>
        <v/>
      </c>
      <c r="Q546" s="34" t="str">
        <f t="shared" si="128"/>
        <v/>
      </c>
      <c r="R546" s="34" t="str">
        <f t="shared" si="129"/>
        <v/>
      </c>
      <c r="S546" s="34" t="str">
        <f t="shared" si="130"/>
        <v/>
      </c>
    </row>
    <row r="547" spans="12:19" x14ac:dyDescent="0.3">
      <c r="L547" s="34" t="str">
        <f t="shared" ref="L547" si="133">RIGHT(A547,5)</f>
        <v/>
      </c>
      <c r="M547" s="34" t="str">
        <f t="shared" si="124"/>
        <v/>
      </c>
      <c r="N547" s="34" t="str">
        <f t="shared" si="125"/>
        <v/>
      </c>
      <c r="O547" s="34" t="str">
        <f t="shared" si="126"/>
        <v/>
      </c>
      <c r="P547" s="34" t="str">
        <f t="shared" si="127"/>
        <v/>
      </c>
      <c r="Q547" s="34" t="str">
        <f t="shared" si="128"/>
        <v/>
      </c>
      <c r="R547" s="34" t="str">
        <f t="shared" si="129"/>
        <v/>
      </c>
      <c r="S547" s="34" t="str">
        <f t="shared" si="130"/>
        <v/>
      </c>
    </row>
    <row r="548" spans="12:19" x14ac:dyDescent="0.3">
      <c r="L548" s="34" t="str">
        <f t="shared" ref="L548" si="134">L547</f>
        <v/>
      </c>
      <c r="M548" s="34" t="str">
        <f t="shared" si="124"/>
        <v/>
      </c>
      <c r="N548" s="34" t="str">
        <f t="shared" si="125"/>
        <v/>
      </c>
      <c r="O548" s="34" t="str">
        <f t="shared" si="126"/>
        <v/>
      </c>
      <c r="P548" s="34" t="str">
        <f t="shared" si="127"/>
        <v/>
      </c>
      <c r="Q548" s="34" t="str">
        <f t="shared" si="128"/>
        <v/>
      </c>
      <c r="R548" s="34" t="str">
        <f t="shared" si="129"/>
        <v/>
      </c>
      <c r="S548" s="34" t="str">
        <f t="shared" si="130"/>
        <v/>
      </c>
    </row>
    <row r="549" spans="12:19" x14ac:dyDescent="0.3">
      <c r="L549" s="34" t="str">
        <f t="shared" si="132"/>
        <v/>
      </c>
      <c r="M549" s="34" t="str">
        <f t="shared" si="124"/>
        <v/>
      </c>
      <c r="N549" s="34" t="str">
        <f t="shared" si="125"/>
        <v/>
      </c>
      <c r="O549" s="34" t="str">
        <f t="shared" si="126"/>
        <v/>
      </c>
      <c r="P549" s="34" t="str">
        <f t="shared" si="127"/>
        <v/>
      </c>
      <c r="Q549" s="34" t="str">
        <f t="shared" si="128"/>
        <v/>
      </c>
      <c r="R549" s="34" t="str">
        <f t="shared" si="129"/>
        <v/>
      </c>
      <c r="S549" s="34" t="str">
        <f t="shared" si="130"/>
        <v/>
      </c>
    </row>
    <row r="550" spans="12:19" x14ac:dyDescent="0.3">
      <c r="L550" s="34" t="str">
        <f t="shared" si="132"/>
        <v/>
      </c>
      <c r="M550" s="34" t="str">
        <f t="shared" si="124"/>
        <v/>
      </c>
      <c r="N550" s="34" t="str">
        <f t="shared" si="125"/>
        <v/>
      </c>
      <c r="O550" s="34" t="str">
        <f t="shared" si="126"/>
        <v/>
      </c>
      <c r="P550" s="34" t="str">
        <f t="shared" si="127"/>
        <v/>
      </c>
      <c r="Q550" s="34" t="str">
        <f t="shared" si="128"/>
        <v/>
      </c>
      <c r="R550" s="34" t="str">
        <f t="shared" si="129"/>
        <v/>
      </c>
      <c r="S550" s="34" t="str">
        <f t="shared" si="130"/>
        <v/>
      </c>
    </row>
    <row r="551" spans="12:19" x14ac:dyDescent="0.3">
      <c r="L551" s="34" t="str">
        <f t="shared" si="132"/>
        <v/>
      </c>
      <c r="M551" s="34" t="str">
        <f t="shared" si="124"/>
        <v/>
      </c>
      <c r="N551" s="34" t="str">
        <f t="shared" si="125"/>
        <v/>
      </c>
      <c r="O551" s="34" t="str">
        <f t="shared" si="126"/>
        <v/>
      </c>
      <c r="P551" s="34" t="str">
        <f t="shared" si="127"/>
        <v/>
      </c>
      <c r="Q551" s="34" t="str">
        <f t="shared" si="128"/>
        <v/>
      </c>
      <c r="R551" s="34" t="str">
        <f t="shared" si="129"/>
        <v/>
      </c>
      <c r="S551" s="34" t="str">
        <f t="shared" si="130"/>
        <v/>
      </c>
    </row>
    <row r="552" spans="12:19" x14ac:dyDescent="0.3">
      <c r="L552" s="34" t="str">
        <f t="shared" si="132"/>
        <v/>
      </c>
      <c r="M552" s="34" t="str">
        <f t="shared" si="124"/>
        <v/>
      </c>
      <c r="N552" s="34" t="str">
        <f t="shared" si="125"/>
        <v/>
      </c>
      <c r="O552" s="34" t="str">
        <f t="shared" si="126"/>
        <v/>
      </c>
      <c r="P552" s="34" t="str">
        <f t="shared" si="127"/>
        <v/>
      </c>
      <c r="Q552" s="34" t="str">
        <f t="shared" si="128"/>
        <v/>
      </c>
      <c r="R552" s="34" t="str">
        <f t="shared" si="129"/>
        <v/>
      </c>
      <c r="S552" s="34" t="str">
        <f t="shared" si="130"/>
        <v/>
      </c>
    </row>
    <row r="553" spans="12:19" x14ac:dyDescent="0.3">
      <c r="L553" s="34" t="str">
        <f t="shared" si="132"/>
        <v/>
      </c>
      <c r="M553" s="34" t="str">
        <f t="shared" si="124"/>
        <v/>
      </c>
      <c r="N553" s="34" t="str">
        <f t="shared" si="125"/>
        <v/>
      </c>
      <c r="O553" s="34" t="str">
        <f t="shared" si="126"/>
        <v/>
      </c>
      <c r="P553" s="34" t="str">
        <f t="shared" si="127"/>
        <v/>
      </c>
      <c r="Q553" s="34" t="str">
        <f t="shared" si="128"/>
        <v/>
      </c>
      <c r="R553" s="34" t="str">
        <f t="shared" si="129"/>
        <v/>
      </c>
      <c r="S553" s="34" t="str">
        <f t="shared" si="130"/>
        <v/>
      </c>
    </row>
    <row r="554" spans="12:19" x14ac:dyDescent="0.3">
      <c r="L554" s="34" t="str">
        <f t="shared" si="132"/>
        <v/>
      </c>
      <c r="M554" s="34" t="str">
        <f t="shared" si="124"/>
        <v/>
      </c>
      <c r="N554" s="34" t="str">
        <f t="shared" si="125"/>
        <v/>
      </c>
      <c r="O554" s="34" t="str">
        <f t="shared" si="126"/>
        <v/>
      </c>
      <c r="P554" s="34" t="str">
        <f t="shared" si="127"/>
        <v/>
      </c>
      <c r="Q554" s="34" t="str">
        <f t="shared" si="128"/>
        <v/>
      </c>
      <c r="R554" s="34" t="str">
        <f t="shared" si="129"/>
        <v/>
      </c>
      <c r="S554" s="34" t="str">
        <f t="shared" si="130"/>
        <v/>
      </c>
    </row>
    <row r="555" spans="12:19" x14ac:dyDescent="0.3">
      <c r="L555" s="34" t="str">
        <f t="shared" si="132"/>
        <v/>
      </c>
      <c r="M555" s="34" t="str">
        <f t="shared" si="124"/>
        <v/>
      </c>
      <c r="N555" s="34" t="str">
        <f t="shared" si="125"/>
        <v/>
      </c>
      <c r="O555" s="34" t="str">
        <f t="shared" si="126"/>
        <v/>
      </c>
      <c r="P555" s="34" t="str">
        <f t="shared" si="127"/>
        <v/>
      </c>
      <c r="Q555" s="34" t="str">
        <f t="shared" si="128"/>
        <v/>
      </c>
      <c r="R555" s="34" t="str">
        <f t="shared" si="129"/>
        <v/>
      </c>
      <c r="S555" s="34" t="str">
        <f t="shared" si="130"/>
        <v/>
      </c>
    </row>
    <row r="556" spans="12:19" x14ac:dyDescent="0.3">
      <c r="L556" s="34" t="str">
        <f t="shared" si="132"/>
        <v/>
      </c>
      <c r="M556" s="34" t="str">
        <f t="shared" si="124"/>
        <v/>
      </c>
      <c r="N556" s="34" t="str">
        <f t="shared" si="125"/>
        <v/>
      </c>
      <c r="O556" s="34" t="str">
        <f t="shared" si="126"/>
        <v/>
      </c>
      <c r="P556" s="34" t="str">
        <f t="shared" si="127"/>
        <v/>
      </c>
      <c r="Q556" s="34" t="str">
        <f t="shared" si="128"/>
        <v/>
      </c>
      <c r="R556" s="34" t="str">
        <f t="shared" si="129"/>
        <v/>
      </c>
      <c r="S556" s="34" t="str">
        <f t="shared" si="130"/>
        <v/>
      </c>
    </row>
    <row r="557" spans="12:19" x14ac:dyDescent="0.3">
      <c r="L557" s="34" t="str">
        <f t="shared" si="132"/>
        <v/>
      </c>
      <c r="M557" s="34" t="str">
        <f t="shared" si="124"/>
        <v/>
      </c>
      <c r="N557" s="34" t="str">
        <f t="shared" si="125"/>
        <v/>
      </c>
      <c r="O557" s="34" t="str">
        <f t="shared" si="126"/>
        <v/>
      </c>
      <c r="P557" s="34" t="str">
        <f t="shared" si="127"/>
        <v/>
      </c>
      <c r="Q557" s="34" t="str">
        <f t="shared" si="128"/>
        <v/>
      </c>
      <c r="R557" s="34" t="str">
        <f t="shared" si="129"/>
        <v/>
      </c>
      <c r="S557" s="34" t="str">
        <f t="shared" si="130"/>
        <v/>
      </c>
    </row>
    <row r="558" spans="12:19" x14ac:dyDescent="0.3">
      <c r="L558" s="34" t="str">
        <f t="shared" si="132"/>
        <v/>
      </c>
      <c r="M558" s="34" t="str">
        <f t="shared" si="124"/>
        <v/>
      </c>
      <c r="N558" s="34" t="str">
        <f t="shared" si="125"/>
        <v/>
      </c>
      <c r="O558" s="34" t="str">
        <f t="shared" si="126"/>
        <v/>
      </c>
      <c r="P558" s="34" t="str">
        <f t="shared" si="127"/>
        <v/>
      </c>
      <c r="Q558" s="34" t="str">
        <f t="shared" si="128"/>
        <v/>
      </c>
      <c r="R558" s="34" t="str">
        <f t="shared" si="129"/>
        <v/>
      </c>
      <c r="S558" s="34" t="str">
        <f t="shared" si="130"/>
        <v/>
      </c>
    </row>
    <row r="559" spans="12:19" x14ac:dyDescent="0.3">
      <c r="L559" s="34" t="str">
        <f t="shared" si="132"/>
        <v/>
      </c>
      <c r="M559" s="34" t="str">
        <f t="shared" si="124"/>
        <v/>
      </c>
      <c r="N559" s="34" t="str">
        <f t="shared" si="125"/>
        <v/>
      </c>
      <c r="O559" s="34" t="str">
        <f t="shared" si="126"/>
        <v/>
      </c>
      <c r="P559" s="34" t="str">
        <f t="shared" si="127"/>
        <v/>
      </c>
      <c r="Q559" s="34" t="str">
        <f t="shared" si="128"/>
        <v/>
      </c>
      <c r="R559" s="34" t="str">
        <f t="shared" si="129"/>
        <v/>
      </c>
      <c r="S559" s="34" t="str">
        <f t="shared" si="130"/>
        <v/>
      </c>
    </row>
    <row r="560" spans="12:19" x14ac:dyDescent="0.3">
      <c r="L560" s="34" t="str">
        <f t="shared" si="132"/>
        <v/>
      </c>
      <c r="M560" s="34" t="str">
        <f t="shared" si="124"/>
        <v/>
      </c>
      <c r="N560" s="34" t="str">
        <f t="shared" si="125"/>
        <v/>
      </c>
      <c r="O560" s="34" t="str">
        <f t="shared" si="126"/>
        <v/>
      </c>
      <c r="P560" s="34" t="str">
        <f t="shared" si="127"/>
        <v/>
      </c>
      <c r="Q560" s="34" t="str">
        <f t="shared" si="128"/>
        <v/>
      </c>
      <c r="R560" s="34" t="str">
        <f t="shared" si="129"/>
        <v/>
      </c>
      <c r="S560" s="34" t="str">
        <f t="shared" si="130"/>
        <v/>
      </c>
    </row>
    <row r="561" spans="12:19" x14ac:dyDescent="0.3">
      <c r="L561" s="34" t="str">
        <f t="shared" si="132"/>
        <v/>
      </c>
      <c r="M561" s="34" t="str">
        <f t="shared" si="124"/>
        <v/>
      </c>
      <c r="N561" s="34" t="str">
        <f t="shared" si="125"/>
        <v/>
      </c>
      <c r="O561" s="34" t="str">
        <f t="shared" si="126"/>
        <v/>
      </c>
      <c r="P561" s="34" t="str">
        <f t="shared" si="127"/>
        <v/>
      </c>
      <c r="Q561" s="34" t="str">
        <f t="shared" si="128"/>
        <v/>
      </c>
      <c r="R561" s="34" t="str">
        <f t="shared" si="129"/>
        <v/>
      </c>
      <c r="S561" s="34" t="str">
        <f t="shared" si="130"/>
        <v/>
      </c>
    </row>
    <row r="562" spans="12:19" x14ac:dyDescent="0.3">
      <c r="M562" s="34" t="str">
        <f t="shared" si="124"/>
        <v/>
      </c>
      <c r="N562" s="34" t="str">
        <f t="shared" si="125"/>
        <v/>
      </c>
      <c r="O562" s="34" t="str">
        <f t="shared" si="126"/>
        <v/>
      </c>
      <c r="P562" s="34" t="str">
        <f t="shared" si="127"/>
        <v/>
      </c>
      <c r="Q562" s="34" t="str">
        <f t="shared" si="128"/>
        <v/>
      </c>
      <c r="R562" s="34" t="str">
        <f t="shared" si="129"/>
        <v/>
      </c>
      <c r="S562" s="34" t="str">
        <f t="shared" si="130"/>
        <v/>
      </c>
    </row>
    <row r="563" spans="12:19" x14ac:dyDescent="0.3">
      <c r="M563" s="34" t="str">
        <f t="shared" si="124"/>
        <v/>
      </c>
      <c r="N563" s="34" t="str">
        <f t="shared" si="125"/>
        <v/>
      </c>
      <c r="O563" s="34" t="str">
        <f t="shared" si="126"/>
        <v/>
      </c>
      <c r="P563" s="34" t="str">
        <f t="shared" si="127"/>
        <v/>
      </c>
      <c r="Q563" s="34" t="str">
        <f t="shared" si="128"/>
        <v/>
      </c>
      <c r="R563" s="34" t="str">
        <f t="shared" si="129"/>
        <v/>
      </c>
      <c r="S563" s="34" t="str">
        <f t="shared" si="130"/>
        <v/>
      </c>
    </row>
    <row r="564" spans="12:19" x14ac:dyDescent="0.3">
      <c r="L564" s="34" t="str">
        <f t="shared" ref="L564" si="135">RIGHT(A564,5)</f>
        <v/>
      </c>
      <c r="M564" s="34" t="str">
        <f t="shared" si="124"/>
        <v/>
      </c>
      <c r="N564" s="34" t="str">
        <f t="shared" si="125"/>
        <v/>
      </c>
      <c r="O564" s="34" t="str">
        <f t="shared" si="126"/>
        <v/>
      </c>
      <c r="P564" s="34" t="str">
        <f t="shared" si="127"/>
        <v/>
      </c>
      <c r="Q564" s="34" t="str">
        <f t="shared" si="128"/>
        <v/>
      </c>
      <c r="R564" s="34" t="str">
        <f t="shared" si="129"/>
        <v/>
      </c>
      <c r="S564" s="34" t="str">
        <f t="shared" si="130"/>
        <v/>
      </c>
    </row>
    <row r="565" spans="12:19" x14ac:dyDescent="0.3">
      <c r="L565" s="34" t="str">
        <f t="shared" ref="L565" si="136">L564</f>
        <v/>
      </c>
      <c r="M565" s="34" t="str">
        <f t="shared" si="124"/>
        <v/>
      </c>
      <c r="N565" s="34" t="str">
        <f t="shared" si="125"/>
        <v/>
      </c>
      <c r="O565" s="34" t="str">
        <f t="shared" si="126"/>
        <v/>
      </c>
      <c r="P565" s="34" t="str">
        <f t="shared" si="127"/>
        <v/>
      </c>
      <c r="Q565" s="34" t="str">
        <f t="shared" si="128"/>
        <v/>
      </c>
      <c r="R565" s="34" t="str">
        <f t="shared" si="129"/>
        <v/>
      </c>
      <c r="S565" s="34" t="str">
        <f t="shared" si="130"/>
        <v/>
      </c>
    </row>
    <row r="566" spans="12:19" x14ac:dyDescent="0.3">
      <c r="L566" s="34" t="str">
        <f t="shared" si="132"/>
        <v/>
      </c>
      <c r="M566" s="34" t="str">
        <f t="shared" si="124"/>
        <v/>
      </c>
      <c r="N566" s="34" t="str">
        <f t="shared" si="125"/>
        <v/>
      </c>
      <c r="O566" s="34" t="str">
        <f t="shared" si="126"/>
        <v/>
      </c>
      <c r="P566" s="34" t="str">
        <f t="shared" si="127"/>
        <v/>
      </c>
      <c r="Q566" s="34" t="str">
        <f t="shared" si="128"/>
        <v/>
      </c>
      <c r="R566" s="34" t="str">
        <f t="shared" si="129"/>
        <v/>
      </c>
      <c r="S566" s="34" t="str">
        <f t="shared" si="130"/>
        <v/>
      </c>
    </row>
    <row r="567" spans="12:19" x14ac:dyDescent="0.3">
      <c r="L567" s="34" t="str">
        <f t="shared" si="132"/>
        <v/>
      </c>
      <c r="M567" s="34" t="str">
        <f t="shared" si="124"/>
        <v/>
      </c>
      <c r="N567" s="34" t="str">
        <f t="shared" si="125"/>
        <v/>
      </c>
      <c r="O567" s="34" t="str">
        <f t="shared" si="126"/>
        <v/>
      </c>
      <c r="P567" s="34" t="str">
        <f t="shared" si="127"/>
        <v/>
      </c>
      <c r="Q567" s="34" t="str">
        <f t="shared" si="128"/>
        <v/>
      </c>
      <c r="R567" s="34" t="str">
        <f t="shared" si="129"/>
        <v/>
      </c>
      <c r="S567" s="34" t="str">
        <f t="shared" si="130"/>
        <v/>
      </c>
    </row>
    <row r="568" spans="12:19" x14ac:dyDescent="0.3">
      <c r="L568" s="34" t="str">
        <f t="shared" si="132"/>
        <v/>
      </c>
      <c r="M568" s="34" t="str">
        <f t="shared" si="124"/>
        <v/>
      </c>
      <c r="N568" s="34" t="str">
        <f t="shared" si="125"/>
        <v/>
      </c>
      <c r="O568" s="34" t="str">
        <f t="shared" si="126"/>
        <v/>
      </c>
      <c r="P568" s="34" t="str">
        <f t="shared" si="127"/>
        <v/>
      </c>
      <c r="Q568" s="34" t="str">
        <f t="shared" si="128"/>
        <v/>
      </c>
      <c r="R568" s="34" t="str">
        <f t="shared" si="129"/>
        <v/>
      </c>
      <c r="S568" s="34" t="str">
        <f t="shared" si="130"/>
        <v/>
      </c>
    </row>
    <row r="569" spans="12:19" x14ac:dyDescent="0.3">
      <c r="L569" s="34" t="str">
        <f t="shared" si="132"/>
        <v/>
      </c>
      <c r="M569" s="34" t="str">
        <f t="shared" si="124"/>
        <v/>
      </c>
      <c r="N569" s="34" t="str">
        <f t="shared" si="125"/>
        <v/>
      </c>
      <c r="O569" s="34" t="str">
        <f t="shared" si="126"/>
        <v/>
      </c>
      <c r="P569" s="34" t="str">
        <f t="shared" si="127"/>
        <v/>
      </c>
      <c r="Q569" s="34" t="str">
        <f t="shared" si="128"/>
        <v/>
      </c>
      <c r="R569" s="34" t="str">
        <f t="shared" si="129"/>
        <v/>
      </c>
      <c r="S569" s="34" t="str">
        <f t="shared" si="130"/>
        <v/>
      </c>
    </row>
    <row r="570" spans="12:19" x14ac:dyDescent="0.3">
      <c r="L570" s="34" t="str">
        <f t="shared" si="132"/>
        <v/>
      </c>
      <c r="M570" s="34" t="str">
        <f t="shared" si="124"/>
        <v/>
      </c>
      <c r="N570" s="34" t="str">
        <f t="shared" si="125"/>
        <v/>
      </c>
      <c r="O570" s="34" t="str">
        <f t="shared" si="126"/>
        <v/>
      </c>
      <c r="P570" s="34" t="str">
        <f t="shared" si="127"/>
        <v/>
      </c>
      <c r="Q570" s="34" t="str">
        <f t="shared" si="128"/>
        <v/>
      </c>
      <c r="R570" s="34" t="str">
        <f t="shared" si="129"/>
        <v/>
      </c>
      <c r="S570" s="34" t="str">
        <f t="shared" si="130"/>
        <v/>
      </c>
    </row>
    <row r="571" spans="12:19" x14ac:dyDescent="0.3">
      <c r="L571" s="34" t="str">
        <f t="shared" si="132"/>
        <v/>
      </c>
      <c r="M571" s="34" t="str">
        <f t="shared" si="124"/>
        <v/>
      </c>
      <c r="N571" s="34" t="str">
        <f t="shared" si="125"/>
        <v/>
      </c>
      <c r="O571" s="34" t="str">
        <f t="shared" si="126"/>
        <v/>
      </c>
      <c r="P571" s="34" t="str">
        <f t="shared" si="127"/>
        <v/>
      </c>
      <c r="Q571" s="34" t="str">
        <f t="shared" si="128"/>
        <v/>
      </c>
      <c r="R571" s="34" t="str">
        <f t="shared" si="129"/>
        <v/>
      </c>
      <c r="S571" s="34" t="str">
        <f t="shared" si="130"/>
        <v/>
      </c>
    </row>
    <row r="572" spans="12:19" x14ac:dyDescent="0.3">
      <c r="L572" s="34" t="str">
        <f t="shared" si="132"/>
        <v/>
      </c>
      <c r="M572" s="34" t="str">
        <f t="shared" si="124"/>
        <v/>
      </c>
      <c r="N572" s="34" t="str">
        <f t="shared" si="125"/>
        <v/>
      </c>
      <c r="O572" s="34" t="str">
        <f t="shared" si="126"/>
        <v/>
      </c>
      <c r="P572" s="34" t="str">
        <f t="shared" si="127"/>
        <v/>
      </c>
      <c r="Q572" s="34" t="str">
        <f t="shared" si="128"/>
        <v/>
      </c>
      <c r="R572" s="34" t="str">
        <f t="shared" si="129"/>
        <v/>
      </c>
      <c r="S572" s="34" t="str">
        <f t="shared" si="130"/>
        <v/>
      </c>
    </row>
    <row r="573" spans="12:19" x14ac:dyDescent="0.3">
      <c r="L573" s="34" t="str">
        <f t="shared" si="132"/>
        <v/>
      </c>
      <c r="M573" s="34" t="str">
        <f t="shared" si="124"/>
        <v/>
      </c>
      <c r="N573" s="34" t="str">
        <f t="shared" si="125"/>
        <v/>
      </c>
      <c r="O573" s="34" t="str">
        <f t="shared" si="126"/>
        <v/>
      </c>
      <c r="P573" s="34" t="str">
        <f t="shared" si="127"/>
        <v/>
      </c>
      <c r="Q573" s="34" t="str">
        <f t="shared" si="128"/>
        <v/>
      </c>
      <c r="R573" s="34" t="str">
        <f t="shared" si="129"/>
        <v/>
      </c>
      <c r="S573" s="34" t="str">
        <f t="shared" si="130"/>
        <v/>
      </c>
    </row>
    <row r="574" spans="12:19" x14ac:dyDescent="0.3">
      <c r="L574" s="34" t="str">
        <f t="shared" si="132"/>
        <v/>
      </c>
      <c r="M574" s="34" t="str">
        <f t="shared" si="124"/>
        <v/>
      </c>
      <c r="N574" s="34" t="str">
        <f t="shared" si="125"/>
        <v/>
      </c>
      <c r="O574" s="34" t="str">
        <f t="shared" si="126"/>
        <v/>
      </c>
      <c r="P574" s="34" t="str">
        <f t="shared" si="127"/>
        <v/>
      </c>
      <c r="Q574" s="34" t="str">
        <f t="shared" si="128"/>
        <v/>
      </c>
      <c r="R574" s="34" t="str">
        <f t="shared" si="129"/>
        <v/>
      </c>
      <c r="S574" s="34" t="str">
        <f t="shared" si="130"/>
        <v/>
      </c>
    </row>
    <row r="575" spans="12:19" x14ac:dyDescent="0.3">
      <c r="L575" s="34" t="str">
        <f t="shared" si="132"/>
        <v/>
      </c>
      <c r="M575" s="34" t="str">
        <f t="shared" si="124"/>
        <v/>
      </c>
      <c r="N575" s="34" t="str">
        <f t="shared" si="125"/>
        <v/>
      </c>
      <c r="O575" s="34" t="str">
        <f t="shared" si="126"/>
        <v/>
      </c>
      <c r="P575" s="34" t="str">
        <f t="shared" si="127"/>
        <v/>
      </c>
      <c r="Q575" s="34" t="str">
        <f t="shared" si="128"/>
        <v/>
      </c>
      <c r="R575" s="34" t="str">
        <f t="shared" si="129"/>
        <v/>
      </c>
      <c r="S575" s="34" t="str">
        <f t="shared" si="130"/>
        <v/>
      </c>
    </row>
    <row r="576" spans="12:19" x14ac:dyDescent="0.3">
      <c r="L576" s="34" t="str">
        <f t="shared" si="132"/>
        <v/>
      </c>
      <c r="M576" s="34" t="str">
        <f t="shared" si="124"/>
        <v/>
      </c>
      <c r="N576" s="34" t="str">
        <f t="shared" si="125"/>
        <v/>
      </c>
      <c r="O576" s="34" t="str">
        <f t="shared" si="126"/>
        <v/>
      </c>
      <c r="P576" s="34" t="str">
        <f t="shared" si="127"/>
        <v/>
      </c>
      <c r="Q576" s="34" t="str">
        <f t="shared" si="128"/>
        <v/>
      </c>
      <c r="R576" s="34" t="str">
        <f t="shared" si="129"/>
        <v/>
      </c>
      <c r="S576" s="34" t="str">
        <f t="shared" si="130"/>
        <v/>
      </c>
    </row>
    <row r="577" spans="12:19" x14ac:dyDescent="0.3">
      <c r="L577" s="34" t="str">
        <f t="shared" si="132"/>
        <v/>
      </c>
      <c r="M577" s="34" t="str">
        <f t="shared" si="124"/>
        <v/>
      </c>
      <c r="N577" s="34" t="str">
        <f t="shared" si="125"/>
        <v/>
      </c>
      <c r="O577" s="34" t="str">
        <f t="shared" si="126"/>
        <v/>
      </c>
      <c r="P577" s="34" t="str">
        <f t="shared" si="127"/>
        <v/>
      </c>
      <c r="Q577" s="34" t="str">
        <f t="shared" si="128"/>
        <v/>
      </c>
      <c r="R577" s="34" t="str">
        <f t="shared" si="129"/>
        <v/>
      </c>
      <c r="S577" s="34" t="str">
        <f t="shared" si="130"/>
        <v/>
      </c>
    </row>
    <row r="578" spans="12:19" x14ac:dyDescent="0.3">
      <c r="L578" s="34" t="str">
        <f t="shared" si="132"/>
        <v/>
      </c>
      <c r="M578" s="34" t="str">
        <f t="shared" si="124"/>
        <v/>
      </c>
      <c r="N578" s="34" t="str">
        <f t="shared" si="125"/>
        <v/>
      </c>
      <c r="O578" s="34" t="str">
        <f t="shared" si="126"/>
        <v/>
      </c>
      <c r="P578" s="34" t="str">
        <f t="shared" si="127"/>
        <v/>
      </c>
      <c r="Q578" s="34" t="str">
        <f t="shared" si="128"/>
        <v/>
      </c>
      <c r="R578" s="34" t="str">
        <f t="shared" si="129"/>
        <v/>
      </c>
      <c r="S578" s="34" t="str">
        <f t="shared" si="130"/>
        <v/>
      </c>
    </row>
    <row r="579" spans="12:19" x14ac:dyDescent="0.3">
      <c r="M579" s="34" t="str">
        <f t="shared" si="124"/>
        <v/>
      </c>
      <c r="N579" s="34" t="str">
        <f t="shared" si="125"/>
        <v/>
      </c>
      <c r="O579" s="34" t="str">
        <f t="shared" si="126"/>
        <v/>
      </c>
      <c r="P579" s="34" t="str">
        <f t="shared" si="127"/>
        <v/>
      </c>
      <c r="Q579" s="34" t="str">
        <f t="shared" si="128"/>
        <v/>
      </c>
      <c r="R579" s="34" t="str">
        <f t="shared" si="129"/>
        <v/>
      </c>
      <c r="S579" s="34" t="str">
        <f t="shared" si="130"/>
        <v/>
      </c>
    </row>
    <row r="580" spans="12:19" x14ac:dyDescent="0.3">
      <c r="M580" s="34" t="str">
        <f t="shared" si="124"/>
        <v/>
      </c>
      <c r="N580" s="34" t="str">
        <f t="shared" si="125"/>
        <v/>
      </c>
      <c r="O580" s="34" t="str">
        <f t="shared" si="126"/>
        <v/>
      </c>
      <c r="P580" s="34" t="str">
        <f t="shared" si="127"/>
        <v/>
      </c>
      <c r="Q580" s="34" t="str">
        <f t="shared" si="128"/>
        <v/>
      </c>
      <c r="R580" s="34" t="str">
        <f t="shared" si="129"/>
        <v/>
      </c>
      <c r="S580" s="34" t="str">
        <f t="shared" si="130"/>
        <v/>
      </c>
    </row>
    <row r="581" spans="12:19" x14ac:dyDescent="0.3">
      <c r="L581" s="34" t="str">
        <f t="shared" ref="L581" si="137">RIGHT(A581,5)</f>
        <v/>
      </c>
      <c r="M581" s="34" t="str">
        <f t="shared" ref="M581:M644" si="138">IF(AND(L581="s.csv",A581=1),ABS(1000/12/D581),"")</f>
        <v/>
      </c>
      <c r="N581" s="34" t="str">
        <f t="shared" si="125"/>
        <v/>
      </c>
      <c r="O581" s="34" t="str">
        <f t="shared" si="126"/>
        <v/>
      </c>
      <c r="P581" s="34" t="str">
        <f t="shared" si="127"/>
        <v/>
      </c>
      <c r="Q581" s="34" t="str">
        <f t="shared" si="128"/>
        <v/>
      </c>
      <c r="R581" s="34" t="str">
        <f t="shared" si="129"/>
        <v/>
      </c>
      <c r="S581" s="34" t="str">
        <f t="shared" si="130"/>
        <v/>
      </c>
    </row>
    <row r="582" spans="12:19" x14ac:dyDescent="0.3">
      <c r="L582" s="34" t="str">
        <f t="shared" ref="L582" si="139">L581</f>
        <v/>
      </c>
      <c r="M582" s="34" t="str">
        <f t="shared" si="138"/>
        <v/>
      </c>
      <c r="N582" s="34" t="str">
        <f t="shared" si="125"/>
        <v/>
      </c>
      <c r="O582" s="34" t="str">
        <f t="shared" si="126"/>
        <v/>
      </c>
      <c r="P582" s="34" t="str">
        <f t="shared" si="127"/>
        <v/>
      </c>
      <c r="Q582" s="34" t="str">
        <f t="shared" si="128"/>
        <v/>
      </c>
      <c r="R582" s="34" t="str">
        <f t="shared" si="129"/>
        <v/>
      </c>
      <c r="S582" s="34" t="str">
        <f t="shared" si="130"/>
        <v/>
      </c>
    </row>
    <row r="583" spans="12:19" x14ac:dyDescent="0.3">
      <c r="L583" s="34" t="str">
        <f t="shared" si="132"/>
        <v/>
      </c>
      <c r="M583" s="34" t="str">
        <f t="shared" si="138"/>
        <v/>
      </c>
      <c r="N583" s="34" t="str">
        <f t="shared" si="125"/>
        <v/>
      </c>
      <c r="O583" s="34" t="str">
        <f t="shared" si="126"/>
        <v/>
      </c>
      <c r="P583" s="34" t="str">
        <f t="shared" si="127"/>
        <v/>
      </c>
      <c r="Q583" s="34" t="str">
        <f t="shared" si="128"/>
        <v/>
      </c>
      <c r="R583" s="34" t="str">
        <f t="shared" si="129"/>
        <v/>
      </c>
      <c r="S583" s="34" t="str">
        <f t="shared" si="130"/>
        <v/>
      </c>
    </row>
    <row r="584" spans="12:19" x14ac:dyDescent="0.3">
      <c r="L584" s="34" t="str">
        <f t="shared" si="132"/>
        <v/>
      </c>
      <c r="M584" s="34" t="str">
        <f t="shared" si="138"/>
        <v/>
      </c>
      <c r="N584" s="34" t="str">
        <f t="shared" si="125"/>
        <v/>
      </c>
      <c r="O584" s="34" t="str">
        <f t="shared" si="126"/>
        <v/>
      </c>
      <c r="P584" s="34" t="str">
        <f t="shared" si="127"/>
        <v/>
      </c>
      <c r="Q584" s="34" t="str">
        <f t="shared" si="128"/>
        <v/>
      </c>
      <c r="R584" s="34" t="str">
        <f t="shared" si="129"/>
        <v/>
      </c>
      <c r="S584" s="34" t="str">
        <f t="shared" si="130"/>
        <v/>
      </c>
    </row>
    <row r="585" spans="12:19" x14ac:dyDescent="0.3">
      <c r="L585" s="34" t="str">
        <f t="shared" si="132"/>
        <v/>
      </c>
      <c r="M585" s="34" t="str">
        <f t="shared" si="138"/>
        <v/>
      </c>
      <c r="N585" s="34" t="str">
        <f t="shared" si="125"/>
        <v/>
      </c>
      <c r="O585" s="34" t="str">
        <f t="shared" si="126"/>
        <v/>
      </c>
      <c r="P585" s="34" t="str">
        <f t="shared" si="127"/>
        <v/>
      </c>
      <c r="Q585" s="34" t="str">
        <f t="shared" si="128"/>
        <v/>
      </c>
      <c r="R585" s="34" t="str">
        <f t="shared" si="129"/>
        <v/>
      </c>
      <c r="S585" s="34" t="str">
        <f t="shared" si="130"/>
        <v/>
      </c>
    </row>
    <row r="586" spans="12:19" x14ac:dyDescent="0.3">
      <c r="L586" s="34" t="str">
        <f t="shared" si="132"/>
        <v/>
      </c>
      <c r="M586" s="34" t="str">
        <f t="shared" si="138"/>
        <v/>
      </c>
      <c r="N586" s="34" t="str">
        <f t="shared" si="125"/>
        <v/>
      </c>
      <c r="O586" s="34" t="str">
        <f t="shared" si="126"/>
        <v/>
      </c>
      <c r="P586" s="34" t="str">
        <f t="shared" si="127"/>
        <v/>
      </c>
      <c r="Q586" s="34" t="str">
        <f t="shared" si="128"/>
        <v/>
      </c>
      <c r="R586" s="34" t="str">
        <f t="shared" si="129"/>
        <v/>
      </c>
      <c r="S586" s="34" t="str">
        <f t="shared" si="130"/>
        <v/>
      </c>
    </row>
    <row r="587" spans="12:19" x14ac:dyDescent="0.3">
      <c r="L587" s="34" t="str">
        <f t="shared" si="132"/>
        <v/>
      </c>
      <c r="M587" s="34" t="str">
        <f t="shared" si="138"/>
        <v/>
      </c>
      <c r="N587" s="34" t="str">
        <f t="shared" si="125"/>
        <v/>
      </c>
      <c r="O587" s="34" t="str">
        <f t="shared" si="126"/>
        <v/>
      </c>
      <c r="P587" s="34" t="str">
        <f t="shared" si="127"/>
        <v/>
      </c>
      <c r="Q587" s="34" t="str">
        <f t="shared" si="128"/>
        <v/>
      </c>
      <c r="R587" s="34" t="str">
        <f t="shared" si="129"/>
        <v/>
      </c>
      <c r="S587" s="34" t="str">
        <f t="shared" si="130"/>
        <v/>
      </c>
    </row>
    <row r="588" spans="12:19" x14ac:dyDescent="0.3">
      <c r="L588" s="34" t="str">
        <f t="shared" si="132"/>
        <v/>
      </c>
      <c r="M588" s="34" t="str">
        <f t="shared" si="138"/>
        <v/>
      </c>
      <c r="N588" s="34" t="str">
        <f t="shared" ref="N588:N651" si="140">IF(AND(OR($L588="l.csv",$L588="g.csv"),$E588&gt;4),F588,"")</f>
        <v/>
      </c>
      <c r="O588" s="34" t="str">
        <f t="shared" ref="O588:O651" si="141">IF(AND(OR($L588="l.csv",$L588="g.csv"),$E588&gt;4),G588,"")</f>
        <v/>
      </c>
      <c r="P588" s="34" t="str">
        <f t="shared" ref="P588:P651" si="142">IF(AND(OR($L588="l.csv",$L588="g.csv"),$E588&gt;4),H588,"")</f>
        <v/>
      </c>
      <c r="Q588" s="34" t="str">
        <f t="shared" ref="Q588:Q651" si="143">IF(AND(OR($L588="l.csv",$L588="g.csv"),$E588&gt;4),I588,"")</f>
        <v/>
      </c>
      <c r="R588" s="34" t="str">
        <f t="shared" ref="R588:R651" si="144">IF(AND(OR($L588="l.csv",$L588="g.csv"),$E588&gt;4),J588,"")</f>
        <v/>
      </c>
      <c r="S588" s="34" t="str">
        <f t="shared" ref="S588:S651" si="145">IF(AND(OR($L588="l.csv",$L588="g.csv"),$E588&gt;4),K588,"")</f>
        <v/>
      </c>
    </row>
    <row r="589" spans="12:19" x14ac:dyDescent="0.3">
      <c r="L589" s="34" t="str">
        <f t="shared" si="132"/>
        <v/>
      </c>
      <c r="M589" s="34" t="str">
        <f t="shared" si="138"/>
        <v/>
      </c>
      <c r="N589" s="34" t="str">
        <f t="shared" si="140"/>
        <v/>
      </c>
      <c r="O589" s="34" t="str">
        <f t="shared" si="141"/>
        <v/>
      </c>
      <c r="P589" s="34" t="str">
        <f t="shared" si="142"/>
        <v/>
      </c>
      <c r="Q589" s="34" t="str">
        <f t="shared" si="143"/>
        <v/>
      </c>
      <c r="R589" s="34" t="str">
        <f t="shared" si="144"/>
        <v/>
      </c>
      <c r="S589" s="34" t="str">
        <f t="shared" si="145"/>
        <v/>
      </c>
    </row>
    <row r="590" spans="12:19" x14ac:dyDescent="0.3">
      <c r="L590" s="34" t="str">
        <f t="shared" si="132"/>
        <v/>
      </c>
      <c r="M590" s="34" t="str">
        <f t="shared" si="138"/>
        <v/>
      </c>
      <c r="N590" s="34" t="str">
        <f t="shared" si="140"/>
        <v/>
      </c>
      <c r="O590" s="34" t="str">
        <f t="shared" si="141"/>
        <v/>
      </c>
      <c r="P590" s="34" t="str">
        <f t="shared" si="142"/>
        <v/>
      </c>
      <c r="Q590" s="34" t="str">
        <f t="shared" si="143"/>
        <v/>
      </c>
      <c r="R590" s="34" t="str">
        <f t="shared" si="144"/>
        <v/>
      </c>
      <c r="S590" s="34" t="str">
        <f t="shared" si="145"/>
        <v/>
      </c>
    </row>
    <row r="591" spans="12:19" x14ac:dyDescent="0.3">
      <c r="L591" s="34" t="str">
        <f t="shared" si="132"/>
        <v/>
      </c>
      <c r="M591" s="34" t="str">
        <f t="shared" si="138"/>
        <v/>
      </c>
      <c r="N591" s="34" t="str">
        <f t="shared" si="140"/>
        <v/>
      </c>
      <c r="O591" s="34" t="str">
        <f t="shared" si="141"/>
        <v/>
      </c>
      <c r="P591" s="34" t="str">
        <f t="shared" si="142"/>
        <v/>
      </c>
      <c r="Q591" s="34" t="str">
        <f t="shared" si="143"/>
        <v/>
      </c>
      <c r="R591" s="34" t="str">
        <f t="shared" si="144"/>
        <v/>
      </c>
      <c r="S591" s="34" t="str">
        <f t="shared" si="145"/>
        <v/>
      </c>
    </row>
    <row r="592" spans="12:19" x14ac:dyDescent="0.3">
      <c r="L592" s="34" t="str">
        <f t="shared" si="132"/>
        <v/>
      </c>
      <c r="M592" s="34" t="str">
        <f t="shared" si="138"/>
        <v/>
      </c>
      <c r="N592" s="34" t="str">
        <f t="shared" si="140"/>
        <v/>
      </c>
      <c r="O592" s="34" t="str">
        <f t="shared" si="141"/>
        <v/>
      </c>
      <c r="P592" s="34" t="str">
        <f t="shared" si="142"/>
        <v/>
      </c>
      <c r="Q592" s="34" t="str">
        <f t="shared" si="143"/>
        <v/>
      </c>
      <c r="R592" s="34" t="str">
        <f t="shared" si="144"/>
        <v/>
      </c>
      <c r="S592" s="34" t="str">
        <f t="shared" si="145"/>
        <v/>
      </c>
    </row>
    <row r="593" spans="12:19" x14ac:dyDescent="0.3">
      <c r="L593" s="34" t="str">
        <f t="shared" si="132"/>
        <v/>
      </c>
      <c r="M593" s="34" t="str">
        <f t="shared" si="138"/>
        <v/>
      </c>
      <c r="N593" s="34" t="str">
        <f t="shared" si="140"/>
        <v/>
      </c>
      <c r="O593" s="34" t="str">
        <f t="shared" si="141"/>
        <v/>
      </c>
      <c r="P593" s="34" t="str">
        <f t="shared" si="142"/>
        <v/>
      </c>
      <c r="Q593" s="34" t="str">
        <f t="shared" si="143"/>
        <v/>
      </c>
      <c r="R593" s="34" t="str">
        <f t="shared" si="144"/>
        <v/>
      </c>
      <c r="S593" s="34" t="str">
        <f t="shared" si="145"/>
        <v/>
      </c>
    </row>
    <row r="594" spans="12:19" x14ac:dyDescent="0.3">
      <c r="L594" s="34" t="str">
        <f t="shared" si="132"/>
        <v/>
      </c>
      <c r="M594" s="34" t="str">
        <f t="shared" si="138"/>
        <v/>
      </c>
      <c r="N594" s="34" t="str">
        <f t="shared" si="140"/>
        <v/>
      </c>
      <c r="O594" s="34" t="str">
        <f t="shared" si="141"/>
        <v/>
      </c>
      <c r="P594" s="34" t="str">
        <f t="shared" si="142"/>
        <v/>
      </c>
      <c r="Q594" s="34" t="str">
        <f t="shared" si="143"/>
        <v/>
      </c>
      <c r="R594" s="34" t="str">
        <f t="shared" si="144"/>
        <v/>
      </c>
      <c r="S594" s="34" t="str">
        <f t="shared" si="145"/>
        <v/>
      </c>
    </row>
    <row r="595" spans="12:19" x14ac:dyDescent="0.3">
      <c r="L595" s="34" t="str">
        <f t="shared" ref="L595:L658" si="146">L594</f>
        <v/>
      </c>
      <c r="M595" s="34" t="str">
        <f t="shared" si="138"/>
        <v/>
      </c>
      <c r="N595" s="34" t="str">
        <f t="shared" si="140"/>
        <v/>
      </c>
      <c r="O595" s="34" t="str">
        <f t="shared" si="141"/>
        <v/>
      </c>
      <c r="P595" s="34" t="str">
        <f t="shared" si="142"/>
        <v/>
      </c>
      <c r="Q595" s="34" t="str">
        <f t="shared" si="143"/>
        <v/>
      </c>
      <c r="R595" s="34" t="str">
        <f t="shared" si="144"/>
        <v/>
      </c>
      <c r="S595" s="34" t="str">
        <f t="shared" si="145"/>
        <v/>
      </c>
    </row>
    <row r="596" spans="12:19" x14ac:dyDescent="0.3">
      <c r="M596" s="34" t="str">
        <f t="shared" si="138"/>
        <v/>
      </c>
      <c r="N596" s="34" t="str">
        <f t="shared" si="140"/>
        <v/>
      </c>
      <c r="O596" s="34" t="str">
        <f t="shared" si="141"/>
        <v/>
      </c>
      <c r="P596" s="34" t="str">
        <f t="shared" si="142"/>
        <v/>
      </c>
      <c r="Q596" s="34" t="str">
        <f t="shared" si="143"/>
        <v/>
      </c>
      <c r="R596" s="34" t="str">
        <f t="shared" si="144"/>
        <v/>
      </c>
      <c r="S596" s="34" t="str">
        <f t="shared" si="145"/>
        <v/>
      </c>
    </row>
    <row r="597" spans="12:19" x14ac:dyDescent="0.3">
      <c r="M597" s="34" t="str">
        <f t="shared" si="138"/>
        <v/>
      </c>
      <c r="N597" s="34" t="str">
        <f t="shared" si="140"/>
        <v/>
      </c>
      <c r="O597" s="34" t="str">
        <f t="shared" si="141"/>
        <v/>
      </c>
      <c r="P597" s="34" t="str">
        <f t="shared" si="142"/>
        <v/>
      </c>
      <c r="Q597" s="34" t="str">
        <f t="shared" si="143"/>
        <v/>
      </c>
      <c r="R597" s="34" t="str">
        <f t="shared" si="144"/>
        <v/>
      </c>
      <c r="S597" s="34" t="str">
        <f t="shared" si="145"/>
        <v/>
      </c>
    </row>
    <row r="598" spans="12:19" x14ac:dyDescent="0.3">
      <c r="L598" s="34" t="str">
        <f t="shared" ref="L598" si="147">RIGHT(A598,5)</f>
        <v/>
      </c>
      <c r="M598" s="34" t="str">
        <f t="shared" si="138"/>
        <v/>
      </c>
      <c r="N598" s="34" t="str">
        <f t="shared" si="140"/>
        <v/>
      </c>
      <c r="O598" s="34" t="str">
        <f t="shared" si="141"/>
        <v/>
      </c>
      <c r="P598" s="34" t="str">
        <f t="shared" si="142"/>
        <v/>
      </c>
      <c r="Q598" s="34" t="str">
        <f t="shared" si="143"/>
        <v/>
      </c>
      <c r="R598" s="34" t="str">
        <f t="shared" si="144"/>
        <v/>
      </c>
      <c r="S598" s="34" t="str">
        <f t="shared" si="145"/>
        <v/>
      </c>
    </row>
    <row r="599" spans="12:19" x14ac:dyDescent="0.3">
      <c r="L599" s="34" t="str">
        <f t="shared" ref="L599" si="148">L598</f>
        <v/>
      </c>
      <c r="M599" s="34" t="str">
        <f t="shared" si="138"/>
        <v/>
      </c>
      <c r="N599" s="34" t="str">
        <f t="shared" si="140"/>
        <v/>
      </c>
      <c r="O599" s="34" t="str">
        <f t="shared" si="141"/>
        <v/>
      </c>
      <c r="P599" s="34" t="str">
        <f t="shared" si="142"/>
        <v/>
      </c>
      <c r="Q599" s="34" t="str">
        <f t="shared" si="143"/>
        <v/>
      </c>
      <c r="R599" s="34" t="str">
        <f t="shared" si="144"/>
        <v/>
      </c>
      <c r="S599" s="34" t="str">
        <f t="shared" si="145"/>
        <v/>
      </c>
    </row>
    <row r="600" spans="12:19" x14ac:dyDescent="0.3">
      <c r="L600" s="34" t="str">
        <f t="shared" si="146"/>
        <v/>
      </c>
      <c r="M600" s="34" t="str">
        <f t="shared" si="138"/>
        <v/>
      </c>
      <c r="N600" s="34" t="str">
        <f t="shared" si="140"/>
        <v/>
      </c>
      <c r="O600" s="34" t="str">
        <f t="shared" si="141"/>
        <v/>
      </c>
      <c r="P600" s="34" t="str">
        <f t="shared" si="142"/>
        <v/>
      </c>
      <c r="Q600" s="34" t="str">
        <f t="shared" si="143"/>
        <v/>
      </c>
      <c r="R600" s="34" t="str">
        <f t="shared" si="144"/>
        <v/>
      </c>
      <c r="S600" s="34" t="str">
        <f t="shared" si="145"/>
        <v/>
      </c>
    </row>
    <row r="601" spans="12:19" x14ac:dyDescent="0.3">
      <c r="L601" s="34" t="str">
        <f t="shared" si="146"/>
        <v/>
      </c>
      <c r="M601" s="34" t="str">
        <f t="shared" si="138"/>
        <v/>
      </c>
      <c r="N601" s="34" t="str">
        <f t="shared" si="140"/>
        <v/>
      </c>
      <c r="O601" s="34" t="str">
        <f t="shared" si="141"/>
        <v/>
      </c>
      <c r="P601" s="34" t="str">
        <f t="shared" si="142"/>
        <v/>
      </c>
      <c r="Q601" s="34" t="str">
        <f t="shared" si="143"/>
        <v/>
      </c>
      <c r="R601" s="34" t="str">
        <f t="shared" si="144"/>
        <v/>
      </c>
      <c r="S601" s="34" t="str">
        <f t="shared" si="145"/>
        <v/>
      </c>
    </row>
    <row r="602" spans="12:19" x14ac:dyDescent="0.3">
      <c r="L602" s="34" t="str">
        <f t="shared" si="146"/>
        <v/>
      </c>
      <c r="M602" s="34" t="str">
        <f t="shared" si="138"/>
        <v/>
      </c>
      <c r="N602" s="34" t="str">
        <f t="shared" si="140"/>
        <v/>
      </c>
      <c r="O602" s="34" t="str">
        <f t="shared" si="141"/>
        <v/>
      </c>
      <c r="P602" s="34" t="str">
        <f t="shared" si="142"/>
        <v/>
      </c>
      <c r="Q602" s="34" t="str">
        <f t="shared" si="143"/>
        <v/>
      </c>
      <c r="R602" s="34" t="str">
        <f t="shared" si="144"/>
        <v/>
      </c>
      <c r="S602" s="34" t="str">
        <f t="shared" si="145"/>
        <v/>
      </c>
    </row>
    <row r="603" spans="12:19" x14ac:dyDescent="0.3">
      <c r="L603" s="34" t="str">
        <f t="shared" si="146"/>
        <v/>
      </c>
      <c r="M603" s="34" t="str">
        <f t="shared" si="138"/>
        <v/>
      </c>
      <c r="N603" s="34" t="str">
        <f t="shared" si="140"/>
        <v/>
      </c>
      <c r="O603" s="34" t="str">
        <f t="shared" si="141"/>
        <v/>
      </c>
      <c r="P603" s="34" t="str">
        <f t="shared" si="142"/>
        <v/>
      </c>
      <c r="Q603" s="34" t="str">
        <f t="shared" si="143"/>
        <v/>
      </c>
      <c r="R603" s="34" t="str">
        <f t="shared" si="144"/>
        <v/>
      </c>
      <c r="S603" s="34" t="str">
        <f t="shared" si="145"/>
        <v/>
      </c>
    </row>
    <row r="604" spans="12:19" x14ac:dyDescent="0.3">
      <c r="L604" s="34" t="str">
        <f t="shared" si="146"/>
        <v/>
      </c>
      <c r="M604" s="34" t="str">
        <f t="shared" si="138"/>
        <v/>
      </c>
      <c r="N604" s="34" t="str">
        <f t="shared" si="140"/>
        <v/>
      </c>
      <c r="O604" s="34" t="str">
        <f t="shared" si="141"/>
        <v/>
      </c>
      <c r="P604" s="34" t="str">
        <f t="shared" si="142"/>
        <v/>
      </c>
      <c r="Q604" s="34" t="str">
        <f t="shared" si="143"/>
        <v/>
      </c>
      <c r="R604" s="34" t="str">
        <f t="shared" si="144"/>
        <v/>
      </c>
      <c r="S604" s="34" t="str">
        <f t="shared" si="145"/>
        <v/>
      </c>
    </row>
    <row r="605" spans="12:19" x14ac:dyDescent="0.3">
      <c r="L605" s="34" t="str">
        <f t="shared" si="146"/>
        <v/>
      </c>
      <c r="M605" s="34" t="str">
        <f t="shared" si="138"/>
        <v/>
      </c>
      <c r="N605" s="34" t="str">
        <f t="shared" si="140"/>
        <v/>
      </c>
      <c r="O605" s="34" t="str">
        <f t="shared" si="141"/>
        <v/>
      </c>
      <c r="P605" s="34" t="str">
        <f t="shared" si="142"/>
        <v/>
      </c>
      <c r="Q605" s="34" t="str">
        <f t="shared" si="143"/>
        <v/>
      </c>
      <c r="R605" s="34" t="str">
        <f t="shared" si="144"/>
        <v/>
      </c>
      <c r="S605" s="34" t="str">
        <f t="shared" si="145"/>
        <v/>
      </c>
    </row>
    <row r="606" spans="12:19" x14ac:dyDescent="0.3">
      <c r="L606" s="34" t="str">
        <f t="shared" si="146"/>
        <v/>
      </c>
      <c r="M606" s="34" t="str">
        <f t="shared" si="138"/>
        <v/>
      </c>
      <c r="N606" s="34" t="str">
        <f t="shared" si="140"/>
        <v/>
      </c>
      <c r="O606" s="34" t="str">
        <f t="shared" si="141"/>
        <v/>
      </c>
      <c r="P606" s="34" t="str">
        <f t="shared" si="142"/>
        <v/>
      </c>
      <c r="Q606" s="34" t="str">
        <f t="shared" si="143"/>
        <v/>
      </c>
      <c r="R606" s="34" t="str">
        <f t="shared" si="144"/>
        <v/>
      </c>
      <c r="S606" s="34" t="str">
        <f t="shared" si="145"/>
        <v/>
      </c>
    </row>
    <row r="607" spans="12:19" x14ac:dyDescent="0.3">
      <c r="L607" s="34" t="str">
        <f t="shared" si="146"/>
        <v/>
      </c>
      <c r="M607" s="34" t="str">
        <f t="shared" si="138"/>
        <v/>
      </c>
      <c r="N607" s="34" t="str">
        <f t="shared" si="140"/>
        <v/>
      </c>
      <c r="O607" s="34" t="str">
        <f t="shared" si="141"/>
        <v/>
      </c>
      <c r="P607" s="34" t="str">
        <f t="shared" si="142"/>
        <v/>
      </c>
      <c r="Q607" s="34" t="str">
        <f t="shared" si="143"/>
        <v/>
      </c>
      <c r="R607" s="34" t="str">
        <f t="shared" si="144"/>
        <v/>
      </c>
      <c r="S607" s="34" t="str">
        <f t="shared" si="145"/>
        <v/>
      </c>
    </row>
    <row r="608" spans="12:19" x14ac:dyDescent="0.3">
      <c r="L608" s="34" t="str">
        <f t="shared" si="146"/>
        <v/>
      </c>
      <c r="M608" s="34" t="str">
        <f t="shared" si="138"/>
        <v/>
      </c>
      <c r="N608" s="34" t="str">
        <f t="shared" si="140"/>
        <v/>
      </c>
      <c r="O608" s="34" t="str">
        <f t="shared" si="141"/>
        <v/>
      </c>
      <c r="P608" s="34" t="str">
        <f t="shared" si="142"/>
        <v/>
      </c>
      <c r="Q608" s="34" t="str">
        <f t="shared" si="143"/>
        <v/>
      </c>
      <c r="R608" s="34" t="str">
        <f t="shared" si="144"/>
        <v/>
      </c>
      <c r="S608" s="34" t="str">
        <f t="shared" si="145"/>
        <v/>
      </c>
    </row>
    <row r="609" spans="12:19" x14ac:dyDescent="0.3">
      <c r="L609" s="34" t="str">
        <f t="shared" si="146"/>
        <v/>
      </c>
      <c r="M609" s="34" t="str">
        <f t="shared" si="138"/>
        <v/>
      </c>
      <c r="N609" s="34" t="str">
        <f t="shared" si="140"/>
        <v/>
      </c>
      <c r="O609" s="34" t="str">
        <f t="shared" si="141"/>
        <v/>
      </c>
      <c r="P609" s="34" t="str">
        <f t="shared" si="142"/>
        <v/>
      </c>
      <c r="Q609" s="34" t="str">
        <f t="shared" si="143"/>
        <v/>
      </c>
      <c r="R609" s="34" t="str">
        <f t="shared" si="144"/>
        <v/>
      </c>
      <c r="S609" s="34" t="str">
        <f t="shared" si="145"/>
        <v/>
      </c>
    </row>
    <row r="610" spans="12:19" x14ac:dyDescent="0.3">
      <c r="L610" s="34" t="str">
        <f t="shared" si="146"/>
        <v/>
      </c>
      <c r="M610" s="34" t="str">
        <f t="shared" si="138"/>
        <v/>
      </c>
      <c r="N610" s="34" t="str">
        <f t="shared" si="140"/>
        <v/>
      </c>
      <c r="O610" s="34" t="str">
        <f t="shared" si="141"/>
        <v/>
      </c>
      <c r="P610" s="34" t="str">
        <f t="shared" si="142"/>
        <v/>
      </c>
      <c r="Q610" s="34" t="str">
        <f t="shared" si="143"/>
        <v/>
      </c>
      <c r="R610" s="34" t="str">
        <f t="shared" si="144"/>
        <v/>
      </c>
      <c r="S610" s="34" t="str">
        <f t="shared" si="145"/>
        <v/>
      </c>
    </row>
    <row r="611" spans="12:19" x14ac:dyDescent="0.3">
      <c r="L611" s="34" t="str">
        <f t="shared" si="146"/>
        <v/>
      </c>
      <c r="M611" s="34" t="str">
        <f t="shared" si="138"/>
        <v/>
      </c>
      <c r="N611" s="34" t="str">
        <f t="shared" si="140"/>
        <v/>
      </c>
      <c r="O611" s="34" t="str">
        <f t="shared" si="141"/>
        <v/>
      </c>
      <c r="P611" s="34" t="str">
        <f t="shared" si="142"/>
        <v/>
      </c>
      <c r="Q611" s="34" t="str">
        <f t="shared" si="143"/>
        <v/>
      </c>
      <c r="R611" s="34" t="str">
        <f t="shared" si="144"/>
        <v/>
      </c>
      <c r="S611" s="34" t="str">
        <f t="shared" si="145"/>
        <v/>
      </c>
    </row>
    <row r="612" spans="12:19" x14ac:dyDescent="0.3">
      <c r="L612" s="34" t="str">
        <f t="shared" si="146"/>
        <v/>
      </c>
      <c r="M612" s="34" t="str">
        <f t="shared" si="138"/>
        <v/>
      </c>
      <c r="N612" s="34" t="str">
        <f t="shared" si="140"/>
        <v/>
      </c>
      <c r="O612" s="34" t="str">
        <f t="shared" si="141"/>
        <v/>
      </c>
      <c r="P612" s="34" t="str">
        <f t="shared" si="142"/>
        <v/>
      </c>
      <c r="Q612" s="34" t="str">
        <f t="shared" si="143"/>
        <v/>
      </c>
      <c r="R612" s="34" t="str">
        <f t="shared" si="144"/>
        <v/>
      </c>
      <c r="S612" s="34" t="str">
        <f t="shared" si="145"/>
        <v/>
      </c>
    </row>
    <row r="613" spans="12:19" x14ac:dyDescent="0.3">
      <c r="M613" s="34" t="str">
        <f t="shared" si="138"/>
        <v/>
      </c>
      <c r="N613" s="34" t="str">
        <f t="shared" si="140"/>
        <v/>
      </c>
      <c r="O613" s="34" t="str">
        <f t="shared" si="141"/>
        <v/>
      </c>
      <c r="P613" s="34" t="str">
        <f t="shared" si="142"/>
        <v/>
      </c>
      <c r="Q613" s="34" t="str">
        <f t="shared" si="143"/>
        <v/>
      </c>
      <c r="R613" s="34" t="str">
        <f t="shared" si="144"/>
        <v/>
      </c>
      <c r="S613" s="34" t="str">
        <f t="shared" si="145"/>
        <v/>
      </c>
    </row>
    <row r="614" spans="12:19" x14ac:dyDescent="0.3">
      <c r="M614" s="34" t="str">
        <f t="shared" si="138"/>
        <v/>
      </c>
      <c r="N614" s="34" t="str">
        <f t="shared" si="140"/>
        <v/>
      </c>
      <c r="O614" s="34" t="str">
        <f t="shared" si="141"/>
        <v/>
      </c>
      <c r="P614" s="34" t="str">
        <f t="shared" si="142"/>
        <v/>
      </c>
      <c r="Q614" s="34" t="str">
        <f t="shared" si="143"/>
        <v/>
      </c>
      <c r="R614" s="34" t="str">
        <f t="shared" si="144"/>
        <v/>
      </c>
      <c r="S614" s="34" t="str">
        <f t="shared" si="145"/>
        <v/>
      </c>
    </row>
    <row r="615" spans="12:19" x14ac:dyDescent="0.3">
      <c r="L615" s="34" t="str">
        <f t="shared" ref="L615" si="149">RIGHT(A615,5)</f>
        <v/>
      </c>
      <c r="M615" s="34" t="str">
        <f t="shared" si="138"/>
        <v/>
      </c>
      <c r="N615" s="34" t="str">
        <f t="shared" si="140"/>
        <v/>
      </c>
      <c r="O615" s="34" t="str">
        <f t="shared" si="141"/>
        <v/>
      </c>
      <c r="P615" s="34" t="str">
        <f t="shared" si="142"/>
        <v/>
      </c>
      <c r="Q615" s="34" t="str">
        <f t="shared" si="143"/>
        <v/>
      </c>
      <c r="R615" s="34" t="str">
        <f t="shared" si="144"/>
        <v/>
      </c>
      <c r="S615" s="34" t="str">
        <f t="shared" si="145"/>
        <v/>
      </c>
    </row>
    <row r="616" spans="12:19" x14ac:dyDescent="0.3">
      <c r="L616" s="34" t="str">
        <f t="shared" ref="L616" si="150">L615</f>
        <v/>
      </c>
      <c r="M616" s="34" t="str">
        <f t="shared" si="138"/>
        <v/>
      </c>
      <c r="N616" s="34" t="str">
        <f t="shared" si="140"/>
        <v/>
      </c>
      <c r="O616" s="34" t="str">
        <f t="shared" si="141"/>
        <v/>
      </c>
      <c r="P616" s="34" t="str">
        <f t="shared" si="142"/>
        <v/>
      </c>
      <c r="Q616" s="34" t="str">
        <f t="shared" si="143"/>
        <v/>
      </c>
      <c r="R616" s="34" t="str">
        <f t="shared" si="144"/>
        <v/>
      </c>
      <c r="S616" s="34" t="str">
        <f t="shared" si="145"/>
        <v/>
      </c>
    </row>
    <row r="617" spans="12:19" x14ac:dyDescent="0.3">
      <c r="L617" s="34" t="str">
        <f t="shared" si="146"/>
        <v/>
      </c>
      <c r="M617" s="34" t="str">
        <f t="shared" si="138"/>
        <v/>
      </c>
      <c r="N617" s="34" t="str">
        <f t="shared" si="140"/>
        <v/>
      </c>
      <c r="O617" s="34" t="str">
        <f t="shared" si="141"/>
        <v/>
      </c>
      <c r="P617" s="34" t="str">
        <f t="shared" si="142"/>
        <v/>
      </c>
      <c r="Q617" s="34" t="str">
        <f t="shared" si="143"/>
        <v/>
      </c>
      <c r="R617" s="34" t="str">
        <f t="shared" si="144"/>
        <v/>
      </c>
      <c r="S617" s="34" t="str">
        <f t="shared" si="145"/>
        <v/>
      </c>
    </row>
    <row r="618" spans="12:19" x14ac:dyDescent="0.3">
      <c r="L618" s="34" t="str">
        <f t="shared" si="146"/>
        <v/>
      </c>
      <c r="M618" s="34" t="str">
        <f t="shared" si="138"/>
        <v/>
      </c>
      <c r="N618" s="34" t="str">
        <f t="shared" si="140"/>
        <v/>
      </c>
      <c r="O618" s="34" t="str">
        <f t="shared" si="141"/>
        <v/>
      </c>
      <c r="P618" s="34" t="str">
        <f t="shared" si="142"/>
        <v/>
      </c>
      <c r="Q618" s="34" t="str">
        <f t="shared" si="143"/>
        <v/>
      </c>
      <c r="R618" s="34" t="str">
        <f t="shared" si="144"/>
        <v/>
      </c>
      <c r="S618" s="34" t="str">
        <f t="shared" si="145"/>
        <v/>
      </c>
    </row>
    <row r="619" spans="12:19" x14ac:dyDescent="0.3">
      <c r="L619" s="34" t="str">
        <f t="shared" si="146"/>
        <v/>
      </c>
      <c r="M619" s="34" t="str">
        <f t="shared" si="138"/>
        <v/>
      </c>
      <c r="N619" s="34" t="str">
        <f t="shared" si="140"/>
        <v/>
      </c>
      <c r="O619" s="34" t="str">
        <f t="shared" si="141"/>
        <v/>
      </c>
      <c r="P619" s="34" t="str">
        <f t="shared" si="142"/>
        <v/>
      </c>
      <c r="Q619" s="34" t="str">
        <f t="shared" si="143"/>
        <v/>
      </c>
      <c r="R619" s="34" t="str">
        <f t="shared" si="144"/>
        <v/>
      </c>
      <c r="S619" s="34" t="str">
        <f t="shared" si="145"/>
        <v/>
      </c>
    </row>
    <row r="620" spans="12:19" x14ac:dyDescent="0.3">
      <c r="L620" s="34" t="str">
        <f t="shared" si="146"/>
        <v/>
      </c>
      <c r="M620" s="34" t="str">
        <f t="shared" si="138"/>
        <v/>
      </c>
      <c r="N620" s="34" t="str">
        <f t="shared" si="140"/>
        <v/>
      </c>
      <c r="O620" s="34" t="str">
        <f t="shared" si="141"/>
        <v/>
      </c>
      <c r="P620" s="34" t="str">
        <f t="shared" si="142"/>
        <v/>
      </c>
      <c r="Q620" s="34" t="str">
        <f t="shared" si="143"/>
        <v/>
      </c>
      <c r="R620" s="34" t="str">
        <f t="shared" si="144"/>
        <v/>
      </c>
      <c r="S620" s="34" t="str">
        <f t="shared" si="145"/>
        <v/>
      </c>
    </row>
    <row r="621" spans="12:19" x14ac:dyDescent="0.3">
      <c r="L621" s="34" t="str">
        <f t="shared" si="146"/>
        <v/>
      </c>
      <c r="M621" s="34" t="str">
        <f t="shared" si="138"/>
        <v/>
      </c>
      <c r="N621" s="34" t="str">
        <f t="shared" si="140"/>
        <v/>
      </c>
      <c r="O621" s="34" t="str">
        <f t="shared" si="141"/>
        <v/>
      </c>
      <c r="P621" s="34" t="str">
        <f t="shared" si="142"/>
        <v/>
      </c>
      <c r="Q621" s="34" t="str">
        <f t="shared" si="143"/>
        <v/>
      </c>
      <c r="R621" s="34" t="str">
        <f t="shared" si="144"/>
        <v/>
      </c>
      <c r="S621" s="34" t="str">
        <f t="shared" si="145"/>
        <v/>
      </c>
    </row>
    <row r="622" spans="12:19" x14ac:dyDescent="0.3">
      <c r="L622" s="34" t="str">
        <f t="shared" si="146"/>
        <v/>
      </c>
      <c r="M622" s="34" t="str">
        <f t="shared" si="138"/>
        <v/>
      </c>
      <c r="N622" s="34" t="str">
        <f t="shared" si="140"/>
        <v/>
      </c>
      <c r="O622" s="34" t="str">
        <f t="shared" si="141"/>
        <v/>
      </c>
      <c r="P622" s="34" t="str">
        <f t="shared" si="142"/>
        <v/>
      </c>
      <c r="Q622" s="34" t="str">
        <f t="shared" si="143"/>
        <v/>
      </c>
      <c r="R622" s="34" t="str">
        <f t="shared" si="144"/>
        <v/>
      </c>
      <c r="S622" s="34" t="str">
        <f t="shared" si="145"/>
        <v/>
      </c>
    </row>
    <row r="623" spans="12:19" x14ac:dyDescent="0.3">
      <c r="L623" s="34" t="str">
        <f t="shared" si="146"/>
        <v/>
      </c>
      <c r="M623" s="34" t="str">
        <f t="shared" si="138"/>
        <v/>
      </c>
      <c r="N623" s="34" t="str">
        <f t="shared" si="140"/>
        <v/>
      </c>
      <c r="O623" s="34" t="str">
        <f t="shared" si="141"/>
        <v/>
      </c>
      <c r="P623" s="34" t="str">
        <f t="shared" si="142"/>
        <v/>
      </c>
      <c r="Q623" s="34" t="str">
        <f t="shared" si="143"/>
        <v/>
      </c>
      <c r="R623" s="34" t="str">
        <f t="shared" si="144"/>
        <v/>
      </c>
      <c r="S623" s="34" t="str">
        <f t="shared" si="145"/>
        <v/>
      </c>
    </row>
    <row r="624" spans="12:19" x14ac:dyDescent="0.3">
      <c r="L624" s="34" t="str">
        <f t="shared" si="146"/>
        <v/>
      </c>
      <c r="M624" s="34" t="str">
        <f t="shared" si="138"/>
        <v/>
      </c>
      <c r="N624" s="34" t="str">
        <f t="shared" si="140"/>
        <v/>
      </c>
      <c r="O624" s="34" t="str">
        <f t="shared" si="141"/>
        <v/>
      </c>
      <c r="P624" s="34" t="str">
        <f t="shared" si="142"/>
        <v/>
      </c>
      <c r="Q624" s="34" t="str">
        <f t="shared" si="143"/>
        <v/>
      </c>
      <c r="R624" s="34" t="str">
        <f t="shared" si="144"/>
        <v/>
      </c>
      <c r="S624" s="34" t="str">
        <f t="shared" si="145"/>
        <v/>
      </c>
    </row>
    <row r="625" spans="12:19" x14ac:dyDescent="0.3">
      <c r="L625" s="34" t="str">
        <f t="shared" si="146"/>
        <v/>
      </c>
      <c r="M625" s="34" t="str">
        <f t="shared" si="138"/>
        <v/>
      </c>
      <c r="N625" s="34" t="str">
        <f t="shared" si="140"/>
        <v/>
      </c>
      <c r="O625" s="34" t="str">
        <f t="shared" si="141"/>
        <v/>
      </c>
      <c r="P625" s="34" t="str">
        <f t="shared" si="142"/>
        <v/>
      </c>
      <c r="Q625" s="34" t="str">
        <f t="shared" si="143"/>
        <v/>
      </c>
      <c r="R625" s="34" t="str">
        <f t="shared" si="144"/>
        <v/>
      </c>
      <c r="S625" s="34" t="str">
        <f t="shared" si="145"/>
        <v/>
      </c>
    </row>
    <row r="626" spans="12:19" x14ac:dyDescent="0.3">
      <c r="L626" s="34" t="str">
        <f t="shared" si="146"/>
        <v/>
      </c>
      <c r="M626" s="34" t="str">
        <f t="shared" si="138"/>
        <v/>
      </c>
      <c r="N626" s="34" t="str">
        <f t="shared" si="140"/>
        <v/>
      </c>
      <c r="O626" s="34" t="str">
        <f t="shared" si="141"/>
        <v/>
      </c>
      <c r="P626" s="34" t="str">
        <f t="shared" si="142"/>
        <v/>
      </c>
      <c r="Q626" s="34" t="str">
        <f t="shared" si="143"/>
        <v/>
      </c>
      <c r="R626" s="34" t="str">
        <f t="shared" si="144"/>
        <v/>
      </c>
      <c r="S626" s="34" t="str">
        <f t="shared" si="145"/>
        <v/>
      </c>
    </row>
    <row r="627" spans="12:19" x14ac:dyDescent="0.3">
      <c r="L627" s="34" t="str">
        <f t="shared" si="146"/>
        <v/>
      </c>
      <c r="M627" s="34" t="str">
        <f t="shared" si="138"/>
        <v/>
      </c>
      <c r="N627" s="34" t="str">
        <f t="shared" si="140"/>
        <v/>
      </c>
      <c r="O627" s="34" t="str">
        <f t="shared" si="141"/>
        <v/>
      </c>
      <c r="P627" s="34" t="str">
        <f t="shared" si="142"/>
        <v/>
      </c>
      <c r="Q627" s="34" t="str">
        <f t="shared" si="143"/>
        <v/>
      </c>
      <c r="R627" s="34" t="str">
        <f t="shared" si="144"/>
        <v/>
      </c>
      <c r="S627" s="34" t="str">
        <f t="shared" si="145"/>
        <v/>
      </c>
    </row>
    <row r="628" spans="12:19" x14ac:dyDescent="0.3">
      <c r="L628" s="34" t="str">
        <f t="shared" si="146"/>
        <v/>
      </c>
      <c r="M628" s="34" t="str">
        <f t="shared" si="138"/>
        <v/>
      </c>
      <c r="N628" s="34" t="str">
        <f t="shared" si="140"/>
        <v/>
      </c>
      <c r="O628" s="34" t="str">
        <f t="shared" si="141"/>
        <v/>
      </c>
      <c r="P628" s="34" t="str">
        <f t="shared" si="142"/>
        <v/>
      </c>
      <c r="Q628" s="34" t="str">
        <f t="shared" si="143"/>
        <v/>
      </c>
      <c r="R628" s="34" t="str">
        <f t="shared" si="144"/>
        <v/>
      </c>
      <c r="S628" s="34" t="str">
        <f t="shared" si="145"/>
        <v/>
      </c>
    </row>
    <row r="629" spans="12:19" x14ac:dyDescent="0.3">
      <c r="L629" s="34" t="str">
        <f t="shared" si="146"/>
        <v/>
      </c>
      <c r="M629" s="34" t="str">
        <f t="shared" si="138"/>
        <v/>
      </c>
      <c r="N629" s="34" t="str">
        <f t="shared" si="140"/>
        <v/>
      </c>
      <c r="O629" s="34" t="str">
        <f t="shared" si="141"/>
        <v/>
      </c>
      <c r="P629" s="34" t="str">
        <f t="shared" si="142"/>
        <v/>
      </c>
      <c r="Q629" s="34" t="str">
        <f t="shared" si="143"/>
        <v/>
      </c>
      <c r="R629" s="34" t="str">
        <f t="shared" si="144"/>
        <v/>
      </c>
      <c r="S629" s="34" t="str">
        <f t="shared" si="145"/>
        <v/>
      </c>
    </row>
    <row r="630" spans="12:19" x14ac:dyDescent="0.3">
      <c r="M630" s="34" t="str">
        <f t="shared" si="138"/>
        <v/>
      </c>
      <c r="N630" s="34" t="str">
        <f t="shared" si="140"/>
        <v/>
      </c>
      <c r="O630" s="34" t="str">
        <f t="shared" si="141"/>
        <v/>
      </c>
      <c r="P630" s="34" t="str">
        <f t="shared" si="142"/>
        <v/>
      </c>
      <c r="Q630" s="34" t="str">
        <f t="shared" si="143"/>
        <v/>
      </c>
      <c r="R630" s="34" t="str">
        <f t="shared" si="144"/>
        <v/>
      </c>
      <c r="S630" s="34" t="str">
        <f t="shared" si="145"/>
        <v/>
      </c>
    </row>
    <row r="631" spans="12:19" x14ac:dyDescent="0.3">
      <c r="M631" s="34" t="str">
        <f t="shared" si="138"/>
        <v/>
      </c>
      <c r="N631" s="34" t="str">
        <f t="shared" si="140"/>
        <v/>
      </c>
      <c r="O631" s="34" t="str">
        <f t="shared" si="141"/>
        <v/>
      </c>
      <c r="P631" s="34" t="str">
        <f t="shared" si="142"/>
        <v/>
      </c>
      <c r="Q631" s="34" t="str">
        <f t="shared" si="143"/>
        <v/>
      </c>
      <c r="R631" s="34" t="str">
        <f t="shared" si="144"/>
        <v/>
      </c>
      <c r="S631" s="34" t="str">
        <f t="shared" si="145"/>
        <v/>
      </c>
    </row>
    <row r="632" spans="12:19" x14ac:dyDescent="0.3">
      <c r="L632" s="34" t="str">
        <f t="shared" ref="L632" si="151">RIGHT(A632,5)</f>
        <v/>
      </c>
      <c r="M632" s="34" t="str">
        <f t="shared" si="138"/>
        <v/>
      </c>
      <c r="N632" s="34" t="str">
        <f t="shared" si="140"/>
        <v/>
      </c>
      <c r="O632" s="34" t="str">
        <f t="shared" si="141"/>
        <v/>
      </c>
      <c r="P632" s="34" t="str">
        <f t="shared" si="142"/>
        <v/>
      </c>
      <c r="Q632" s="34" t="str">
        <f t="shared" si="143"/>
        <v/>
      </c>
      <c r="R632" s="34" t="str">
        <f t="shared" si="144"/>
        <v/>
      </c>
      <c r="S632" s="34" t="str">
        <f t="shared" si="145"/>
        <v/>
      </c>
    </row>
    <row r="633" spans="12:19" x14ac:dyDescent="0.3">
      <c r="L633" s="34" t="str">
        <f t="shared" ref="L633" si="152">L632</f>
        <v/>
      </c>
      <c r="M633" s="34" t="str">
        <f t="shared" si="138"/>
        <v/>
      </c>
      <c r="N633" s="34" t="str">
        <f t="shared" si="140"/>
        <v/>
      </c>
      <c r="O633" s="34" t="str">
        <f t="shared" si="141"/>
        <v/>
      </c>
      <c r="P633" s="34" t="str">
        <f t="shared" si="142"/>
        <v/>
      </c>
      <c r="Q633" s="34" t="str">
        <f t="shared" si="143"/>
        <v/>
      </c>
      <c r="R633" s="34" t="str">
        <f t="shared" si="144"/>
        <v/>
      </c>
      <c r="S633" s="34" t="str">
        <f t="shared" si="145"/>
        <v/>
      </c>
    </row>
    <row r="634" spans="12:19" x14ac:dyDescent="0.3">
      <c r="L634" s="34" t="str">
        <f t="shared" si="146"/>
        <v/>
      </c>
      <c r="M634" s="34" t="str">
        <f t="shared" si="138"/>
        <v/>
      </c>
      <c r="N634" s="34" t="str">
        <f t="shared" si="140"/>
        <v/>
      </c>
      <c r="O634" s="34" t="str">
        <f t="shared" si="141"/>
        <v/>
      </c>
      <c r="P634" s="34" t="str">
        <f t="shared" si="142"/>
        <v/>
      </c>
      <c r="Q634" s="34" t="str">
        <f t="shared" si="143"/>
        <v/>
      </c>
      <c r="R634" s="34" t="str">
        <f t="shared" si="144"/>
        <v/>
      </c>
      <c r="S634" s="34" t="str">
        <f t="shared" si="145"/>
        <v/>
      </c>
    </row>
    <row r="635" spans="12:19" x14ac:dyDescent="0.3">
      <c r="L635" s="34" t="str">
        <f t="shared" si="146"/>
        <v/>
      </c>
      <c r="M635" s="34" t="str">
        <f t="shared" si="138"/>
        <v/>
      </c>
      <c r="N635" s="34" t="str">
        <f t="shared" si="140"/>
        <v/>
      </c>
      <c r="O635" s="34" t="str">
        <f t="shared" si="141"/>
        <v/>
      </c>
      <c r="P635" s="34" t="str">
        <f t="shared" si="142"/>
        <v/>
      </c>
      <c r="Q635" s="34" t="str">
        <f t="shared" si="143"/>
        <v/>
      </c>
      <c r="R635" s="34" t="str">
        <f t="shared" si="144"/>
        <v/>
      </c>
      <c r="S635" s="34" t="str">
        <f t="shared" si="145"/>
        <v/>
      </c>
    </row>
    <row r="636" spans="12:19" x14ac:dyDescent="0.3">
      <c r="L636" s="34" t="str">
        <f t="shared" si="146"/>
        <v/>
      </c>
      <c r="M636" s="34" t="str">
        <f t="shared" si="138"/>
        <v/>
      </c>
      <c r="N636" s="34" t="str">
        <f t="shared" si="140"/>
        <v/>
      </c>
      <c r="O636" s="34" t="str">
        <f t="shared" si="141"/>
        <v/>
      </c>
      <c r="P636" s="34" t="str">
        <f t="shared" si="142"/>
        <v/>
      </c>
      <c r="Q636" s="34" t="str">
        <f t="shared" si="143"/>
        <v/>
      </c>
      <c r="R636" s="34" t="str">
        <f t="shared" si="144"/>
        <v/>
      </c>
      <c r="S636" s="34" t="str">
        <f t="shared" si="145"/>
        <v/>
      </c>
    </row>
    <row r="637" spans="12:19" x14ac:dyDescent="0.3">
      <c r="L637" s="34" t="str">
        <f t="shared" si="146"/>
        <v/>
      </c>
      <c r="M637" s="34" t="str">
        <f t="shared" si="138"/>
        <v/>
      </c>
      <c r="N637" s="34" t="str">
        <f t="shared" si="140"/>
        <v/>
      </c>
      <c r="O637" s="34" t="str">
        <f t="shared" si="141"/>
        <v/>
      </c>
      <c r="P637" s="34" t="str">
        <f t="shared" si="142"/>
        <v/>
      </c>
      <c r="Q637" s="34" t="str">
        <f t="shared" si="143"/>
        <v/>
      </c>
      <c r="R637" s="34" t="str">
        <f t="shared" si="144"/>
        <v/>
      </c>
      <c r="S637" s="34" t="str">
        <f t="shared" si="145"/>
        <v/>
      </c>
    </row>
    <row r="638" spans="12:19" x14ac:dyDescent="0.3">
      <c r="L638" s="34" t="str">
        <f t="shared" si="146"/>
        <v/>
      </c>
      <c r="M638" s="34" t="str">
        <f t="shared" si="138"/>
        <v/>
      </c>
      <c r="N638" s="34" t="str">
        <f t="shared" si="140"/>
        <v/>
      </c>
      <c r="O638" s="34" t="str">
        <f t="shared" si="141"/>
        <v/>
      </c>
      <c r="P638" s="34" t="str">
        <f t="shared" si="142"/>
        <v/>
      </c>
      <c r="Q638" s="34" t="str">
        <f t="shared" si="143"/>
        <v/>
      </c>
      <c r="R638" s="34" t="str">
        <f t="shared" si="144"/>
        <v/>
      </c>
      <c r="S638" s="34" t="str">
        <f t="shared" si="145"/>
        <v/>
      </c>
    </row>
    <row r="639" spans="12:19" x14ac:dyDescent="0.3">
      <c r="L639" s="34" t="str">
        <f t="shared" si="146"/>
        <v/>
      </c>
      <c r="M639" s="34" t="str">
        <f t="shared" si="138"/>
        <v/>
      </c>
      <c r="N639" s="34" t="str">
        <f t="shared" si="140"/>
        <v/>
      </c>
      <c r="O639" s="34" t="str">
        <f t="shared" si="141"/>
        <v/>
      </c>
      <c r="P639" s="34" t="str">
        <f t="shared" si="142"/>
        <v/>
      </c>
      <c r="Q639" s="34" t="str">
        <f t="shared" si="143"/>
        <v/>
      </c>
      <c r="R639" s="34" t="str">
        <f t="shared" si="144"/>
        <v/>
      </c>
      <c r="S639" s="34" t="str">
        <f t="shared" si="145"/>
        <v/>
      </c>
    </row>
    <row r="640" spans="12:19" x14ac:dyDescent="0.3">
      <c r="L640" s="34" t="str">
        <f t="shared" si="146"/>
        <v/>
      </c>
      <c r="M640" s="34" t="str">
        <f t="shared" si="138"/>
        <v/>
      </c>
      <c r="N640" s="34" t="str">
        <f t="shared" si="140"/>
        <v/>
      </c>
      <c r="O640" s="34" t="str">
        <f t="shared" si="141"/>
        <v/>
      </c>
      <c r="P640" s="34" t="str">
        <f t="shared" si="142"/>
        <v/>
      </c>
      <c r="Q640" s="34" t="str">
        <f t="shared" si="143"/>
        <v/>
      </c>
      <c r="R640" s="34" t="str">
        <f t="shared" si="144"/>
        <v/>
      </c>
      <c r="S640" s="34" t="str">
        <f t="shared" si="145"/>
        <v/>
      </c>
    </row>
    <row r="641" spans="12:19" x14ac:dyDescent="0.3">
      <c r="L641" s="34" t="str">
        <f t="shared" si="146"/>
        <v/>
      </c>
      <c r="M641" s="34" t="str">
        <f t="shared" si="138"/>
        <v/>
      </c>
      <c r="N641" s="34" t="str">
        <f t="shared" si="140"/>
        <v/>
      </c>
      <c r="O641" s="34" t="str">
        <f t="shared" si="141"/>
        <v/>
      </c>
      <c r="P641" s="34" t="str">
        <f t="shared" si="142"/>
        <v/>
      </c>
      <c r="Q641" s="34" t="str">
        <f t="shared" si="143"/>
        <v/>
      </c>
      <c r="R641" s="34" t="str">
        <f t="shared" si="144"/>
        <v/>
      </c>
      <c r="S641" s="34" t="str">
        <f t="shared" si="145"/>
        <v/>
      </c>
    </row>
    <row r="642" spans="12:19" x14ac:dyDescent="0.3">
      <c r="L642" s="34" t="str">
        <f t="shared" si="146"/>
        <v/>
      </c>
      <c r="M642" s="34" t="str">
        <f t="shared" si="138"/>
        <v/>
      </c>
      <c r="N642" s="34" t="str">
        <f t="shared" si="140"/>
        <v/>
      </c>
      <c r="O642" s="34" t="str">
        <f t="shared" si="141"/>
        <v/>
      </c>
      <c r="P642" s="34" t="str">
        <f t="shared" si="142"/>
        <v/>
      </c>
      <c r="Q642" s="34" t="str">
        <f t="shared" si="143"/>
        <v/>
      </c>
      <c r="R642" s="34" t="str">
        <f t="shared" si="144"/>
        <v/>
      </c>
      <c r="S642" s="34" t="str">
        <f t="shared" si="145"/>
        <v/>
      </c>
    </row>
    <row r="643" spans="12:19" x14ac:dyDescent="0.3">
      <c r="L643" s="34" t="str">
        <f t="shared" si="146"/>
        <v/>
      </c>
      <c r="M643" s="34" t="str">
        <f t="shared" si="138"/>
        <v/>
      </c>
      <c r="N643" s="34" t="str">
        <f t="shared" si="140"/>
        <v/>
      </c>
      <c r="O643" s="34" t="str">
        <f t="shared" si="141"/>
        <v/>
      </c>
      <c r="P643" s="34" t="str">
        <f t="shared" si="142"/>
        <v/>
      </c>
      <c r="Q643" s="34" t="str">
        <f t="shared" si="143"/>
        <v/>
      </c>
      <c r="R643" s="34" t="str">
        <f t="shared" si="144"/>
        <v/>
      </c>
      <c r="S643" s="34" t="str">
        <f t="shared" si="145"/>
        <v/>
      </c>
    </row>
    <row r="644" spans="12:19" x14ac:dyDescent="0.3">
      <c r="L644" s="34" t="str">
        <f t="shared" si="146"/>
        <v/>
      </c>
      <c r="M644" s="34" t="str">
        <f t="shared" si="138"/>
        <v/>
      </c>
      <c r="N644" s="34" t="str">
        <f t="shared" si="140"/>
        <v/>
      </c>
      <c r="O644" s="34" t="str">
        <f t="shared" si="141"/>
        <v/>
      </c>
      <c r="P644" s="34" t="str">
        <f t="shared" si="142"/>
        <v/>
      </c>
      <c r="Q644" s="34" t="str">
        <f t="shared" si="143"/>
        <v/>
      </c>
      <c r="R644" s="34" t="str">
        <f t="shared" si="144"/>
        <v/>
      </c>
      <c r="S644" s="34" t="str">
        <f t="shared" si="145"/>
        <v/>
      </c>
    </row>
    <row r="645" spans="12:19" x14ac:dyDescent="0.3">
      <c r="L645" s="34" t="str">
        <f t="shared" si="146"/>
        <v/>
      </c>
      <c r="M645" s="34" t="str">
        <f t="shared" ref="M645:M708" si="153">IF(AND(L645="s.csv",A645=1),ABS(1000/12/D645),"")</f>
        <v/>
      </c>
      <c r="N645" s="34" t="str">
        <f t="shared" si="140"/>
        <v/>
      </c>
      <c r="O645" s="34" t="str">
        <f t="shared" si="141"/>
        <v/>
      </c>
      <c r="P645" s="34" t="str">
        <f t="shared" si="142"/>
        <v/>
      </c>
      <c r="Q645" s="34" t="str">
        <f t="shared" si="143"/>
        <v/>
      </c>
      <c r="R645" s="34" t="str">
        <f t="shared" si="144"/>
        <v/>
      </c>
      <c r="S645" s="34" t="str">
        <f t="shared" si="145"/>
        <v/>
      </c>
    </row>
    <row r="646" spans="12:19" x14ac:dyDescent="0.3">
      <c r="L646" s="34" t="str">
        <f t="shared" si="146"/>
        <v/>
      </c>
      <c r="M646" s="34" t="str">
        <f t="shared" si="153"/>
        <v/>
      </c>
      <c r="N646" s="34" t="str">
        <f t="shared" si="140"/>
        <v/>
      </c>
      <c r="O646" s="34" t="str">
        <f t="shared" si="141"/>
        <v/>
      </c>
      <c r="P646" s="34" t="str">
        <f t="shared" si="142"/>
        <v/>
      </c>
      <c r="Q646" s="34" t="str">
        <f t="shared" si="143"/>
        <v/>
      </c>
      <c r="R646" s="34" t="str">
        <f t="shared" si="144"/>
        <v/>
      </c>
      <c r="S646" s="34" t="str">
        <f t="shared" si="145"/>
        <v/>
      </c>
    </row>
    <row r="647" spans="12:19" x14ac:dyDescent="0.3">
      <c r="M647" s="34" t="str">
        <f t="shared" si="153"/>
        <v/>
      </c>
      <c r="N647" s="34" t="str">
        <f t="shared" si="140"/>
        <v/>
      </c>
      <c r="O647" s="34" t="str">
        <f t="shared" si="141"/>
        <v/>
      </c>
      <c r="P647" s="34" t="str">
        <f t="shared" si="142"/>
        <v/>
      </c>
      <c r="Q647" s="34" t="str">
        <f t="shared" si="143"/>
        <v/>
      </c>
      <c r="R647" s="34" t="str">
        <f t="shared" si="144"/>
        <v/>
      </c>
      <c r="S647" s="34" t="str">
        <f t="shared" si="145"/>
        <v/>
      </c>
    </row>
    <row r="648" spans="12:19" x14ac:dyDescent="0.3">
      <c r="M648" s="34" t="str">
        <f t="shared" si="153"/>
        <v/>
      </c>
      <c r="N648" s="34" t="str">
        <f t="shared" si="140"/>
        <v/>
      </c>
      <c r="O648" s="34" t="str">
        <f t="shared" si="141"/>
        <v/>
      </c>
      <c r="P648" s="34" t="str">
        <f t="shared" si="142"/>
        <v/>
      </c>
      <c r="Q648" s="34" t="str">
        <f t="shared" si="143"/>
        <v/>
      </c>
      <c r="R648" s="34" t="str">
        <f t="shared" si="144"/>
        <v/>
      </c>
      <c r="S648" s="34" t="str">
        <f t="shared" si="145"/>
        <v/>
      </c>
    </row>
    <row r="649" spans="12:19" x14ac:dyDescent="0.3">
      <c r="L649" s="34" t="str">
        <f t="shared" ref="L649" si="154">RIGHT(A649,5)</f>
        <v/>
      </c>
      <c r="M649" s="34" t="str">
        <f t="shared" si="153"/>
        <v/>
      </c>
      <c r="N649" s="34" t="str">
        <f t="shared" si="140"/>
        <v/>
      </c>
      <c r="O649" s="34" t="str">
        <f t="shared" si="141"/>
        <v/>
      </c>
      <c r="P649" s="34" t="str">
        <f t="shared" si="142"/>
        <v/>
      </c>
      <c r="Q649" s="34" t="str">
        <f t="shared" si="143"/>
        <v/>
      </c>
      <c r="R649" s="34" t="str">
        <f t="shared" si="144"/>
        <v/>
      </c>
      <c r="S649" s="34" t="str">
        <f t="shared" si="145"/>
        <v/>
      </c>
    </row>
    <row r="650" spans="12:19" x14ac:dyDescent="0.3">
      <c r="L650" s="34" t="str">
        <f t="shared" ref="L650" si="155">L649</f>
        <v/>
      </c>
      <c r="M650" s="34" t="str">
        <f t="shared" si="153"/>
        <v/>
      </c>
      <c r="N650" s="34" t="str">
        <f t="shared" si="140"/>
        <v/>
      </c>
      <c r="O650" s="34" t="str">
        <f t="shared" si="141"/>
        <v/>
      </c>
      <c r="P650" s="34" t="str">
        <f t="shared" si="142"/>
        <v/>
      </c>
      <c r="Q650" s="34" t="str">
        <f t="shared" si="143"/>
        <v/>
      </c>
      <c r="R650" s="34" t="str">
        <f t="shared" si="144"/>
        <v/>
      </c>
      <c r="S650" s="34" t="str">
        <f t="shared" si="145"/>
        <v/>
      </c>
    </row>
    <row r="651" spans="12:19" x14ac:dyDescent="0.3">
      <c r="L651" s="34" t="str">
        <f t="shared" si="146"/>
        <v/>
      </c>
      <c r="M651" s="34" t="str">
        <f t="shared" si="153"/>
        <v/>
      </c>
      <c r="N651" s="34" t="str">
        <f t="shared" si="140"/>
        <v/>
      </c>
      <c r="O651" s="34" t="str">
        <f t="shared" si="141"/>
        <v/>
      </c>
      <c r="P651" s="34" t="str">
        <f t="shared" si="142"/>
        <v/>
      </c>
      <c r="Q651" s="34" t="str">
        <f t="shared" si="143"/>
        <v/>
      </c>
      <c r="R651" s="34" t="str">
        <f t="shared" si="144"/>
        <v/>
      </c>
      <c r="S651" s="34" t="str">
        <f t="shared" si="145"/>
        <v/>
      </c>
    </row>
    <row r="652" spans="12:19" x14ac:dyDescent="0.3">
      <c r="L652" s="34" t="str">
        <f t="shared" si="146"/>
        <v/>
      </c>
      <c r="M652" s="34" t="str">
        <f t="shared" si="153"/>
        <v/>
      </c>
      <c r="N652" s="34" t="str">
        <f t="shared" ref="N652:N715" si="156">IF(AND(OR($L652="l.csv",$L652="g.csv"),$E652&gt;4),F652,"")</f>
        <v/>
      </c>
      <c r="O652" s="34" t="str">
        <f t="shared" ref="O652:O715" si="157">IF(AND(OR($L652="l.csv",$L652="g.csv"),$E652&gt;4),G652,"")</f>
        <v/>
      </c>
      <c r="P652" s="34" t="str">
        <f t="shared" ref="P652:P715" si="158">IF(AND(OR($L652="l.csv",$L652="g.csv"),$E652&gt;4),H652,"")</f>
        <v/>
      </c>
      <c r="Q652" s="34" t="str">
        <f t="shared" ref="Q652:Q715" si="159">IF(AND(OR($L652="l.csv",$L652="g.csv"),$E652&gt;4),I652,"")</f>
        <v/>
      </c>
      <c r="R652" s="34" t="str">
        <f t="shared" ref="R652:R715" si="160">IF(AND(OR($L652="l.csv",$L652="g.csv"),$E652&gt;4),J652,"")</f>
        <v/>
      </c>
      <c r="S652" s="34" t="str">
        <f t="shared" ref="S652:S715" si="161">IF(AND(OR($L652="l.csv",$L652="g.csv"),$E652&gt;4),K652,"")</f>
        <v/>
      </c>
    </row>
    <row r="653" spans="12:19" x14ac:dyDescent="0.3">
      <c r="L653" s="34" t="str">
        <f t="shared" si="146"/>
        <v/>
      </c>
      <c r="M653" s="34" t="str">
        <f t="shared" si="153"/>
        <v/>
      </c>
      <c r="N653" s="34" t="str">
        <f t="shared" si="156"/>
        <v/>
      </c>
      <c r="O653" s="34" t="str">
        <f t="shared" si="157"/>
        <v/>
      </c>
      <c r="P653" s="34" t="str">
        <f t="shared" si="158"/>
        <v/>
      </c>
      <c r="Q653" s="34" t="str">
        <f t="shared" si="159"/>
        <v/>
      </c>
      <c r="R653" s="34" t="str">
        <f t="shared" si="160"/>
        <v/>
      </c>
      <c r="S653" s="34" t="str">
        <f t="shared" si="161"/>
        <v/>
      </c>
    </row>
    <row r="654" spans="12:19" x14ac:dyDescent="0.3">
      <c r="L654" s="34" t="str">
        <f t="shared" si="146"/>
        <v/>
      </c>
      <c r="M654" s="34" t="str">
        <f t="shared" si="153"/>
        <v/>
      </c>
      <c r="N654" s="34" t="str">
        <f t="shared" si="156"/>
        <v/>
      </c>
      <c r="O654" s="34" t="str">
        <f t="shared" si="157"/>
        <v/>
      </c>
      <c r="P654" s="34" t="str">
        <f t="shared" si="158"/>
        <v/>
      </c>
      <c r="Q654" s="34" t="str">
        <f t="shared" si="159"/>
        <v/>
      </c>
      <c r="R654" s="34" t="str">
        <f t="shared" si="160"/>
        <v/>
      </c>
      <c r="S654" s="34" t="str">
        <f t="shared" si="161"/>
        <v/>
      </c>
    </row>
    <row r="655" spans="12:19" x14ac:dyDescent="0.3">
      <c r="L655" s="34" t="str">
        <f t="shared" si="146"/>
        <v/>
      </c>
      <c r="M655" s="34" t="str">
        <f t="shared" si="153"/>
        <v/>
      </c>
      <c r="N655" s="34" t="str">
        <f t="shared" si="156"/>
        <v/>
      </c>
      <c r="O655" s="34" t="str">
        <f t="shared" si="157"/>
        <v/>
      </c>
      <c r="P655" s="34" t="str">
        <f t="shared" si="158"/>
        <v/>
      </c>
      <c r="Q655" s="34" t="str">
        <f t="shared" si="159"/>
        <v/>
      </c>
      <c r="R655" s="34" t="str">
        <f t="shared" si="160"/>
        <v/>
      </c>
      <c r="S655" s="34" t="str">
        <f t="shared" si="161"/>
        <v/>
      </c>
    </row>
    <row r="656" spans="12:19" x14ac:dyDescent="0.3">
      <c r="L656" s="34" t="str">
        <f t="shared" si="146"/>
        <v/>
      </c>
      <c r="M656" s="34" t="str">
        <f t="shared" si="153"/>
        <v/>
      </c>
      <c r="N656" s="34" t="str">
        <f t="shared" si="156"/>
        <v/>
      </c>
      <c r="O656" s="34" t="str">
        <f t="shared" si="157"/>
        <v/>
      </c>
      <c r="P656" s="34" t="str">
        <f t="shared" si="158"/>
        <v/>
      </c>
      <c r="Q656" s="34" t="str">
        <f t="shared" si="159"/>
        <v/>
      </c>
      <c r="R656" s="34" t="str">
        <f t="shared" si="160"/>
        <v/>
      </c>
      <c r="S656" s="34" t="str">
        <f t="shared" si="161"/>
        <v/>
      </c>
    </row>
    <row r="657" spans="12:19" x14ac:dyDescent="0.3">
      <c r="L657" s="34" t="str">
        <f t="shared" si="146"/>
        <v/>
      </c>
      <c r="M657" s="34" t="str">
        <f t="shared" si="153"/>
        <v/>
      </c>
      <c r="N657" s="34" t="str">
        <f t="shared" si="156"/>
        <v/>
      </c>
      <c r="O657" s="34" t="str">
        <f t="shared" si="157"/>
        <v/>
      </c>
      <c r="P657" s="34" t="str">
        <f t="shared" si="158"/>
        <v/>
      </c>
      <c r="Q657" s="34" t="str">
        <f t="shared" si="159"/>
        <v/>
      </c>
      <c r="R657" s="34" t="str">
        <f t="shared" si="160"/>
        <v/>
      </c>
      <c r="S657" s="34" t="str">
        <f t="shared" si="161"/>
        <v/>
      </c>
    </row>
    <row r="658" spans="12:19" x14ac:dyDescent="0.3">
      <c r="L658" s="34" t="str">
        <f t="shared" si="146"/>
        <v/>
      </c>
      <c r="M658" s="34" t="str">
        <f t="shared" si="153"/>
        <v/>
      </c>
      <c r="N658" s="34" t="str">
        <f t="shared" si="156"/>
        <v/>
      </c>
      <c r="O658" s="34" t="str">
        <f t="shared" si="157"/>
        <v/>
      </c>
      <c r="P658" s="34" t="str">
        <f t="shared" si="158"/>
        <v/>
      </c>
      <c r="Q658" s="34" t="str">
        <f t="shared" si="159"/>
        <v/>
      </c>
      <c r="R658" s="34" t="str">
        <f t="shared" si="160"/>
        <v/>
      </c>
      <c r="S658" s="34" t="str">
        <f t="shared" si="161"/>
        <v/>
      </c>
    </row>
    <row r="659" spans="12:19" x14ac:dyDescent="0.3">
      <c r="L659" s="34" t="str">
        <f t="shared" ref="L659:L722" si="162">L658</f>
        <v/>
      </c>
      <c r="M659" s="34" t="str">
        <f t="shared" si="153"/>
        <v/>
      </c>
      <c r="N659" s="34" t="str">
        <f t="shared" si="156"/>
        <v/>
      </c>
      <c r="O659" s="34" t="str">
        <f t="shared" si="157"/>
        <v/>
      </c>
      <c r="P659" s="34" t="str">
        <f t="shared" si="158"/>
        <v/>
      </c>
      <c r="Q659" s="34" t="str">
        <f t="shared" si="159"/>
        <v/>
      </c>
      <c r="R659" s="34" t="str">
        <f t="shared" si="160"/>
        <v/>
      </c>
      <c r="S659" s="34" t="str">
        <f t="shared" si="161"/>
        <v/>
      </c>
    </row>
    <row r="660" spans="12:19" x14ac:dyDescent="0.3">
      <c r="L660" s="34" t="str">
        <f t="shared" si="162"/>
        <v/>
      </c>
      <c r="M660" s="34" t="str">
        <f t="shared" si="153"/>
        <v/>
      </c>
      <c r="N660" s="34" t="str">
        <f t="shared" si="156"/>
        <v/>
      </c>
      <c r="O660" s="34" t="str">
        <f t="shared" si="157"/>
        <v/>
      </c>
      <c r="P660" s="34" t="str">
        <f t="shared" si="158"/>
        <v/>
      </c>
      <c r="Q660" s="34" t="str">
        <f t="shared" si="159"/>
        <v/>
      </c>
      <c r="R660" s="34" t="str">
        <f t="shared" si="160"/>
        <v/>
      </c>
      <c r="S660" s="34" t="str">
        <f t="shared" si="161"/>
        <v/>
      </c>
    </row>
    <row r="661" spans="12:19" x14ac:dyDescent="0.3">
      <c r="L661" s="34" t="str">
        <f t="shared" si="162"/>
        <v/>
      </c>
      <c r="M661" s="34" t="str">
        <f t="shared" si="153"/>
        <v/>
      </c>
      <c r="N661" s="34" t="str">
        <f t="shared" si="156"/>
        <v/>
      </c>
      <c r="O661" s="34" t="str">
        <f t="shared" si="157"/>
        <v/>
      </c>
      <c r="P661" s="34" t="str">
        <f t="shared" si="158"/>
        <v/>
      </c>
      <c r="Q661" s="34" t="str">
        <f t="shared" si="159"/>
        <v/>
      </c>
      <c r="R661" s="34" t="str">
        <f t="shared" si="160"/>
        <v/>
      </c>
      <c r="S661" s="34" t="str">
        <f t="shared" si="161"/>
        <v/>
      </c>
    </row>
    <row r="662" spans="12:19" x14ac:dyDescent="0.3">
      <c r="L662" s="34" t="str">
        <f t="shared" si="162"/>
        <v/>
      </c>
      <c r="M662" s="34" t="str">
        <f t="shared" si="153"/>
        <v/>
      </c>
      <c r="N662" s="34" t="str">
        <f t="shared" si="156"/>
        <v/>
      </c>
      <c r="O662" s="34" t="str">
        <f t="shared" si="157"/>
        <v/>
      </c>
      <c r="P662" s="34" t="str">
        <f t="shared" si="158"/>
        <v/>
      </c>
      <c r="Q662" s="34" t="str">
        <f t="shared" si="159"/>
        <v/>
      </c>
      <c r="R662" s="34" t="str">
        <f t="shared" si="160"/>
        <v/>
      </c>
      <c r="S662" s="34" t="str">
        <f t="shared" si="161"/>
        <v/>
      </c>
    </row>
    <row r="663" spans="12:19" x14ac:dyDescent="0.3">
      <c r="L663" s="34" t="str">
        <f t="shared" si="162"/>
        <v/>
      </c>
      <c r="M663" s="34" t="str">
        <f t="shared" si="153"/>
        <v/>
      </c>
      <c r="N663" s="34" t="str">
        <f t="shared" si="156"/>
        <v/>
      </c>
      <c r="O663" s="34" t="str">
        <f t="shared" si="157"/>
        <v/>
      </c>
      <c r="P663" s="34" t="str">
        <f t="shared" si="158"/>
        <v/>
      </c>
      <c r="Q663" s="34" t="str">
        <f t="shared" si="159"/>
        <v/>
      </c>
      <c r="R663" s="34" t="str">
        <f t="shared" si="160"/>
        <v/>
      </c>
      <c r="S663" s="34" t="str">
        <f t="shared" si="161"/>
        <v/>
      </c>
    </row>
    <row r="664" spans="12:19" x14ac:dyDescent="0.3">
      <c r="M664" s="34" t="str">
        <f t="shared" si="153"/>
        <v/>
      </c>
      <c r="N664" s="34" t="str">
        <f t="shared" si="156"/>
        <v/>
      </c>
      <c r="O664" s="34" t="str">
        <f t="shared" si="157"/>
        <v/>
      </c>
      <c r="P664" s="34" t="str">
        <f t="shared" si="158"/>
        <v/>
      </c>
      <c r="Q664" s="34" t="str">
        <f t="shared" si="159"/>
        <v/>
      </c>
      <c r="R664" s="34" t="str">
        <f t="shared" si="160"/>
        <v/>
      </c>
      <c r="S664" s="34" t="str">
        <f t="shared" si="161"/>
        <v/>
      </c>
    </row>
    <row r="665" spans="12:19" x14ac:dyDescent="0.3">
      <c r="M665" s="34" t="str">
        <f t="shared" si="153"/>
        <v/>
      </c>
      <c r="N665" s="34" t="str">
        <f t="shared" si="156"/>
        <v/>
      </c>
      <c r="O665" s="34" t="str">
        <f t="shared" si="157"/>
        <v/>
      </c>
      <c r="P665" s="34" t="str">
        <f t="shared" si="158"/>
        <v/>
      </c>
      <c r="Q665" s="34" t="str">
        <f t="shared" si="159"/>
        <v/>
      </c>
      <c r="R665" s="34" t="str">
        <f t="shared" si="160"/>
        <v/>
      </c>
      <c r="S665" s="34" t="str">
        <f t="shared" si="161"/>
        <v/>
      </c>
    </row>
    <row r="666" spans="12:19" x14ac:dyDescent="0.3">
      <c r="L666" s="34" t="str">
        <f t="shared" ref="L666" si="163">RIGHT(A666,5)</f>
        <v/>
      </c>
      <c r="M666" s="34" t="str">
        <f t="shared" si="153"/>
        <v/>
      </c>
      <c r="N666" s="34" t="str">
        <f t="shared" si="156"/>
        <v/>
      </c>
      <c r="O666" s="34" t="str">
        <f t="shared" si="157"/>
        <v/>
      </c>
      <c r="P666" s="34" t="str">
        <f t="shared" si="158"/>
        <v/>
      </c>
      <c r="Q666" s="34" t="str">
        <f t="shared" si="159"/>
        <v/>
      </c>
      <c r="R666" s="34" t="str">
        <f t="shared" si="160"/>
        <v/>
      </c>
      <c r="S666" s="34" t="str">
        <f t="shared" si="161"/>
        <v/>
      </c>
    </row>
    <row r="667" spans="12:19" x14ac:dyDescent="0.3">
      <c r="L667" s="34" t="str">
        <f t="shared" ref="L667" si="164">L666</f>
        <v/>
      </c>
      <c r="M667" s="34" t="str">
        <f t="shared" si="153"/>
        <v/>
      </c>
      <c r="N667" s="34" t="str">
        <f t="shared" si="156"/>
        <v/>
      </c>
      <c r="O667" s="34" t="str">
        <f t="shared" si="157"/>
        <v/>
      </c>
      <c r="P667" s="34" t="str">
        <f t="shared" si="158"/>
        <v/>
      </c>
      <c r="Q667" s="34" t="str">
        <f t="shared" si="159"/>
        <v/>
      </c>
      <c r="R667" s="34" t="str">
        <f t="shared" si="160"/>
        <v/>
      </c>
      <c r="S667" s="34" t="str">
        <f t="shared" si="161"/>
        <v/>
      </c>
    </row>
    <row r="668" spans="12:19" x14ac:dyDescent="0.3">
      <c r="L668" s="34" t="str">
        <f t="shared" si="162"/>
        <v/>
      </c>
      <c r="M668" s="34" t="str">
        <f t="shared" si="153"/>
        <v/>
      </c>
      <c r="N668" s="34" t="str">
        <f t="shared" si="156"/>
        <v/>
      </c>
      <c r="O668" s="34" t="str">
        <f t="shared" si="157"/>
        <v/>
      </c>
      <c r="P668" s="34" t="str">
        <f t="shared" si="158"/>
        <v/>
      </c>
      <c r="Q668" s="34" t="str">
        <f t="shared" si="159"/>
        <v/>
      </c>
      <c r="R668" s="34" t="str">
        <f t="shared" si="160"/>
        <v/>
      </c>
      <c r="S668" s="34" t="str">
        <f t="shared" si="161"/>
        <v/>
      </c>
    </row>
    <row r="669" spans="12:19" x14ac:dyDescent="0.3">
      <c r="L669" s="34" t="str">
        <f t="shared" si="162"/>
        <v/>
      </c>
      <c r="M669" s="34" t="str">
        <f t="shared" si="153"/>
        <v/>
      </c>
      <c r="N669" s="34" t="str">
        <f t="shared" si="156"/>
        <v/>
      </c>
      <c r="O669" s="34" t="str">
        <f t="shared" si="157"/>
        <v/>
      </c>
      <c r="P669" s="34" t="str">
        <f t="shared" si="158"/>
        <v/>
      </c>
      <c r="Q669" s="34" t="str">
        <f t="shared" si="159"/>
        <v/>
      </c>
      <c r="R669" s="34" t="str">
        <f t="shared" si="160"/>
        <v/>
      </c>
      <c r="S669" s="34" t="str">
        <f t="shared" si="161"/>
        <v/>
      </c>
    </row>
    <row r="670" spans="12:19" x14ac:dyDescent="0.3">
      <c r="L670" s="34" t="str">
        <f t="shared" si="162"/>
        <v/>
      </c>
      <c r="M670" s="34" t="str">
        <f t="shared" si="153"/>
        <v/>
      </c>
      <c r="N670" s="34" t="str">
        <f t="shared" si="156"/>
        <v/>
      </c>
      <c r="O670" s="34" t="str">
        <f t="shared" si="157"/>
        <v/>
      </c>
      <c r="P670" s="34" t="str">
        <f t="shared" si="158"/>
        <v/>
      </c>
      <c r="Q670" s="34" t="str">
        <f t="shared" si="159"/>
        <v/>
      </c>
      <c r="R670" s="34" t="str">
        <f t="shared" si="160"/>
        <v/>
      </c>
      <c r="S670" s="34" t="str">
        <f t="shared" si="161"/>
        <v/>
      </c>
    </row>
    <row r="671" spans="12:19" x14ac:dyDescent="0.3">
      <c r="L671" s="34" t="str">
        <f t="shared" si="162"/>
        <v/>
      </c>
      <c r="M671" s="34" t="str">
        <f t="shared" si="153"/>
        <v/>
      </c>
      <c r="N671" s="34" t="str">
        <f t="shared" si="156"/>
        <v/>
      </c>
      <c r="O671" s="34" t="str">
        <f t="shared" si="157"/>
        <v/>
      </c>
      <c r="P671" s="34" t="str">
        <f t="shared" si="158"/>
        <v/>
      </c>
      <c r="Q671" s="34" t="str">
        <f t="shared" si="159"/>
        <v/>
      </c>
      <c r="R671" s="34" t="str">
        <f t="shared" si="160"/>
        <v/>
      </c>
      <c r="S671" s="34" t="str">
        <f t="shared" si="161"/>
        <v/>
      </c>
    </row>
    <row r="672" spans="12:19" x14ac:dyDescent="0.3">
      <c r="L672" s="34" t="str">
        <f t="shared" si="162"/>
        <v/>
      </c>
      <c r="M672" s="34" t="str">
        <f t="shared" si="153"/>
        <v/>
      </c>
      <c r="N672" s="34" t="str">
        <f t="shared" si="156"/>
        <v/>
      </c>
      <c r="O672" s="34" t="str">
        <f t="shared" si="157"/>
        <v/>
      </c>
      <c r="P672" s="34" t="str">
        <f t="shared" si="158"/>
        <v/>
      </c>
      <c r="Q672" s="34" t="str">
        <f t="shared" si="159"/>
        <v/>
      </c>
      <c r="R672" s="34" t="str">
        <f t="shared" si="160"/>
        <v/>
      </c>
      <c r="S672" s="34" t="str">
        <f t="shared" si="161"/>
        <v/>
      </c>
    </row>
    <row r="673" spans="12:19" x14ac:dyDescent="0.3">
      <c r="L673" s="34" t="str">
        <f t="shared" si="162"/>
        <v/>
      </c>
      <c r="M673" s="34" t="str">
        <f t="shared" si="153"/>
        <v/>
      </c>
      <c r="N673" s="34" t="str">
        <f t="shared" si="156"/>
        <v/>
      </c>
      <c r="O673" s="34" t="str">
        <f t="shared" si="157"/>
        <v/>
      </c>
      <c r="P673" s="34" t="str">
        <f t="shared" si="158"/>
        <v/>
      </c>
      <c r="Q673" s="34" t="str">
        <f t="shared" si="159"/>
        <v/>
      </c>
      <c r="R673" s="34" t="str">
        <f t="shared" si="160"/>
        <v/>
      </c>
      <c r="S673" s="34" t="str">
        <f t="shared" si="161"/>
        <v/>
      </c>
    </row>
    <row r="674" spans="12:19" x14ac:dyDescent="0.3">
      <c r="L674" s="34" t="str">
        <f t="shared" si="162"/>
        <v/>
      </c>
      <c r="M674" s="34" t="str">
        <f t="shared" si="153"/>
        <v/>
      </c>
      <c r="N674" s="34" t="str">
        <f t="shared" si="156"/>
        <v/>
      </c>
      <c r="O674" s="34" t="str">
        <f t="shared" si="157"/>
        <v/>
      </c>
      <c r="P674" s="34" t="str">
        <f t="shared" si="158"/>
        <v/>
      </c>
      <c r="Q674" s="34" t="str">
        <f t="shared" si="159"/>
        <v/>
      </c>
      <c r="R674" s="34" t="str">
        <f t="shared" si="160"/>
        <v/>
      </c>
      <c r="S674" s="34" t="str">
        <f t="shared" si="161"/>
        <v/>
      </c>
    </row>
    <row r="675" spans="12:19" x14ac:dyDescent="0.3">
      <c r="L675" s="34" t="str">
        <f t="shared" si="162"/>
        <v/>
      </c>
      <c r="M675" s="34" t="str">
        <f t="shared" si="153"/>
        <v/>
      </c>
      <c r="N675" s="34" t="str">
        <f t="shared" si="156"/>
        <v/>
      </c>
      <c r="O675" s="34" t="str">
        <f t="shared" si="157"/>
        <v/>
      </c>
      <c r="P675" s="34" t="str">
        <f t="shared" si="158"/>
        <v/>
      </c>
      <c r="Q675" s="34" t="str">
        <f t="shared" si="159"/>
        <v/>
      </c>
      <c r="R675" s="34" t="str">
        <f t="shared" si="160"/>
        <v/>
      </c>
      <c r="S675" s="34" t="str">
        <f t="shared" si="161"/>
        <v/>
      </c>
    </row>
    <row r="676" spans="12:19" x14ac:dyDescent="0.3">
      <c r="L676" s="34" t="str">
        <f t="shared" si="162"/>
        <v/>
      </c>
      <c r="M676" s="34" t="str">
        <f t="shared" si="153"/>
        <v/>
      </c>
      <c r="N676" s="34" t="str">
        <f t="shared" si="156"/>
        <v/>
      </c>
      <c r="O676" s="34" t="str">
        <f t="shared" si="157"/>
        <v/>
      </c>
      <c r="P676" s="34" t="str">
        <f t="shared" si="158"/>
        <v/>
      </c>
      <c r="Q676" s="34" t="str">
        <f t="shared" si="159"/>
        <v/>
      </c>
      <c r="R676" s="34" t="str">
        <f t="shared" si="160"/>
        <v/>
      </c>
      <c r="S676" s="34" t="str">
        <f t="shared" si="161"/>
        <v/>
      </c>
    </row>
    <row r="677" spans="12:19" x14ac:dyDescent="0.3">
      <c r="L677" s="34" t="str">
        <f t="shared" si="162"/>
        <v/>
      </c>
      <c r="M677" s="34" t="str">
        <f t="shared" si="153"/>
        <v/>
      </c>
      <c r="N677" s="34" t="str">
        <f t="shared" si="156"/>
        <v/>
      </c>
      <c r="O677" s="34" t="str">
        <f t="shared" si="157"/>
        <v/>
      </c>
      <c r="P677" s="34" t="str">
        <f t="shared" si="158"/>
        <v/>
      </c>
      <c r="Q677" s="34" t="str">
        <f t="shared" si="159"/>
        <v/>
      </c>
      <c r="R677" s="34" t="str">
        <f t="shared" si="160"/>
        <v/>
      </c>
      <c r="S677" s="34" t="str">
        <f t="shared" si="161"/>
        <v/>
      </c>
    </row>
    <row r="678" spans="12:19" x14ac:dyDescent="0.3">
      <c r="L678" s="34" t="str">
        <f t="shared" si="162"/>
        <v/>
      </c>
      <c r="M678" s="34" t="str">
        <f t="shared" si="153"/>
        <v/>
      </c>
      <c r="N678" s="34" t="str">
        <f t="shared" si="156"/>
        <v/>
      </c>
      <c r="O678" s="34" t="str">
        <f t="shared" si="157"/>
        <v/>
      </c>
      <c r="P678" s="34" t="str">
        <f t="shared" si="158"/>
        <v/>
      </c>
      <c r="Q678" s="34" t="str">
        <f t="shared" si="159"/>
        <v/>
      </c>
      <c r="R678" s="34" t="str">
        <f t="shared" si="160"/>
        <v/>
      </c>
      <c r="S678" s="34" t="str">
        <f t="shared" si="161"/>
        <v/>
      </c>
    </row>
    <row r="679" spans="12:19" x14ac:dyDescent="0.3">
      <c r="L679" s="34" t="str">
        <f t="shared" si="162"/>
        <v/>
      </c>
      <c r="M679" s="34" t="str">
        <f t="shared" si="153"/>
        <v/>
      </c>
      <c r="N679" s="34" t="str">
        <f t="shared" si="156"/>
        <v/>
      </c>
      <c r="O679" s="34" t="str">
        <f t="shared" si="157"/>
        <v/>
      </c>
      <c r="P679" s="34" t="str">
        <f t="shared" si="158"/>
        <v/>
      </c>
      <c r="Q679" s="34" t="str">
        <f t="shared" si="159"/>
        <v/>
      </c>
      <c r="R679" s="34" t="str">
        <f t="shared" si="160"/>
        <v/>
      </c>
      <c r="S679" s="34" t="str">
        <f t="shared" si="161"/>
        <v/>
      </c>
    </row>
    <row r="680" spans="12:19" x14ac:dyDescent="0.3">
      <c r="L680" s="34" t="str">
        <f t="shared" si="162"/>
        <v/>
      </c>
      <c r="M680" s="34" t="str">
        <f t="shared" si="153"/>
        <v/>
      </c>
      <c r="N680" s="34" t="str">
        <f t="shared" si="156"/>
        <v/>
      </c>
      <c r="O680" s="34" t="str">
        <f t="shared" si="157"/>
        <v/>
      </c>
      <c r="P680" s="34" t="str">
        <f t="shared" si="158"/>
        <v/>
      </c>
      <c r="Q680" s="34" t="str">
        <f t="shared" si="159"/>
        <v/>
      </c>
      <c r="R680" s="34" t="str">
        <f t="shared" si="160"/>
        <v/>
      </c>
      <c r="S680" s="34" t="str">
        <f t="shared" si="161"/>
        <v/>
      </c>
    </row>
    <row r="681" spans="12:19" x14ac:dyDescent="0.3">
      <c r="M681" s="34" t="str">
        <f t="shared" si="153"/>
        <v/>
      </c>
      <c r="N681" s="34" t="str">
        <f t="shared" si="156"/>
        <v/>
      </c>
      <c r="O681" s="34" t="str">
        <f t="shared" si="157"/>
        <v/>
      </c>
      <c r="P681" s="34" t="str">
        <f t="shared" si="158"/>
        <v/>
      </c>
      <c r="Q681" s="34" t="str">
        <f t="shared" si="159"/>
        <v/>
      </c>
      <c r="R681" s="34" t="str">
        <f t="shared" si="160"/>
        <v/>
      </c>
      <c r="S681" s="34" t="str">
        <f t="shared" si="161"/>
        <v/>
      </c>
    </row>
    <row r="682" spans="12:19" x14ac:dyDescent="0.3">
      <c r="M682" s="34" t="str">
        <f t="shared" si="153"/>
        <v/>
      </c>
      <c r="N682" s="34" t="str">
        <f t="shared" si="156"/>
        <v/>
      </c>
      <c r="O682" s="34" t="str">
        <f t="shared" si="157"/>
        <v/>
      </c>
      <c r="P682" s="34" t="str">
        <f t="shared" si="158"/>
        <v/>
      </c>
      <c r="Q682" s="34" t="str">
        <f t="shared" si="159"/>
        <v/>
      </c>
      <c r="R682" s="34" t="str">
        <f t="shared" si="160"/>
        <v/>
      </c>
      <c r="S682" s="34" t="str">
        <f t="shared" si="161"/>
        <v/>
      </c>
    </row>
    <row r="683" spans="12:19" x14ac:dyDescent="0.3">
      <c r="L683" s="34" t="str">
        <f t="shared" ref="L683" si="165">RIGHT(A683,5)</f>
        <v/>
      </c>
      <c r="M683" s="34" t="str">
        <f t="shared" si="153"/>
        <v/>
      </c>
      <c r="N683" s="34" t="str">
        <f t="shared" si="156"/>
        <v/>
      </c>
      <c r="O683" s="34" t="str">
        <f t="shared" si="157"/>
        <v/>
      </c>
      <c r="P683" s="34" t="str">
        <f t="shared" si="158"/>
        <v/>
      </c>
      <c r="Q683" s="34" t="str">
        <f t="shared" si="159"/>
        <v/>
      </c>
      <c r="R683" s="34" t="str">
        <f t="shared" si="160"/>
        <v/>
      </c>
      <c r="S683" s="34" t="str">
        <f t="shared" si="161"/>
        <v/>
      </c>
    </row>
    <row r="684" spans="12:19" x14ac:dyDescent="0.3">
      <c r="L684" s="34" t="str">
        <f t="shared" ref="L684" si="166">L683</f>
        <v/>
      </c>
      <c r="M684" s="34" t="str">
        <f t="shared" si="153"/>
        <v/>
      </c>
      <c r="N684" s="34" t="str">
        <f t="shared" si="156"/>
        <v/>
      </c>
      <c r="O684" s="34" t="str">
        <f t="shared" si="157"/>
        <v/>
      </c>
      <c r="P684" s="34" t="str">
        <f t="shared" si="158"/>
        <v/>
      </c>
      <c r="Q684" s="34" t="str">
        <f t="shared" si="159"/>
        <v/>
      </c>
      <c r="R684" s="34" t="str">
        <f t="shared" si="160"/>
        <v/>
      </c>
      <c r="S684" s="34" t="str">
        <f t="shared" si="161"/>
        <v/>
      </c>
    </row>
    <row r="685" spans="12:19" x14ac:dyDescent="0.3">
      <c r="L685" s="34" t="str">
        <f t="shared" si="162"/>
        <v/>
      </c>
      <c r="M685" s="34" t="str">
        <f t="shared" si="153"/>
        <v/>
      </c>
      <c r="N685" s="34" t="str">
        <f t="shared" si="156"/>
        <v/>
      </c>
      <c r="O685" s="34" t="str">
        <f t="shared" si="157"/>
        <v/>
      </c>
      <c r="P685" s="34" t="str">
        <f t="shared" si="158"/>
        <v/>
      </c>
      <c r="Q685" s="34" t="str">
        <f t="shared" si="159"/>
        <v/>
      </c>
      <c r="R685" s="34" t="str">
        <f t="shared" si="160"/>
        <v/>
      </c>
      <c r="S685" s="34" t="str">
        <f t="shared" si="161"/>
        <v/>
      </c>
    </row>
    <row r="686" spans="12:19" x14ac:dyDescent="0.3">
      <c r="L686" s="34" t="str">
        <f t="shared" si="162"/>
        <v/>
      </c>
      <c r="M686" s="34" t="str">
        <f t="shared" si="153"/>
        <v/>
      </c>
      <c r="N686" s="34" t="str">
        <f t="shared" si="156"/>
        <v/>
      </c>
      <c r="O686" s="34" t="str">
        <f t="shared" si="157"/>
        <v/>
      </c>
      <c r="P686" s="34" t="str">
        <f t="shared" si="158"/>
        <v/>
      </c>
      <c r="Q686" s="34" t="str">
        <f t="shared" si="159"/>
        <v/>
      </c>
      <c r="R686" s="34" t="str">
        <f t="shared" si="160"/>
        <v/>
      </c>
      <c r="S686" s="34" t="str">
        <f t="shared" si="161"/>
        <v/>
      </c>
    </row>
    <row r="687" spans="12:19" x14ac:dyDescent="0.3">
      <c r="L687" s="34" t="str">
        <f t="shared" si="162"/>
        <v/>
      </c>
      <c r="M687" s="34" t="str">
        <f t="shared" si="153"/>
        <v/>
      </c>
      <c r="N687" s="34" t="str">
        <f t="shared" si="156"/>
        <v/>
      </c>
      <c r="O687" s="34" t="str">
        <f t="shared" si="157"/>
        <v/>
      </c>
      <c r="P687" s="34" t="str">
        <f t="shared" si="158"/>
        <v/>
      </c>
      <c r="Q687" s="34" t="str">
        <f t="shared" si="159"/>
        <v/>
      </c>
      <c r="R687" s="34" t="str">
        <f t="shared" si="160"/>
        <v/>
      </c>
      <c r="S687" s="34" t="str">
        <f t="shared" si="161"/>
        <v/>
      </c>
    </row>
    <row r="688" spans="12:19" x14ac:dyDescent="0.3">
      <c r="L688" s="34" t="str">
        <f t="shared" si="162"/>
        <v/>
      </c>
      <c r="M688" s="34" t="str">
        <f t="shared" si="153"/>
        <v/>
      </c>
      <c r="N688" s="34" t="str">
        <f t="shared" si="156"/>
        <v/>
      </c>
      <c r="O688" s="34" t="str">
        <f t="shared" si="157"/>
        <v/>
      </c>
      <c r="P688" s="34" t="str">
        <f t="shared" si="158"/>
        <v/>
      </c>
      <c r="Q688" s="34" t="str">
        <f t="shared" si="159"/>
        <v/>
      </c>
      <c r="R688" s="34" t="str">
        <f t="shared" si="160"/>
        <v/>
      </c>
      <c r="S688" s="34" t="str">
        <f t="shared" si="161"/>
        <v/>
      </c>
    </row>
    <row r="689" spans="12:19" x14ac:dyDescent="0.3">
      <c r="L689" s="34" t="str">
        <f t="shared" si="162"/>
        <v/>
      </c>
      <c r="M689" s="34" t="str">
        <f t="shared" si="153"/>
        <v/>
      </c>
      <c r="N689" s="34" t="str">
        <f t="shared" si="156"/>
        <v/>
      </c>
      <c r="O689" s="34" t="str">
        <f t="shared" si="157"/>
        <v/>
      </c>
      <c r="P689" s="34" t="str">
        <f t="shared" si="158"/>
        <v/>
      </c>
      <c r="Q689" s="34" t="str">
        <f t="shared" si="159"/>
        <v/>
      </c>
      <c r="R689" s="34" t="str">
        <f t="shared" si="160"/>
        <v/>
      </c>
      <c r="S689" s="34" t="str">
        <f t="shared" si="161"/>
        <v/>
      </c>
    </row>
    <row r="690" spans="12:19" x14ac:dyDescent="0.3">
      <c r="L690" s="34" t="str">
        <f t="shared" si="162"/>
        <v/>
      </c>
      <c r="M690" s="34" t="str">
        <f t="shared" si="153"/>
        <v/>
      </c>
      <c r="N690" s="34" t="str">
        <f t="shared" si="156"/>
        <v/>
      </c>
      <c r="O690" s="34" t="str">
        <f t="shared" si="157"/>
        <v/>
      </c>
      <c r="P690" s="34" t="str">
        <f t="shared" si="158"/>
        <v/>
      </c>
      <c r="Q690" s="34" t="str">
        <f t="shared" si="159"/>
        <v/>
      </c>
      <c r="R690" s="34" t="str">
        <f t="shared" si="160"/>
        <v/>
      </c>
      <c r="S690" s="34" t="str">
        <f t="shared" si="161"/>
        <v/>
      </c>
    </row>
    <row r="691" spans="12:19" x14ac:dyDescent="0.3">
      <c r="L691" s="34" t="str">
        <f t="shared" si="162"/>
        <v/>
      </c>
      <c r="M691" s="34" t="str">
        <f t="shared" si="153"/>
        <v/>
      </c>
      <c r="N691" s="34" t="str">
        <f t="shared" si="156"/>
        <v/>
      </c>
      <c r="O691" s="34" t="str">
        <f t="shared" si="157"/>
        <v/>
      </c>
      <c r="P691" s="34" t="str">
        <f t="shared" si="158"/>
        <v/>
      </c>
      <c r="Q691" s="34" t="str">
        <f t="shared" si="159"/>
        <v/>
      </c>
      <c r="R691" s="34" t="str">
        <f t="shared" si="160"/>
        <v/>
      </c>
      <c r="S691" s="34" t="str">
        <f t="shared" si="161"/>
        <v/>
      </c>
    </row>
    <row r="692" spans="12:19" x14ac:dyDescent="0.3">
      <c r="L692" s="34" t="str">
        <f t="shared" si="162"/>
        <v/>
      </c>
      <c r="M692" s="34" t="str">
        <f t="shared" si="153"/>
        <v/>
      </c>
      <c r="N692" s="34" t="str">
        <f t="shared" si="156"/>
        <v/>
      </c>
      <c r="O692" s="34" t="str">
        <f t="shared" si="157"/>
        <v/>
      </c>
      <c r="P692" s="34" t="str">
        <f t="shared" si="158"/>
        <v/>
      </c>
      <c r="Q692" s="34" t="str">
        <f t="shared" si="159"/>
        <v/>
      </c>
      <c r="R692" s="34" t="str">
        <f t="shared" si="160"/>
        <v/>
      </c>
      <c r="S692" s="34" t="str">
        <f t="shared" si="161"/>
        <v/>
      </c>
    </row>
    <row r="693" spans="12:19" x14ac:dyDescent="0.3">
      <c r="L693" s="34" t="str">
        <f t="shared" si="162"/>
        <v/>
      </c>
      <c r="M693" s="34" t="str">
        <f t="shared" si="153"/>
        <v/>
      </c>
      <c r="N693" s="34" t="str">
        <f t="shared" si="156"/>
        <v/>
      </c>
      <c r="O693" s="34" t="str">
        <f t="shared" si="157"/>
        <v/>
      </c>
      <c r="P693" s="34" t="str">
        <f t="shared" si="158"/>
        <v/>
      </c>
      <c r="Q693" s="34" t="str">
        <f t="shared" si="159"/>
        <v/>
      </c>
      <c r="R693" s="34" t="str">
        <f t="shared" si="160"/>
        <v/>
      </c>
      <c r="S693" s="34" t="str">
        <f t="shared" si="161"/>
        <v/>
      </c>
    </row>
    <row r="694" spans="12:19" x14ac:dyDescent="0.3">
      <c r="L694" s="34" t="str">
        <f t="shared" si="162"/>
        <v/>
      </c>
      <c r="M694" s="34" t="str">
        <f t="shared" si="153"/>
        <v/>
      </c>
      <c r="N694" s="34" t="str">
        <f t="shared" si="156"/>
        <v/>
      </c>
      <c r="O694" s="34" t="str">
        <f t="shared" si="157"/>
        <v/>
      </c>
      <c r="P694" s="34" t="str">
        <f t="shared" si="158"/>
        <v/>
      </c>
      <c r="Q694" s="34" t="str">
        <f t="shared" si="159"/>
        <v/>
      </c>
      <c r="R694" s="34" t="str">
        <f t="shared" si="160"/>
        <v/>
      </c>
      <c r="S694" s="34" t="str">
        <f t="shared" si="161"/>
        <v/>
      </c>
    </row>
    <row r="695" spans="12:19" x14ac:dyDescent="0.3">
      <c r="L695" s="34" t="str">
        <f t="shared" si="162"/>
        <v/>
      </c>
      <c r="M695" s="34" t="str">
        <f t="shared" si="153"/>
        <v/>
      </c>
      <c r="N695" s="34" t="str">
        <f t="shared" si="156"/>
        <v/>
      </c>
      <c r="O695" s="34" t="str">
        <f t="shared" si="157"/>
        <v/>
      </c>
      <c r="P695" s="34" t="str">
        <f t="shared" si="158"/>
        <v/>
      </c>
      <c r="Q695" s="34" t="str">
        <f t="shared" si="159"/>
        <v/>
      </c>
      <c r="R695" s="34" t="str">
        <f t="shared" si="160"/>
        <v/>
      </c>
      <c r="S695" s="34" t="str">
        <f t="shared" si="161"/>
        <v/>
      </c>
    </row>
    <row r="696" spans="12:19" x14ac:dyDescent="0.3">
      <c r="L696" s="34" t="str">
        <f t="shared" si="162"/>
        <v/>
      </c>
      <c r="M696" s="34" t="str">
        <f t="shared" si="153"/>
        <v/>
      </c>
      <c r="N696" s="34" t="str">
        <f t="shared" si="156"/>
        <v/>
      </c>
      <c r="O696" s="34" t="str">
        <f t="shared" si="157"/>
        <v/>
      </c>
      <c r="P696" s="34" t="str">
        <f t="shared" si="158"/>
        <v/>
      </c>
      <c r="Q696" s="34" t="str">
        <f t="shared" si="159"/>
        <v/>
      </c>
      <c r="R696" s="34" t="str">
        <f t="shared" si="160"/>
        <v/>
      </c>
      <c r="S696" s="34" t="str">
        <f t="shared" si="161"/>
        <v/>
      </c>
    </row>
    <row r="697" spans="12:19" x14ac:dyDescent="0.3">
      <c r="L697" s="34" t="str">
        <f t="shared" si="162"/>
        <v/>
      </c>
      <c r="M697" s="34" t="str">
        <f t="shared" si="153"/>
        <v/>
      </c>
      <c r="N697" s="34" t="str">
        <f t="shared" si="156"/>
        <v/>
      </c>
      <c r="O697" s="34" t="str">
        <f t="shared" si="157"/>
        <v/>
      </c>
      <c r="P697" s="34" t="str">
        <f t="shared" si="158"/>
        <v/>
      </c>
      <c r="Q697" s="34" t="str">
        <f t="shared" si="159"/>
        <v/>
      </c>
      <c r="R697" s="34" t="str">
        <f t="shared" si="160"/>
        <v/>
      </c>
      <c r="S697" s="34" t="str">
        <f t="shared" si="161"/>
        <v/>
      </c>
    </row>
    <row r="698" spans="12:19" x14ac:dyDescent="0.3">
      <c r="M698" s="34" t="str">
        <f t="shared" si="153"/>
        <v/>
      </c>
      <c r="N698" s="34" t="str">
        <f t="shared" si="156"/>
        <v/>
      </c>
      <c r="O698" s="34" t="str">
        <f t="shared" si="157"/>
        <v/>
      </c>
      <c r="P698" s="34" t="str">
        <f t="shared" si="158"/>
        <v/>
      </c>
      <c r="Q698" s="34" t="str">
        <f t="shared" si="159"/>
        <v/>
      </c>
      <c r="R698" s="34" t="str">
        <f t="shared" si="160"/>
        <v/>
      </c>
      <c r="S698" s="34" t="str">
        <f t="shared" si="161"/>
        <v/>
      </c>
    </row>
    <row r="699" spans="12:19" x14ac:dyDescent="0.3">
      <c r="M699" s="34" t="str">
        <f t="shared" si="153"/>
        <v/>
      </c>
      <c r="N699" s="34" t="str">
        <f t="shared" si="156"/>
        <v/>
      </c>
      <c r="O699" s="34" t="str">
        <f t="shared" si="157"/>
        <v/>
      </c>
      <c r="P699" s="34" t="str">
        <f t="shared" si="158"/>
        <v/>
      </c>
      <c r="Q699" s="34" t="str">
        <f t="shared" si="159"/>
        <v/>
      </c>
      <c r="R699" s="34" t="str">
        <f t="shared" si="160"/>
        <v/>
      </c>
      <c r="S699" s="34" t="str">
        <f t="shared" si="161"/>
        <v/>
      </c>
    </row>
    <row r="700" spans="12:19" x14ac:dyDescent="0.3">
      <c r="L700" s="34" t="str">
        <f t="shared" ref="L700" si="167">RIGHT(A700,5)</f>
        <v/>
      </c>
      <c r="M700" s="34" t="str">
        <f t="shared" si="153"/>
        <v/>
      </c>
      <c r="N700" s="34" t="str">
        <f t="shared" si="156"/>
        <v/>
      </c>
      <c r="O700" s="34" t="str">
        <f t="shared" si="157"/>
        <v/>
      </c>
      <c r="P700" s="34" t="str">
        <f t="shared" si="158"/>
        <v/>
      </c>
      <c r="Q700" s="34" t="str">
        <f t="shared" si="159"/>
        <v/>
      </c>
      <c r="R700" s="34" t="str">
        <f t="shared" si="160"/>
        <v/>
      </c>
      <c r="S700" s="34" t="str">
        <f t="shared" si="161"/>
        <v/>
      </c>
    </row>
    <row r="701" spans="12:19" x14ac:dyDescent="0.3">
      <c r="L701" s="34" t="str">
        <f t="shared" ref="L701" si="168">L700</f>
        <v/>
      </c>
      <c r="M701" s="34" t="str">
        <f t="shared" si="153"/>
        <v/>
      </c>
      <c r="N701" s="34" t="str">
        <f t="shared" si="156"/>
        <v/>
      </c>
      <c r="O701" s="34" t="str">
        <f t="shared" si="157"/>
        <v/>
      </c>
      <c r="P701" s="34" t="str">
        <f t="shared" si="158"/>
        <v/>
      </c>
      <c r="Q701" s="34" t="str">
        <f t="shared" si="159"/>
        <v/>
      </c>
      <c r="R701" s="34" t="str">
        <f t="shared" si="160"/>
        <v/>
      </c>
      <c r="S701" s="34" t="str">
        <f t="shared" si="161"/>
        <v/>
      </c>
    </row>
    <row r="702" spans="12:19" x14ac:dyDescent="0.3">
      <c r="L702" s="34" t="str">
        <f t="shared" si="162"/>
        <v/>
      </c>
      <c r="M702" s="34" t="str">
        <f t="shared" si="153"/>
        <v/>
      </c>
      <c r="N702" s="34" t="str">
        <f t="shared" si="156"/>
        <v/>
      </c>
      <c r="O702" s="34" t="str">
        <f t="shared" si="157"/>
        <v/>
      </c>
      <c r="P702" s="34" t="str">
        <f t="shared" si="158"/>
        <v/>
      </c>
      <c r="Q702" s="34" t="str">
        <f t="shared" si="159"/>
        <v/>
      </c>
      <c r="R702" s="34" t="str">
        <f t="shared" si="160"/>
        <v/>
      </c>
      <c r="S702" s="34" t="str">
        <f t="shared" si="161"/>
        <v/>
      </c>
    </row>
    <row r="703" spans="12:19" x14ac:dyDescent="0.3">
      <c r="L703" s="34" t="str">
        <f t="shared" si="162"/>
        <v/>
      </c>
      <c r="M703" s="34" t="str">
        <f t="shared" si="153"/>
        <v/>
      </c>
      <c r="N703" s="34" t="str">
        <f t="shared" si="156"/>
        <v/>
      </c>
      <c r="O703" s="34" t="str">
        <f t="shared" si="157"/>
        <v/>
      </c>
      <c r="P703" s="34" t="str">
        <f t="shared" si="158"/>
        <v/>
      </c>
      <c r="Q703" s="34" t="str">
        <f t="shared" si="159"/>
        <v/>
      </c>
      <c r="R703" s="34" t="str">
        <f t="shared" si="160"/>
        <v/>
      </c>
      <c r="S703" s="34" t="str">
        <f t="shared" si="161"/>
        <v/>
      </c>
    </row>
    <row r="704" spans="12:19" x14ac:dyDescent="0.3">
      <c r="L704" s="34" t="str">
        <f t="shared" si="162"/>
        <v/>
      </c>
      <c r="M704" s="34" t="str">
        <f t="shared" si="153"/>
        <v/>
      </c>
      <c r="N704" s="34" t="str">
        <f t="shared" si="156"/>
        <v/>
      </c>
      <c r="O704" s="34" t="str">
        <f t="shared" si="157"/>
        <v/>
      </c>
      <c r="P704" s="34" t="str">
        <f t="shared" si="158"/>
        <v/>
      </c>
      <c r="Q704" s="34" t="str">
        <f t="shared" si="159"/>
        <v/>
      </c>
      <c r="R704" s="34" t="str">
        <f t="shared" si="160"/>
        <v/>
      </c>
      <c r="S704" s="34" t="str">
        <f t="shared" si="161"/>
        <v/>
      </c>
    </row>
    <row r="705" spans="12:19" x14ac:dyDescent="0.3">
      <c r="L705" s="34" t="str">
        <f t="shared" si="162"/>
        <v/>
      </c>
      <c r="M705" s="34" t="str">
        <f t="shared" si="153"/>
        <v/>
      </c>
      <c r="N705" s="34" t="str">
        <f t="shared" si="156"/>
        <v/>
      </c>
      <c r="O705" s="34" t="str">
        <f t="shared" si="157"/>
        <v/>
      </c>
      <c r="P705" s="34" t="str">
        <f t="shared" si="158"/>
        <v/>
      </c>
      <c r="Q705" s="34" t="str">
        <f t="shared" si="159"/>
        <v/>
      </c>
      <c r="R705" s="34" t="str">
        <f t="shared" si="160"/>
        <v/>
      </c>
      <c r="S705" s="34" t="str">
        <f t="shared" si="161"/>
        <v/>
      </c>
    </row>
    <row r="706" spans="12:19" x14ac:dyDescent="0.3">
      <c r="L706" s="34" t="str">
        <f t="shared" si="162"/>
        <v/>
      </c>
      <c r="M706" s="34" t="str">
        <f t="shared" si="153"/>
        <v/>
      </c>
      <c r="N706" s="34" t="str">
        <f t="shared" si="156"/>
        <v/>
      </c>
      <c r="O706" s="34" t="str">
        <f t="shared" si="157"/>
        <v/>
      </c>
      <c r="P706" s="34" t="str">
        <f t="shared" si="158"/>
        <v/>
      </c>
      <c r="Q706" s="34" t="str">
        <f t="shared" si="159"/>
        <v/>
      </c>
      <c r="R706" s="34" t="str">
        <f t="shared" si="160"/>
        <v/>
      </c>
      <c r="S706" s="34" t="str">
        <f t="shared" si="161"/>
        <v/>
      </c>
    </row>
    <row r="707" spans="12:19" x14ac:dyDescent="0.3">
      <c r="L707" s="34" t="str">
        <f t="shared" si="162"/>
        <v/>
      </c>
      <c r="M707" s="34" t="str">
        <f t="shared" si="153"/>
        <v/>
      </c>
      <c r="N707" s="34" t="str">
        <f t="shared" si="156"/>
        <v/>
      </c>
      <c r="O707" s="34" t="str">
        <f t="shared" si="157"/>
        <v/>
      </c>
      <c r="P707" s="34" t="str">
        <f t="shared" si="158"/>
        <v/>
      </c>
      <c r="Q707" s="34" t="str">
        <f t="shared" si="159"/>
        <v/>
      </c>
      <c r="R707" s="34" t="str">
        <f t="shared" si="160"/>
        <v/>
      </c>
      <c r="S707" s="34" t="str">
        <f t="shared" si="161"/>
        <v/>
      </c>
    </row>
    <row r="708" spans="12:19" x14ac:dyDescent="0.3">
      <c r="L708" s="34" t="str">
        <f t="shared" si="162"/>
        <v/>
      </c>
      <c r="M708" s="34" t="str">
        <f t="shared" si="153"/>
        <v/>
      </c>
      <c r="N708" s="34" t="str">
        <f t="shared" si="156"/>
        <v/>
      </c>
      <c r="O708" s="34" t="str">
        <f t="shared" si="157"/>
        <v/>
      </c>
      <c r="P708" s="34" t="str">
        <f t="shared" si="158"/>
        <v/>
      </c>
      <c r="Q708" s="34" t="str">
        <f t="shared" si="159"/>
        <v/>
      </c>
      <c r="R708" s="34" t="str">
        <f t="shared" si="160"/>
        <v/>
      </c>
      <c r="S708" s="34" t="str">
        <f t="shared" si="161"/>
        <v/>
      </c>
    </row>
    <row r="709" spans="12:19" x14ac:dyDescent="0.3">
      <c r="L709" s="34" t="str">
        <f t="shared" si="162"/>
        <v/>
      </c>
      <c r="M709" s="34" t="str">
        <f t="shared" ref="M709:M772" si="169">IF(AND(L709="s.csv",A709=1),ABS(1000/12/D709),"")</f>
        <v/>
      </c>
      <c r="N709" s="34" t="str">
        <f t="shared" si="156"/>
        <v/>
      </c>
      <c r="O709" s="34" t="str">
        <f t="shared" si="157"/>
        <v/>
      </c>
      <c r="P709" s="34" t="str">
        <f t="shared" si="158"/>
        <v/>
      </c>
      <c r="Q709" s="34" t="str">
        <f t="shared" si="159"/>
        <v/>
      </c>
      <c r="R709" s="34" t="str">
        <f t="shared" si="160"/>
        <v/>
      </c>
      <c r="S709" s="34" t="str">
        <f t="shared" si="161"/>
        <v/>
      </c>
    </row>
    <row r="710" spans="12:19" x14ac:dyDescent="0.3">
      <c r="L710" s="34" t="str">
        <f t="shared" si="162"/>
        <v/>
      </c>
      <c r="M710" s="34" t="str">
        <f t="shared" si="169"/>
        <v/>
      </c>
      <c r="N710" s="34" t="str">
        <f t="shared" si="156"/>
        <v/>
      </c>
      <c r="O710" s="34" t="str">
        <f t="shared" si="157"/>
        <v/>
      </c>
      <c r="P710" s="34" t="str">
        <f t="shared" si="158"/>
        <v/>
      </c>
      <c r="Q710" s="34" t="str">
        <f t="shared" si="159"/>
        <v/>
      </c>
      <c r="R710" s="34" t="str">
        <f t="shared" si="160"/>
        <v/>
      </c>
      <c r="S710" s="34" t="str">
        <f t="shared" si="161"/>
        <v/>
      </c>
    </row>
    <row r="711" spans="12:19" x14ac:dyDescent="0.3">
      <c r="L711" s="34" t="str">
        <f t="shared" si="162"/>
        <v/>
      </c>
      <c r="M711" s="34" t="str">
        <f t="shared" si="169"/>
        <v/>
      </c>
      <c r="N711" s="34" t="str">
        <f t="shared" si="156"/>
        <v/>
      </c>
      <c r="O711" s="34" t="str">
        <f t="shared" si="157"/>
        <v/>
      </c>
      <c r="P711" s="34" t="str">
        <f t="shared" si="158"/>
        <v/>
      </c>
      <c r="Q711" s="34" t="str">
        <f t="shared" si="159"/>
        <v/>
      </c>
      <c r="R711" s="34" t="str">
        <f t="shared" si="160"/>
        <v/>
      </c>
      <c r="S711" s="34" t="str">
        <f t="shared" si="161"/>
        <v/>
      </c>
    </row>
    <row r="712" spans="12:19" x14ac:dyDescent="0.3">
      <c r="L712" s="34" t="str">
        <f t="shared" si="162"/>
        <v/>
      </c>
      <c r="M712" s="34" t="str">
        <f t="shared" si="169"/>
        <v/>
      </c>
      <c r="N712" s="34" t="str">
        <f t="shared" si="156"/>
        <v/>
      </c>
      <c r="O712" s="34" t="str">
        <f t="shared" si="157"/>
        <v/>
      </c>
      <c r="P712" s="34" t="str">
        <f t="shared" si="158"/>
        <v/>
      </c>
      <c r="Q712" s="34" t="str">
        <f t="shared" si="159"/>
        <v/>
      </c>
      <c r="R712" s="34" t="str">
        <f t="shared" si="160"/>
        <v/>
      </c>
      <c r="S712" s="34" t="str">
        <f t="shared" si="161"/>
        <v/>
      </c>
    </row>
    <row r="713" spans="12:19" x14ac:dyDescent="0.3">
      <c r="L713" s="34" t="str">
        <f t="shared" si="162"/>
        <v/>
      </c>
      <c r="M713" s="34" t="str">
        <f t="shared" si="169"/>
        <v/>
      </c>
      <c r="N713" s="34" t="str">
        <f t="shared" si="156"/>
        <v/>
      </c>
      <c r="O713" s="34" t="str">
        <f t="shared" si="157"/>
        <v/>
      </c>
      <c r="P713" s="34" t="str">
        <f t="shared" si="158"/>
        <v/>
      </c>
      <c r="Q713" s="34" t="str">
        <f t="shared" si="159"/>
        <v/>
      </c>
      <c r="R713" s="34" t="str">
        <f t="shared" si="160"/>
        <v/>
      </c>
      <c r="S713" s="34" t="str">
        <f t="shared" si="161"/>
        <v/>
      </c>
    </row>
    <row r="714" spans="12:19" x14ac:dyDescent="0.3">
      <c r="L714" s="34" t="str">
        <f t="shared" si="162"/>
        <v/>
      </c>
      <c r="M714" s="34" t="str">
        <f t="shared" si="169"/>
        <v/>
      </c>
      <c r="N714" s="34" t="str">
        <f t="shared" si="156"/>
        <v/>
      </c>
      <c r="O714" s="34" t="str">
        <f t="shared" si="157"/>
        <v/>
      </c>
      <c r="P714" s="34" t="str">
        <f t="shared" si="158"/>
        <v/>
      </c>
      <c r="Q714" s="34" t="str">
        <f t="shared" si="159"/>
        <v/>
      </c>
      <c r="R714" s="34" t="str">
        <f t="shared" si="160"/>
        <v/>
      </c>
      <c r="S714" s="34" t="str">
        <f t="shared" si="161"/>
        <v/>
      </c>
    </row>
    <row r="715" spans="12:19" x14ac:dyDescent="0.3">
      <c r="M715" s="34" t="str">
        <f t="shared" si="169"/>
        <v/>
      </c>
      <c r="N715" s="34" t="str">
        <f t="shared" si="156"/>
        <v/>
      </c>
      <c r="O715" s="34" t="str">
        <f t="shared" si="157"/>
        <v/>
      </c>
      <c r="P715" s="34" t="str">
        <f t="shared" si="158"/>
        <v/>
      </c>
      <c r="Q715" s="34" t="str">
        <f t="shared" si="159"/>
        <v/>
      </c>
      <c r="R715" s="34" t="str">
        <f t="shared" si="160"/>
        <v/>
      </c>
      <c r="S715" s="34" t="str">
        <f t="shared" si="161"/>
        <v/>
      </c>
    </row>
    <row r="716" spans="12:19" x14ac:dyDescent="0.3">
      <c r="M716" s="34" t="str">
        <f t="shared" si="169"/>
        <v/>
      </c>
      <c r="N716" s="34" t="str">
        <f t="shared" ref="N716:N779" si="170">IF(AND(OR($L716="l.csv",$L716="g.csv"),$E716&gt;4),F716,"")</f>
        <v/>
      </c>
      <c r="O716" s="34" t="str">
        <f t="shared" ref="O716:O779" si="171">IF(AND(OR($L716="l.csv",$L716="g.csv"),$E716&gt;4),G716,"")</f>
        <v/>
      </c>
      <c r="P716" s="34" t="str">
        <f t="shared" ref="P716:P779" si="172">IF(AND(OR($L716="l.csv",$L716="g.csv"),$E716&gt;4),H716,"")</f>
        <v/>
      </c>
      <c r="Q716" s="34" t="str">
        <f t="shared" ref="Q716:Q779" si="173">IF(AND(OR($L716="l.csv",$L716="g.csv"),$E716&gt;4),I716,"")</f>
        <v/>
      </c>
      <c r="R716" s="34" t="str">
        <f t="shared" ref="R716:R779" si="174">IF(AND(OR($L716="l.csv",$L716="g.csv"),$E716&gt;4),J716,"")</f>
        <v/>
      </c>
      <c r="S716" s="34" t="str">
        <f t="shared" ref="S716:S779" si="175">IF(AND(OR($L716="l.csv",$L716="g.csv"),$E716&gt;4),K716,"")</f>
        <v/>
      </c>
    </row>
    <row r="717" spans="12:19" x14ac:dyDescent="0.3">
      <c r="L717" s="34" t="str">
        <f t="shared" ref="L717" si="176">RIGHT(A717,5)</f>
        <v/>
      </c>
      <c r="M717" s="34" t="str">
        <f t="shared" si="169"/>
        <v/>
      </c>
      <c r="N717" s="34" t="str">
        <f t="shared" si="170"/>
        <v/>
      </c>
      <c r="O717" s="34" t="str">
        <f t="shared" si="171"/>
        <v/>
      </c>
      <c r="P717" s="34" t="str">
        <f t="shared" si="172"/>
        <v/>
      </c>
      <c r="Q717" s="34" t="str">
        <f t="shared" si="173"/>
        <v/>
      </c>
      <c r="R717" s="34" t="str">
        <f t="shared" si="174"/>
        <v/>
      </c>
      <c r="S717" s="34" t="str">
        <f t="shared" si="175"/>
        <v/>
      </c>
    </row>
    <row r="718" spans="12:19" x14ac:dyDescent="0.3">
      <c r="L718" s="34" t="str">
        <f t="shared" ref="L718" si="177">L717</f>
        <v/>
      </c>
      <c r="M718" s="34" t="str">
        <f t="shared" si="169"/>
        <v/>
      </c>
      <c r="N718" s="34" t="str">
        <f t="shared" si="170"/>
        <v/>
      </c>
      <c r="O718" s="34" t="str">
        <f t="shared" si="171"/>
        <v/>
      </c>
      <c r="P718" s="34" t="str">
        <f t="shared" si="172"/>
        <v/>
      </c>
      <c r="Q718" s="34" t="str">
        <f t="shared" si="173"/>
        <v/>
      </c>
      <c r="R718" s="34" t="str">
        <f t="shared" si="174"/>
        <v/>
      </c>
      <c r="S718" s="34" t="str">
        <f t="shared" si="175"/>
        <v/>
      </c>
    </row>
    <row r="719" spans="12:19" x14ac:dyDescent="0.3">
      <c r="L719" s="34" t="str">
        <f t="shared" si="162"/>
        <v/>
      </c>
      <c r="M719" s="34" t="str">
        <f t="shared" si="169"/>
        <v/>
      </c>
      <c r="N719" s="34" t="str">
        <f t="shared" si="170"/>
        <v/>
      </c>
      <c r="O719" s="34" t="str">
        <f t="shared" si="171"/>
        <v/>
      </c>
      <c r="P719" s="34" t="str">
        <f t="shared" si="172"/>
        <v/>
      </c>
      <c r="Q719" s="34" t="str">
        <f t="shared" si="173"/>
        <v/>
      </c>
      <c r="R719" s="34" t="str">
        <f t="shared" si="174"/>
        <v/>
      </c>
      <c r="S719" s="34" t="str">
        <f t="shared" si="175"/>
        <v/>
      </c>
    </row>
    <row r="720" spans="12:19" x14ac:dyDescent="0.3">
      <c r="L720" s="34" t="str">
        <f t="shared" si="162"/>
        <v/>
      </c>
      <c r="M720" s="34" t="str">
        <f t="shared" si="169"/>
        <v/>
      </c>
      <c r="N720" s="34" t="str">
        <f t="shared" si="170"/>
        <v/>
      </c>
      <c r="O720" s="34" t="str">
        <f t="shared" si="171"/>
        <v/>
      </c>
      <c r="P720" s="34" t="str">
        <f t="shared" si="172"/>
        <v/>
      </c>
      <c r="Q720" s="34" t="str">
        <f t="shared" si="173"/>
        <v/>
      </c>
      <c r="R720" s="34" t="str">
        <f t="shared" si="174"/>
        <v/>
      </c>
      <c r="S720" s="34" t="str">
        <f t="shared" si="175"/>
        <v/>
      </c>
    </row>
    <row r="721" spans="12:19" x14ac:dyDescent="0.3">
      <c r="L721" s="34" t="str">
        <f t="shared" si="162"/>
        <v/>
      </c>
      <c r="M721" s="34" t="str">
        <f t="shared" si="169"/>
        <v/>
      </c>
      <c r="N721" s="34" t="str">
        <f t="shared" si="170"/>
        <v/>
      </c>
      <c r="O721" s="34" t="str">
        <f t="shared" si="171"/>
        <v/>
      </c>
      <c r="P721" s="34" t="str">
        <f t="shared" si="172"/>
        <v/>
      </c>
      <c r="Q721" s="34" t="str">
        <f t="shared" si="173"/>
        <v/>
      </c>
      <c r="R721" s="34" t="str">
        <f t="shared" si="174"/>
        <v/>
      </c>
      <c r="S721" s="34" t="str">
        <f t="shared" si="175"/>
        <v/>
      </c>
    </row>
    <row r="722" spans="12:19" x14ac:dyDescent="0.3">
      <c r="L722" s="34" t="str">
        <f t="shared" si="162"/>
        <v/>
      </c>
      <c r="M722" s="34" t="str">
        <f t="shared" si="169"/>
        <v/>
      </c>
      <c r="N722" s="34" t="str">
        <f t="shared" si="170"/>
        <v/>
      </c>
      <c r="O722" s="34" t="str">
        <f t="shared" si="171"/>
        <v/>
      </c>
      <c r="P722" s="34" t="str">
        <f t="shared" si="172"/>
        <v/>
      </c>
      <c r="Q722" s="34" t="str">
        <f t="shared" si="173"/>
        <v/>
      </c>
      <c r="R722" s="34" t="str">
        <f t="shared" si="174"/>
        <v/>
      </c>
      <c r="S722" s="34" t="str">
        <f t="shared" si="175"/>
        <v/>
      </c>
    </row>
    <row r="723" spans="12:19" x14ac:dyDescent="0.3">
      <c r="L723" s="34" t="str">
        <f t="shared" ref="L723:L782" si="178">L722</f>
        <v/>
      </c>
      <c r="M723" s="34" t="str">
        <f t="shared" si="169"/>
        <v/>
      </c>
      <c r="N723" s="34" t="str">
        <f t="shared" si="170"/>
        <v/>
      </c>
      <c r="O723" s="34" t="str">
        <f t="shared" si="171"/>
        <v/>
      </c>
      <c r="P723" s="34" t="str">
        <f t="shared" si="172"/>
        <v/>
      </c>
      <c r="Q723" s="34" t="str">
        <f t="shared" si="173"/>
        <v/>
      </c>
      <c r="R723" s="34" t="str">
        <f t="shared" si="174"/>
        <v/>
      </c>
      <c r="S723" s="34" t="str">
        <f t="shared" si="175"/>
        <v/>
      </c>
    </row>
    <row r="724" spans="12:19" x14ac:dyDescent="0.3">
      <c r="L724" s="34" t="str">
        <f t="shared" si="178"/>
        <v/>
      </c>
      <c r="M724" s="34" t="str">
        <f t="shared" si="169"/>
        <v/>
      </c>
      <c r="N724" s="34" t="str">
        <f t="shared" si="170"/>
        <v/>
      </c>
      <c r="O724" s="34" t="str">
        <f t="shared" si="171"/>
        <v/>
      </c>
      <c r="P724" s="34" t="str">
        <f t="shared" si="172"/>
        <v/>
      </c>
      <c r="Q724" s="34" t="str">
        <f t="shared" si="173"/>
        <v/>
      </c>
      <c r="R724" s="34" t="str">
        <f t="shared" si="174"/>
        <v/>
      </c>
      <c r="S724" s="34" t="str">
        <f t="shared" si="175"/>
        <v/>
      </c>
    </row>
    <row r="725" spans="12:19" x14ac:dyDescent="0.3">
      <c r="L725" s="34" t="str">
        <f t="shared" si="178"/>
        <v/>
      </c>
      <c r="M725" s="34" t="str">
        <f t="shared" si="169"/>
        <v/>
      </c>
      <c r="N725" s="34" t="str">
        <f t="shared" si="170"/>
        <v/>
      </c>
      <c r="O725" s="34" t="str">
        <f t="shared" si="171"/>
        <v/>
      </c>
      <c r="P725" s="34" t="str">
        <f t="shared" si="172"/>
        <v/>
      </c>
      <c r="Q725" s="34" t="str">
        <f t="shared" si="173"/>
        <v/>
      </c>
      <c r="R725" s="34" t="str">
        <f t="shared" si="174"/>
        <v/>
      </c>
      <c r="S725" s="34" t="str">
        <f t="shared" si="175"/>
        <v/>
      </c>
    </row>
    <row r="726" spans="12:19" x14ac:dyDescent="0.3">
      <c r="L726" s="34" t="str">
        <f t="shared" si="178"/>
        <v/>
      </c>
      <c r="M726" s="34" t="str">
        <f t="shared" si="169"/>
        <v/>
      </c>
      <c r="N726" s="34" t="str">
        <f t="shared" si="170"/>
        <v/>
      </c>
      <c r="O726" s="34" t="str">
        <f t="shared" si="171"/>
        <v/>
      </c>
      <c r="P726" s="34" t="str">
        <f t="shared" si="172"/>
        <v/>
      </c>
      <c r="Q726" s="34" t="str">
        <f t="shared" si="173"/>
        <v/>
      </c>
      <c r="R726" s="34" t="str">
        <f t="shared" si="174"/>
        <v/>
      </c>
      <c r="S726" s="34" t="str">
        <f t="shared" si="175"/>
        <v/>
      </c>
    </row>
    <row r="727" spans="12:19" x14ac:dyDescent="0.3">
      <c r="L727" s="34" t="str">
        <f t="shared" si="178"/>
        <v/>
      </c>
      <c r="M727" s="34" t="str">
        <f t="shared" si="169"/>
        <v/>
      </c>
      <c r="N727" s="34" t="str">
        <f t="shared" si="170"/>
        <v/>
      </c>
      <c r="O727" s="34" t="str">
        <f t="shared" si="171"/>
        <v/>
      </c>
      <c r="P727" s="34" t="str">
        <f t="shared" si="172"/>
        <v/>
      </c>
      <c r="Q727" s="34" t="str">
        <f t="shared" si="173"/>
        <v/>
      </c>
      <c r="R727" s="34" t="str">
        <f t="shared" si="174"/>
        <v/>
      </c>
      <c r="S727" s="34" t="str">
        <f t="shared" si="175"/>
        <v/>
      </c>
    </row>
    <row r="728" spans="12:19" x14ac:dyDescent="0.3">
      <c r="L728" s="34" t="str">
        <f t="shared" si="178"/>
        <v/>
      </c>
      <c r="M728" s="34" t="str">
        <f t="shared" si="169"/>
        <v/>
      </c>
      <c r="N728" s="34" t="str">
        <f t="shared" si="170"/>
        <v/>
      </c>
      <c r="O728" s="34" t="str">
        <f t="shared" si="171"/>
        <v/>
      </c>
      <c r="P728" s="34" t="str">
        <f t="shared" si="172"/>
        <v/>
      </c>
      <c r="Q728" s="34" t="str">
        <f t="shared" si="173"/>
        <v/>
      </c>
      <c r="R728" s="34" t="str">
        <f t="shared" si="174"/>
        <v/>
      </c>
      <c r="S728" s="34" t="str">
        <f t="shared" si="175"/>
        <v/>
      </c>
    </row>
    <row r="729" spans="12:19" x14ac:dyDescent="0.3">
      <c r="L729" s="34" t="str">
        <f t="shared" si="178"/>
        <v/>
      </c>
      <c r="M729" s="34" t="str">
        <f t="shared" si="169"/>
        <v/>
      </c>
      <c r="N729" s="34" t="str">
        <f t="shared" si="170"/>
        <v/>
      </c>
      <c r="O729" s="34" t="str">
        <f t="shared" si="171"/>
        <v/>
      </c>
      <c r="P729" s="34" t="str">
        <f t="shared" si="172"/>
        <v/>
      </c>
      <c r="Q729" s="34" t="str">
        <f t="shared" si="173"/>
        <v/>
      </c>
      <c r="R729" s="34" t="str">
        <f t="shared" si="174"/>
        <v/>
      </c>
      <c r="S729" s="34" t="str">
        <f t="shared" si="175"/>
        <v/>
      </c>
    </row>
    <row r="730" spans="12:19" x14ac:dyDescent="0.3">
      <c r="L730" s="34" t="str">
        <f t="shared" si="178"/>
        <v/>
      </c>
      <c r="M730" s="34" t="str">
        <f t="shared" si="169"/>
        <v/>
      </c>
      <c r="N730" s="34" t="str">
        <f t="shared" si="170"/>
        <v/>
      </c>
      <c r="O730" s="34" t="str">
        <f t="shared" si="171"/>
        <v/>
      </c>
      <c r="P730" s="34" t="str">
        <f t="shared" si="172"/>
        <v/>
      </c>
      <c r="Q730" s="34" t="str">
        <f t="shared" si="173"/>
        <v/>
      </c>
      <c r="R730" s="34" t="str">
        <f t="shared" si="174"/>
        <v/>
      </c>
      <c r="S730" s="34" t="str">
        <f t="shared" si="175"/>
        <v/>
      </c>
    </row>
    <row r="731" spans="12:19" x14ac:dyDescent="0.3">
      <c r="L731" s="34" t="str">
        <f t="shared" si="178"/>
        <v/>
      </c>
      <c r="M731" s="34" t="str">
        <f t="shared" si="169"/>
        <v/>
      </c>
      <c r="N731" s="34" t="str">
        <f t="shared" si="170"/>
        <v/>
      </c>
      <c r="O731" s="34" t="str">
        <f t="shared" si="171"/>
        <v/>
      </c>
      <c r="P731" s="34" t="str">
        <f t="shared" si="172"/>
        <v/>
      </c>
      <c r="Q731" s="34" t="str">
        <f t="shared" si="173"/>
        <v/>
      </c>
      <c r="R731" s="34" t="str">
        <f t="shared" si="174"/>
        <v/>
      </c>
      <c r="S731" s="34" t="str">
        <f t="shared" si="175"/>
        <v/>
      </c>
    </row>
    <row r="732" spans="12:19" x14ac:dyDescent="0.3">
      <c r="M732" s="34" t="str">
        <f t="shared" si="169"/>
        <v/>
      </c>
      <c r="N732" s="34" t="str">
        <f t="shared" si="170"/>
        <v/>
      </c>
      <c r="O732" s="34" t="str">
        <f t="shared" si="171"/>
        <v/>
      </c>
      <c r="P732" s="34" t="str">
        <f t="shared" si="172"/>
        <v/>
      </c>
      <c r="Q732" s="34" t="str">
        <f t="shared" si="173"/>
        <v/>
      </c>
      <c r="R732" s="34" t="str">
        <f t="shared" si="174"/>
        <v/>
      </c>
      <c r="S732" s="34" t="str">
        <f t="shared" si="175"/>
        <v/>
      </c>
    </row>
    <row r="733" spans="12:19" x14ac:dyDescent="0.3">
      <c r="M733" s="34" t="str">
        <f t="shared" si="169"/>
        <v/>
      </c>
      <c r="N733" s="34" t="str">
        <f t="shared" si="170"/>
        <v/>
      </c>
      <c r="O733" s="34" t="str">
        <f t="shared" si="171"/>
        <v/>
      </c>
      <c r="P733" s="34" t="str">
        <f t="shared" si="172"/>
        <v/>
      </c>
      <c r="Q733" s="34" t="str">
        <f t="shared" si="173"/>
        <v/>
      </c>
      <c r="R733" s="34" t="str">
        <f t="shared" si="174"/>
        <v/>
      </c>
      <c r="S733" s="34" t="str">
        <f t="shared" si="175"/>
        <v/>
      </c>
    </row>
    <row r="734" spans="12:19" x14ac:dyDescent="0.3">
      <c r="L734" s="34" t="str">
        <f t="shared" ref="L734" si="179">RIGHT(A734,5)</f>
        <v/>
      </c>
      <c r="M734" s="34" t="str">
        <f t="shared" si="169"/>
        <v/>
      </c>
      <c r="N734" s="34" t="str">
        <f t="shared" si="170"/>
        <v/>
      </c>
      <c r="O734" s="34" t="str">
        <f t="shared" si="171"/>
        <v/>
      </c>
      <c r="P734" s="34" t="str">
        <f t="shared" si="172"/>
        <v/>
      </c>
      <c r="Q734" s="34" t="str">
        <f t="shared" si="173"/>
        <v/>
      </c>
      <c r="R734" s="34" t="str">
        <f t="shared" si="174"/>
        <v/>
      </c>
      <c r="S734" s="34" t="str">
        <f t="shared" si="175"/>
        <v/>
      </c>
    </row>
    <row r="735" spans="12:19" x14ac:dyDescent="0.3">
      <c r="L735" s="34" t="str">
        <f t="shared" ref="L735" si="180">L734</f>
        <v/>
      </c>
      <c r="M735" s="34" t="str">
        <f t="shared" si="169"/>
        <v/>
      </c>
      <c r="N735" s="34" t="str">
        <f t="shared" si="170"/>
        <v/>
      </c>
      <c r="O735" s="34" t="str">
        <f t="shared" si="171"/>
        <v/>
      </c>
      <c r="P735" s="34" t="str">
        <f t="shared" si="172"/>
        <v/>
      </c>
      <c r="Q735" s="34" t="str">
        <f t="shared" si="173"/>
        <v/>
      </c>
      <c r="R735" s="34" t="str">
        <f t="shared" si="174"/>
        <v/>
      </c>
      <c r="S735" s="34" t="str">
        <f t="shared" si="175"/>
        <v/>
      </c>
    </row>
    <row r="736" spans="12:19" x14ac:dyDescent="0.3">
      <c r="L736" s="34" t="str">
        <f t="shared" si="178"/>
        <v/>
      </c>
      <c r="M736" s="34" t="str">
        <f t="shared" si="169"/>
        <v/>
      </c>
      <c r="N736" s="34" t="str">
        <f t="shared" si="170"/>
        <v/>
      </c>
      <c r="O736" s="34" t="str">
        <f t="shared" si="171"/>
        <v/>
      </c>
      <c r="P736" s="34" t="str">
        <f t="shared" si="172"/>
        <v/>
      </c>
      <c r="Q736" s="34" t="str">
        <f t="shared" si="173"/>
        <v/>
      </c>
      <c r="R736" s="34" t="str">
        <f t="shared" si="174"/>
        <v/>
      </c>
      <c r="S736" s="34" t="str">
        <f t="shared" si="175"/>
        <v/>
      </c>
    </row>
    <row r="737" spans="12:19" x14ac:dyDescent="0.3">
      <c r="L737" s="34" t="str">
        <f t="shared" si="178"/>
        <v/>
      </c>
      <c r="M737" s="34" t="str">
        <f t="shared" si="169"/>
        <v/>
      </c>
      <c r="N737" s="34" t="str">
        <f t="shared" si="170"/>
        <v/>
      </c>
      <c r="O737" s="34" t="str">
        <f t="shared" si="171"/>
        <v/>
      </c>
      <c r="P737" s="34" t="str">
        <f t="shared" si="172"/>
        <v/>
      </c>
      <c r="Q737" s="34" t="str">
        <f t="shared" si="173"/>
        <v/>
      </c>
      <c r="R737" s="34" t="str">
        <f t="shared" si="174"/>
        <v/>
      </c>
      <c r="S737" s="34" t="str">
        <f t="shared" si="175"/>
        <v/>
      </c>
    </row>
    <row r="738" spans="12:19" x14ac:dyDescent="0.3">
      <c r="L738" s="34" t="str">
        <f t="shared" si="178"/>
        <v/>
      </c>
      <c r="M738" s="34" t="str">
        <f t="shared" si="169"/>
        <v/>
      </c>
      <c r="N738" s="34" t="str">
        <f t="shared" si="170"/>
        <v/>
      </c>
      <c r="O738" s="34" t="str">
        <f t="shared" si="171"/>
        <v/>
      </c>
      <c r="P738" s="34" t="str">
        <f t="shared" si="172"/>
        <v/>
      </c>
      <c r="Q738" s="34" t="str">
        <f t="shared" si="173"/>
        <v/>
      </c>
      <c r="R738" s="34" t="str">
        <f t="shared" si="174"/>
        <v/>
      </c>
      <c r="S738" s="34" t="str">
        <f t="shared" si="175"/>
        <v/>
      </c>
    </row>
    <row r="739" spans="12:19" x14ac:dyDescent="0.3">
      <c r="L739" s="34" t="str">
        <f t="shared" si="178"/>
        <v/>
      </c>
      <c r="M739" s="34" t="str">
        <f t="shared" si="169"/>
        <v/>
      </c>
      <c r="N739" s="34" t="str">
        <f t="shared" si="170"/>
        <v/>
      </c>
      <c r="O739" s="34" t="str">
        <f t="shared" si="171"/>
        <v/>
      </c>
      <c r="P739" s="34" t="str">
        <f t="shared" si="172"/>
        <v/>
      </c>
      <c r="Q739" s="34" t="str">
        <f t="shared" si="173"/>
        <v/>
      </c>
      <c r="R739" s="34" t="str">
        <f t="shared" si="174"/>
        <v/>
      </c>
      <c r="S739" s="34" t="str">
        <f t="shared" si="175"/>
        <v/>
      </c>
    </row>
    <row r="740" spans="12:19" x14ac:dyDescent="0.3">
      <c r="L740" s="34" t="str">
        <f t="shared" si="178"/>
        <v/>
      </c>
      <c r="M740" s="34" t="str">
        <f t="shared" si="169"/>
        <v/>
      </c>
      <c r="N740" s="34" t="str">
        <f t="shared" si="170"/>
        <v/>
      </c>
      <c r="O740" s="34" t="str">
        <f t="shared" si="171"/>
        <v/>
      </c>
      <c r="P740" s="34" t="str">
        <f t="shared" si="172"/>
        <v/>
      </c>
      <c r="Q740" s="34" t="str">
        <f t="shared" si="173"/>
        <v/>
      </c>
      <c r="R740" s="34" t="str">
        <f t="shared" si="174"/>
        <v/>
      </c>
      <c r="S740" s="34" t="str">
        <f t="shared" si="175"/>
        <v/>
      </c>
    </row>
    <row r="741" spans="12:19" x14ac:dyDescent="0.3">
      <c r="L741" s="34" t="str">
        <f t="shared" si="178"/>
        <v/>
      </c>
      <c r="M741" s="34" t="str">
        <f t="shared" si="169"/>
        <v/>
      </c>
      <c r="N741" s="34" t="str">
        <f t="shared" si="170"/>
        <v/>
      </c>
      <c r="O741" s="34" t="str">
        <f t="shared" si="171"/>
        <v/>
      </c>
      <c r="P741" s="34" t="str">
        <f t="shared" si="172"/>
        <v/>
      </c>
      <c r="Q741" s="34" t="str">
        <f t="shared" si="173"/>
        <v/>
      </c>
      <c r="R741" s="34" t="str">
        <f t="shared" si="174"/>
        <v/>
      </c>
      <c r="S741" s="34" t="str">
        <f t="shared" si="175"/>
        <v/>
      </c>
    </row>
    <row r="742" spans="12:19" x14ac:dyDescent="0.3">
      <c r="L742" s="34" t="str">
        <f t="shared" si="178"/>
        <v/>
      </c>
      <c r="M742" s="34" t="str">
        <f t="shared" si="169"/>
        <v/>
      </c>
      <c r="N742" s="34" t="str">
        <f t="shared" si="170"/>
        <v/>
      </c>
      <c r="O742" s="34" t="str">
        <f t="shared" si="171"/>
        <v/>
      </c>
      <c r="P742" s="34" t="str">
        <f t="shared" si="172"/>
        <v/>
      </c>
      <c r="Q742" s="34" t="str">
        <f t="shared" si="173"/>
        <v/>
      </c>
      <c r="R742" s="34" t="str">
        <f t="shared" si="174"/>
        <v/>
      </c>
      <c r="S742" s="34" t="str">
        <f t="shared" si="175"/>
        <v/>
      </c>
    </row>
    <row r="743" spans="12:19" x14ac:dyDescent="0.3">
      <c r="L743" s="34" t="str">
        <f t="shared" si="178"/>
        <v/>
      </c>
      <c r="M743" s="34" t="str">
        <f t="shared" si="169"/>
        <v/>
      </c>
      <c r="N743" s="34" t="str">
        <f t="shared" si="170"/>
        <v/>
      </c>
      <c r="O743" s="34" t="str">
        <f t="shared" si="171"/>
        <v/>
      </c>
      <c r="P743" s="34" t="str">
        <f t="shared" si="172"/>
        <v/>
      </c>
      <c r="Q743" s="34" t="str">
        <f t="shared" si="173"/>
        <v/>
      </c>
      <c r="R743" s="34" t="str">
        <f t="shared" si="174"/>
        <v/>
      </c>
      <c r="S743" s="34" t="str">
        <f t="shared" si="175"/>
        <v/>
      </c>
    </row>
    <row r="744" spans="12:19" x14ac:dyDescent="0.3">
      <c r="L744" s="34" t="str">
        <f t="shared" si="178"/>
        <v/>
      </c>
      <c r="M744" s="34" t="str">
        <f t="shared" si="169"/>
        <v/>
      </c>
      <c r="N744" s="34" t="str">
        <f t="shared" si="170"/>
        <v/>
      </c>
      <c r="O744" s="34" t="str">
        <f t="shared" si="171"/>
        <v/>
      </c>
      <c r="P744" s="34" t="str">
        <f t="shared" si="172"/>
        <v/>
      </c>
      <c r="Q744" s="34" t="str">
        <f t="shared" si="173"/>
        <v/>
      </c>
      <c r="R744" s="34" t="str">
        <f t="shared" si="174"/>
        <v/>
      </c>
      <c r="S744" s="34" t="str">
        <f t="shared" si="175"/>
        <v/>
      </c>
    </row>
    <row r="745" spans="12:19" x14ac:dyDescent="0.3">
      <c r="L745" s="34" t="str">
        <f t="shared" si="178"/>
        <v/>
      </c>
      <c r="M745" s="34" t="str">
        <f t="shared" si="169"/>
        <v/>
      </c>
      <c r="N745" s="34" t="str">
        <f t="shared" si="170"/>
        <v/>
      </c>
      <c r="O745" s="34" t="str">
        <f t="shared" si="171"/>
        <v/>
      </c>
      <c r="P745" s="34" t="str">
        <f t="shared" si="172"/>
        <v/>
      </c>
      <c r="Q745" s="34" t="str">
        <f t="shared" si="173"/>
        <v/>
      </c>
      <c r="R745" s="34" t="str">
        <f t="shared" si="174"/>
        <v/>
      </c>
      <c r="S745" s="34" t="str">
        <f t="shared" si="175"/>
        <v/>
      </c>
    </row>
    <row r="746" spans="12:19" x14ac:dyDescent="0.3">
      <c r="L746" s="34" t="str">
        <f t="shared" si="178"/>
        <v/>
      </c>
      <c r="M746" s="34" t="str">
        <f t="shared" si="169"/>
        <v/>
      </c>
      <c r="N746" s="34" t="str">
        <f t="shared" si="170"/>
        <v/>
      </c>
      <c r="O746" s="34" t="str">
        <f t="shared" si="171"/>
        <v/>
      </c>
      <c r="P746" s="34" t="str">
        <f t="shared" si="172"/>
        <v/>
      </c>
      <c r="Q746" s="34" t="str">
        <f t="shared" si="173"/>
        <v/>
      </c>
      <c r="R746" s="34" t="str">
        <f t="shared" si="174"/>
        <v/>
      </c>
      <c r="S746" s="34" t="str">
        <f t="shared" si="175"/>
        <v/>
      </c>
    </row>
    <row r="747" spans="12:19" x14ac:dyDescent="0.3">
      <c r="L747" s="34" t="str">
        <f t="shared" si="178"/>
        <v/>
      </c>
      <c r="M747" s="34" t="str">
        <f t="shared" si="169"/>
        <v/>
      </c>
      <c r="N747" s="34" t="str">
        <f t="shared" si="170"/>
        <v/>
      </c>
      <c r="O747" s="34" t="str">
        <f t="shared" si="171"/>
        <v/>
      </c>
      <c r="P747" s="34" t="str">
        <f t="shared" si="172"/>
        <v/>
      </c>
      <c r="Q747" s="34" t="str">
        <f t="shared" si="173"/>
        <v/>
      </c>
      <c r="R747" s="34" t="str">
        <f t="shared" si="174"/>
        <v/>
      </c>
      <c r="S747" s="34" t="str">
        <f t="shared" si="175"/>
        <v/>
      </c>
    </row>
    <row r="748" spans="12:19" x14ac:dyDescent="0.3">
      <c r="L748" s="34" t="str">
        <f t="shared" si="178"/>
        <v/>
      </c>
      <c r="M748" s="34" t="str">
        <f t="shared" si="169"/>
        <v/>
      </c>
      <c r="N748" s="34" t="str">
        <f t="shared" si="170"/>
        <v/>
      </c>
      <c r="O748" s="34" t="str">
        <f t="shared" si="171"/>
        <v/>
      </c>
      <c r="P748" s="34" t="str">
        <f t="shared" si="172"/>
        <v/>
      </c>
      <c r="Q748" s="34" t="str">
        <f t="shared" si="173"/>
        <v/>
      </c>
      <c r="R748" s="34" t="str">
        <f t="shared" si="174"/>
        <v/>
      </c>
      <c r="S748" s="34" t="str">
        <f t="shared" si="175"/>
        <v/>
      </c>
    </row>
    <row r="749" spans="12:19" x14ac:dyDescent="0.3">
      <c r="M749" s="34" t="str">
        <f t="shared" si="169"/>
        <v/>
      </c>
      <c r="N749" s="34" t="str">
        <f t="shared" si="170"/>
        <v/>
      </c>
      <c r="O749" s="34" t="str">
        <f t="shared" si="171"/>
        <v/>
      </c>
      <c r="P749" s="34" t="str">
        <f t="shared" si="172"/>
        <v/>
      </c>
      <c r="Q749" s="34" t="str">
        <f t="shared" si="173"/>
        <v/>
      </c>
      <c r="R749" s="34" t="str">
        <f t="shared" si="174"/>
        <v/>
      </c>
      <c r="S749" s="34" t="str">
        <f t="shared" si="175"/>
        <v/>
      </c>
    </row>
    <row r="750" spans="12:19" x14ac:dyDescent="0.3">
      <c r="M750" s="34" t="str">
        <f t="shared" si="169"/>
        <v/>
      </c>
      <c r="N750" s="34" t="str">
        <f t="shared" si="170"/>
        <v/>
      </c>
      <c r="O750" s="34" t="str">
        <f t="shared" si="171"/>
        <v/>
      </c>
      <c r="P750" s="34" t="str">
        <f t="shared" si="172"/>
        <v/>
      </c>
      <c r="Q750" s="34" t="str">
        <f t="shared" si="173"/>
        <v/>
      </c>
      <c r="R750" s="34" t="str">
        <f t="shared" si="174"/>
        <v/>
      </c>
      <c r="S750" s="34" t="str">
        <f t="shared" si="175"/>
        <v/>
      </c>
    </row>
    <row r="751" spans="12:19" x14ac:dyDescent="0.3">
      <c r="L751" s="34" t="str">
        <f t="shared" ref="L751" si="181">RIGHT(A751,5)</f>
        <v/>
      </c>
      <c r="M751" s="34" t="str">
        <f t="shared" si="169"/>
        <v/>
      </c>
      <c r="N751" s="34" t="str">
        <f t="shared" si="170"/>
        <v/>
      </c>
      <c r="O751" s="34" t="str">
        <f t="shared" si="171"/>
        <v/>
      </c>
      <c r="P751" s="34" t="str">
        <f t="shared" si="172"/>
        <v/>
      </c>
      <c r="Q751" s="34" t="str">
        <f t="shared" si="173"/>
        <v/>
      </c>
      <c r="R751" s="34" t="str">
        <f t="shared" si="174"/>
        <v/>
      </c>
      <c r="S751" s="34" t="str">
        <f t="shared" si="175"/>
        <v/>
      </c>
    </row>
    <row r="752" spans="12:19" x14ac:dyDescent="0.3">
      <c r="L752" s="34" t="str">
        <f t="shared" ref="L752" si="182">L751</f>
        <v/>
      </c>
      <c r="M752" s="34" t="str">
        <f t="shared" si="169"/>
        <v/>
      </c>
      <c r="N752" s="34" t="str">
        <f t="shared" si="170"/>
        <v/>
      </c>
      <c r="O752" s="34" t="str">
        <f t="shared" si="171"/>
        <v/>
      </c>
      <c r="P752" s="34" t="str">
        <f t="shared" si="172"/>
        <v/>
      </c>
      <c r="Q752" s="34" t="str">
        <f t="shared" si="173"/>
        <v/>
      </c>
      <c r="R752" s="34" t="str">
        <f t="shared" si="174"/>
        <v/>
      </c>
      <c r="S752" s="34" t="str">
        <f t="shared" si="175"/>
        <v/>
      </c>
    </row>
    <row r="753" spans="12:19" x14ac:dyDescent="0.3">
      <c r="L753" s="34" t="str">
        <f t="shared" si="178"/>
        <v/>
      </c>
      <c r="M753" s="34" t="str">
        <f t="shared" si="169"/>
        <v/>
      </c>
      <c r="N753" s="34" t="str">
        <f t="shared" si="170"/>
        <v/>
      </c>
      <c r="O753" s="34" t="str">
        <f t="shared" si="171"/>
        <v/>
      </c>
      <c r="P753" s="34" t="str">
        <f t="shared" si="172"/>
        <v/>
      </c>
      <c r="Q753" s="34" t="str">
        <f t="shared" si="173"/>
        <v/>
      </c>
      <c r="R753" s="34" t="str">
        <f t="shared" si="174"/>
        <v/>
      </c>
      <c r="S753" s="34" t="str">
        <f t="shared" si="175"/>
        <v/>
      </c>
    </row>
    <row r="754" spans="12:19" x14ac:dyDescent="0.3">
      <c r="L754" s="34" t="str">
        <f t="shared" si="178"/>
        <v/>
      </c>
      <c r="M754" s="34" t="str">
        <f t="shared" si="169"/>
        <v/>
      </c>
      <c r="N754" s="34" t="str">
        <f t="shared" si="170"/>
        <v/>
      </c>
      <c r="O754" s="34" t="str">
        <f t="shared" si="171"/>
        <v/>
      </c>
      <c r="P754" s="34" t="str">
        <f t="shared" si="172"/>
        <v/>
      </c>
      <c r="Q754" s="34" t="str">
        <f t="shared" si="173"/>
        <v/>
      </c>
      <c r="R754" s="34" t="str">
        <f t="shared" si="174"/>
        <v/>
      </c>
      <c r="S754" s="34" t="str">
        <f t="shared" si="175"/>
        <v/>
      </c>
    </row>
    <row r="755" spans="12:19" x14ac:dyDescent="0.3">
      <c r="L755" s="34" t="str">
        <f t="shared" si="178"/>
        <v/>
      </c>
      <c r="M755" s="34" t="str">
        <f t="shared" si="169"/>
        <v/>
      </c>
      <c r="N755" s="34" t="str">
        <f t="shared" si="170"/>
        <v/>
      </c>
      <c r="O755" s="34" t="str">
        <f t="shared" si="171"/>
        <v/>
      </c>
      <c r="P755" s="34" t="str">
        <f t="shared" si="172"/>
        <v/>
      </c>
      <c r="Q755" s="34" t="str">
        <f t="shared" si="173"/>
        <v/>
      </c>
      <c r="R755" s="34" t="str">
        <f t="shared" si="174"/>
        <v/>
      </c>
      <c r="S755" s="34" t="str">
        <f t="shared" si="175"/>
        <v/>
      </c>
    </row>
    <row r="756" spans="12:19" x14ac:dyDescent="0.3">
      <c r="L756" s="34" t="str">
        <f t="shared" si="178"/>
        <v/>
      </c>
      <c r="M756" s="34" t="str">
        <f t="shared" si="169"/>
        <v/>
      </c>
      <c r="N756" s="34" t="str">
        <f t="shared" si="170"/>
        <v/>
      </c>
      <c r="O756" s="34" t="str">
        <f t="shared" si="171"/>
        <v/>
      </c>
      <c r="P756" s="34" t="str">
        <f t="shared" si="172"/>
        <v/>
      </c>
      <c r="Q756" s="34" t="str">
        <f t="shared" si="173"/>
        <v/>
      </c>
      <c r="R756" s="34" t="str">
        <f t="shared" si="174"/>
        <v/>
      </c>
      <c r="S756" s="34" t="str">
        <f t="shared" si="175"/>
        <v/>
      </c>
    </row>
    <row r="757" spans="12:19" x14ac:dyDescent="0.3">
      <c r="L757" s="34" t="str">
        <f t="shared" si="178"/>
        <v/>
      </c>
      <c r="M757" s="34" t="str">
        <f t="shared" si="169"/>
        <v/>
      </c>
      <c r="N757" s="34" t="str">
        <f t="shared" si="170"/>
        <v/>
      </c>
      <c r="O757" s="34" t="str">
        <f t="shared" si="171"/>
        <v/>
      </c>
      <c r="P757" s="34" t="str">
        <f t="shared" si="172"/>
        <v/>
      </c>
      <c r="Q757" s="34" t="str">
        <f t="shared" si="173"/>
        <v/>
      </c>
      <c r="R757" s="34" t="str">
        <f t="shared" si="174"/>
        <v/>
      </c>
      <c r="S757" s="34" t="str">
        <f t="shared" si="175"/>
        <v/>
      </c>
    </row>
    <row r="758" spans="12:19" x14ac:dyDescent="0.3">
      <c r="L758" s="34" t="str">
        <f t="shared" si="178"/>
        <v/>
      </c>
      <c r="M758" s="34" t="str">
        <f t="shared" si="169"/>
        <v/>
      </c>
      <c r="N758" s="34" t="str">
        <f t="shared" si="170"/>
        <v/>
      </c>
      <c r="O758" s="34" t="str">
        <f t="shared" si="171"/>
        <v/>
      </c>
      <c r="P758" s="34" t="str">
        <f t="shared" si="172"/>
        <v/>
      </c>
      <c r="Q758" s="34" t="str">
        <f t="shared" si="173"/>
        <v/>
      </c>
      <c r="R758" s="34" t="str">
        <f t="shared" si="174"/>
        <v/>
      </c>
      <c r="S758" s="34" t="str">
        <f t="shared" si="175"/>
        <v/>
      </c>
    </row>
    <row r="759" spans="12:19" x14ac:dyDescent="0.3">
      <c r="L759" s="34" t="str">
        <f t="shared" si="178"/>
        <v/>
      </c>
      <c r="M759" s="34" t="str">
        <f t="shared" si="169"/>
        <v/>
      </c>
      <c r="N759" s="34" t="str">
        <f t="shared" si="170"/>
        <v/>
      </c>
      <c r="O759" s="34" t="str">
        <f t="shared" si="171"/>
        <v/>
      </c>
      <c r="P759" s="34" t="str">
        <f t="shared" si="172"/>
        <v/>
      </c>
      <c r="Q759" s="34" t="str">
        <f t="shared" si="173"/>
        <v/>
      </c>
      <c r="R759" s="34" t="str">
        <f t="shared" si="174"/>
        <v/>
      </c>
      <c r="S759" s="34" t="str">
        <f t="shared" si="175"/>
        <v/>
      </c>
    </row>
    <row r="760" spans="12:19" x14ac:dyDescent="0.3">
      <c r="L760" s="34" t="str">
        <f t="shared" si="178"/>
        <v/>
      </c>
      <c r="M760" s="34" t="str">
        <f t="shared" si="169"/>
        <v/>
      </c>
      <c r="N760" s="34" t="str">
        <f t="shared" si="170"/>
        <v/>
      </c>
      <c r="O760" s="34" t="str">
        <f t="shared" si="171"/>
        <v/>
      </c>
      <c r="P760" s="34" t="str">
        <f t="shared" si="172"/>
        <v/>
      </c>
      <c r="Q760" s="34" t="str">
        <f t="shared" si="173"/>
        <v/>
      </c>
      <c r="R760" s="34" t="str">
        <f t="shared" si="174"/>
        <v/>
      </c>
      <c r="S760" s="34" t="str">
        <f t="shared" si="175"/>
        <v/>
      </c>
    </row>
    <row r="761" spans="12:19" x14ac:dyDescent="0.3">
      <c r="L761" s="34" t="str">
        <f t="shared" si="178"/>
        <v/>
      </c>
      <c r="M761" s="34" t="str">
        <f t="shared" si="169"/>
        <v/>
      </c>
      <c r="N761" s="34" t="str">
        <f t="shared" si="170"/>
        <v/>
      </c>
      <c r="O761" s="34" t="str">
        <f t="shared" si="171"/>
        <v/>
      </c>
      <c r="P761" s="34" t="str">
        <f t="shared" si="172"/>
        <v/>
      </c>
      <c r="Q761" s="34" t="str">
        <f t="shared" si="173"/>
        <v/>
      </c>
      <c r="R761" s="34" t="str">
        <f t="shared" si="174"/>
        <v/>
      </c>
      <c r="S761" s="34" t="str">
        <f t="shared" si="175"/>
        <v/>
      </c>
    </row>
    <row r="762" spans="12:19" x14ac:dyDescent="0.3">
      <c r="L762" s="34" t="str">
        <f t="shared" si="178"/>
        <v/>
      </c>
      <c r="M762" s="34" t="str">
        <f t="shared" si="169"/>
        <v/>
      </c>
      <c r="N762" s="34" t="str">
        <f t="shared" si="170"/>
        <v/>
      </c>
      <c r="O762" s="34" t="str">
        <f t="shared" si="171"/>
        <v/>
      </c>
      <c r="P762" s="34" t="str">
        <f t="shared" si="172"/>
        <v/>
      </c>
      <c r="Q762" s="34" t="str">
        <f t="shared" si="173"/>
        <v/>
      </c>
      <c r="R762" s="34" t="str">
        <f t="shared" si="174"/>
        <v/>
      </c>
      <c r="S762" s="34" t="str">
        <f t="shared" si="175"/>
        <v/>
      </c>
    </row>
    <row r="763" spans="12:19" x14ac:dyDescent="0.3">
      <c r="L763" s="34" t="str">
        <f t="shared" si="178"/>
        <v/>
      </c>
      <c r="M763" s="34" t="str">
        <f t="shared" si="169"/>
        <v/>
      </c>
      <c r="N763" s="34" t="str">
        <f t="shared" si="170"/>
        <v/>
      </c>
      <c r="O763" s="34" t="str">
        <f t="shared" si="171"/>
        <v/>
      </c>
      <c r="P763" s="34" t="str">
        <f t="shared" si="172"/>
        <v/>
      </c>
      <c r="Q763" s="34" t="str">
        <f t="shared" si="173"/>
        <v/>
      </c>
      <c r="R763" s="34" t="str">
        <f t="shared" si="174"/>
        <v/>
      </c>
      <c r="S763" s="34" t="str">
        <f t="shared" si="175"/>
        <v/>
      </c>
    </row>
    <row r="764" spans="12:19" x14ac:dyDescent="0.3">
      <c r="L764" s="34" t="str">
        <f t="shared" si="178"/>
        <v/>
      </c>
      <c r="M764" s="34" t="str">
        <f t="shared" si="169"/>
        <v/>
      </c>
      <c r="N764" s="34" t="str">
        <f t="shared" si="170"/>
        <v/>
      </c>
      <c r="O764" s="34" t="str">
        <f t="shared" si="171"/>
        <v/>
      </c>
      <c r="P764" s="34" t="str">
        <f t="shared" si="172"/>
        <v/>
      </c>
      <c r="Q764" s="34" t="str">
        <f t="shared" si="173"/>
        <v/>
      </c>
      <c r="R764" s="34" t="str">
        <f t="shared" si="174"/>
        <v/>
      </c>
      <c r="S764" s="34" t="str">
        <f t="shared" si="175"/>
        <v/>
      </c>
    </row>
    <row r="765" spans="12:19" x14ac:dyDescent="0.3">
      <c r="L765" s="34" t="str">
        <f t="shared" si="178"/>
        <v/>
      </c>
      <c r="M765" s="34" t="str">
        <f t="shared" si="169"/>
        <v/>
      </c>
      <c r="N765" s="34" t="str">
        <f t="shared" si="170"/>
        <v/>
      </c>
      <c r="O765" s="34" t="str">
        <f t="shared" si="171"/>
        <v/>
      </c>
      <c r="P765" s="34" t="str">
        <f t="shared" si="172"/>
        <v/>
      </c>
      <c r="Q765" s="34" t="str">
        <f t="shared" si="173"/>
        <v/>
      </c>
      <c r="R765" s="34" t="str">
        <f t="shared" si="174"/>
        <v/>
      </c>
      <c r="S765" s="34" t="str">
        <f t="shared" si="175"/>
        <v/>
      </c>
    </row>
    <row r="766" spans="12:19" x14ac:dyDescent="0.3">
      <c r="M766" s="34" t="str">
        <f t="shared" si="169"/>
        <v/>
      </c>
      <c r="N766" s="34" t="str">
        <f t="shared" si="170"/>
        <v/>
      </c>
      <c r="O766" s="34" t="str">
        <f t="shared" si="171"/>
        <v/>
      </c>
      <c r="P766" s="34" t="str">
        <f t="shared" si="172"/>
        <v/>
      </c>
      <c r="Q766" s="34" t="str">
        <f t="shared" si="173"/>
        <v/>
      </c>
      <c r="R766" s="34" t="str">
        <f t="shared" si="174"/>
        <v/>
      </c>
      <c r="S766" s="34" t="str">
        <f t="shared" si="175"/>
        <v/>
      </c>
    </row>
    <row r="767" spans="12:19" x14ac:dyDescent="0.3">
      <c r="M767" s="34" t="str">
        <f t="shared" si="169"/>
        <v/>
      </c>
      <c r="N767" s="34" t="str">
        <f t="shared" si="170"/>
        <v/>
      </c>
      <c r="O767" s="34" t="str">
        <f t="shared" si="171"/>
        <v/>
      </c>
      <c r="P767" s="34" t="str">
        <f t="shared" si="172"/>
        <v/>
      </c>
      <c r="Q767" s="34" t="str">
        <f t="shared" si="173"/>
        <v/>
      </c>
      <c r="R767" s="34" t="str">
        <f t="shared" si="174"/>
        <v/>
      </c>
      <c r="S767" s="34" t="str">
        <f t="shared" si="175"/>
        <v/>
      </c>
    </row>
    <row r="768" spans="12:19" x14ac:dyDescent="0.3">
      <c r="L768" s="34" t="str">
        <f t="shared" ref="L768" si="183">RIGHT(A768,5)</f>
        <v/>
      </c>
      <c r="M768" s="34" t="str">
        <f t="shared" si="169"/>
        <v/>
      </c>
      <c r="N768" s="34" t="str">
        <f t="shared" si="170"/>
        <v/>
      </c>
      <c r="O768" s="34" t="str">
        <f t="shared" si="171"/>
        <v/>
      </c>
      <c r="P768" s="34" t="str">
        <f t="shared" si="172"/>
        <v/>
      </c>
      <c r="Q768" s="34" t="str">
        <f t="shared" si="173"/>
        <v/>
      </c>
      <c r="R768" s="34" t="str">
        <f t="shared" si="174"/>
        <v/>
      </c>
      <c r="S768" s="34" t="str">
        <f t="shared" si="175"/>
        <v/>
      </c>
    </row>
    <row r="769" spans="12:19" x14ac:dyDescent="0.3">
      <c r="L769" s="34" t="str">
        <f t="shared" ref="L769" si="184">L768</f>
        <v/>
      </c>
      <c r="M769" s="34" t="str">
        <f t="shared" si="169"/>
        <v/>
      </c>
      <c r="N769" s="34" t="str">
        <f t="shared" si="170"/>
        <v/>
      </c>
      <c r="O769" s="34" t="str">
        <f t="shared" si="171"/>
        <v/>
      </c>
      <c r="P769" s="34" t="str">
        <f t="shared" si="172"/>
        <v/>
      </c>
      <c r="Q769" s="34" t="str">
        <f t="shared" si="173"/>
        <v/>
      </c>
      <c r="R769" s="34" t="str">
        <f t="shared" si="174"/>
        <v/>
      </c>
      <c r="S769" s="34" t="str">
        <f t="shared" si="175"/>
        <v/>
      </c>
    </row>
    <row r="770" spans="12:19" x14ac:dyDescent="0.3">
      <c r="L770" s="34" t="str">
        <f t="shared" si="178"/>
        <v/>
      </c>
      <c r="M770" s="34" t="str">
        <f t="shared" si="169"/>
        <v/>
      </c>
      <c r="N770" s="34" t="str">
        <f t="shared" si="170"/>
        <v/>
      </c>
      <c r="O770" s="34" t="str">
        <f t="shared" si="171"/>
        <v/>
      </c>
      <c r="P770" s="34" t="str">
        <f t="shared" si="172"/>
        <v/>
      </c>
      <c r="Q770" s="34" t="str">
        <f t="shared" si="173"/>
        <v/>
      </c>
      <c r="R770" s="34" t="str">
        <f t="shared" si="174"/>
        <v/>
      </c>
      <c r="S770" s="34" t="str">
        <f t="shared" si="175"/>
        <v/>
      </c>
    </row>
    <row r="771" spans="12:19" x14ac:dyDescent="0.3">
      <c r="L771" s="34" t="str">
        <f t="shared" si="178"/>
        <v/>
      </c>
      <c r="M771" s="34" t="str">
        <f t="shared" si="169"/>
        <v/>
      </c>
      <c r="N771" s="34" t="str">
        <f t="shared" si="170"/>
        <v/>
      </c>
      <c r="O771" s="34" t="str">
        <f t="shared" si="171"/>
        <v/>
      </c>
      <c r="P771" s="34" t="str">
        <f t="shared" si="172"/>
        <v/>
      </c>
      <c r="Q771" s="34" t="str">
        <f t="shared" si="173"/>
        <v/>
      </c>
      <c r="R771" s="34" t="str">
        <f t="shared" si="174"/>
        <v/>
      </c>
      <c r="S771" s="34" t="str">
        <f t="shared" si="175"/>
        <v/>
      </c>
    </row>
    <row r="772" spans="12:19" x14ac:dyDescent="0.3">
      <c r="L772" s="34" t="str">
        <f t="shared" si="178"/>
        <v/>
      </c>
      <c r="M772" s="34" t="str">
        <f t="shared" si="169"/>
        <v/>
      </c>
      <c r="N772" s="34" t="str">
        <f t="shared" si="170"/>
        <v/>
      </c>
      <c r="O772" s="34" t="str">
        <f t="shared" si="171"/>
        <v/>
      </c>
      <c r="P772" s="34" t="str">
        <f t="shared" si="172"/>
        <v/>
      </c>
      <c r="Q772" s="34" t="str">
        <f t="shared" si="173"/>
        <v/>
      </c>
      <c r="R772" s="34" t="str">
        <f t="shared" si="174"/>
        <v/>
      </c>
      <c r="S772" s="34" t="str">
        <f t="shared" si="175"/>
        <v/>
      </c>
    </row>
    <row r="773" spans="12:19" x14ac:dyDescent="0.3">
      <c r="L773" s="34" t="str">
        <f t="shared" si="178"/>
        <v/>
      </c>
      <c r="M773" s="34" t="str">
        <f t="shared" ref="M773:M836" si="185">IF(AND(L773="s.csv",A773=1),ABS(1000/12/D773),"")</f>
        <v/>
      </c>
      <c r="N773" s="34" t="str">
        <f t="shared" si="170"/>
        <v/>
      </c>
      <c r="O773" s="34" t="str">
        <f t="shared" si="171"/>
        <v/>
      </c>
      <c r="P773" s="34" t="str">
        <f t="shared" si="172"/>
        <v/>
      </c>
      <c r="Q773" s="34" t="str">
        <f t="shared" si="173"/>
        <v/>
      </c>
      <c r="R773" s="34" t="str">
        <f t="shared" si="174"/>
        <v/>
      </c>
      <c r="S773" s="34" t="str">
        <f t="shared" si="175"/>
        <v/>
      </c>
    </row>
    <row r="774" spans="12:19" x14ac:dyDescent="0.3">
      <c r="L774" s="34" t="str">
        <f t="shared" si="178"/>
        <v/>
      </c>
      <c r="M774" s="34" t="str">
        <f t="shared" si="185"/>
        <v/>
      </c>
      <c r="N774" s="34" t="str">
        <f t="shared" si="170"/>
        <v/>
      </c>
      <c r="O774" s="34" t="str">
        <f t="shared" si="171"/>
        <v/>
      </c>
      <c r="P774" s="34" t="str">
        <f t="shared" si="172"/>
        <v/>
      </c>
      <c r="Q774" s="34" t="str">
        <f t="shared" si="173"/>
        <v/>
      </c>
      <c r="R774" s="34" t="str">
        <f t="shared" si="174"/>
        <v/>
      </c>
      <c r="S774" s="34" t="str">
        <f t="shared" si="175"/>
        <v/>
      </c>
    </row>
    <row r="775" spans="12:19" x14ac:dyDescent="0.3">
      <c r="L775" s="34" t="str">
        <f t="shared" si="178"/>
        <v/>
      </c>
      <c r="M775" s="34" t="str">
        <f t="shared" si="185"/>
        <v/>
      </c>
      <c r="N775" s="34" t="str">
        <f t="shared" si="170"/>
        <v/>
      </c>
      <c r="O775" s="34" t="str">
        <f t="shared" si="171"/>
        <v/>
      </c>
      <c r="P775" s="34" t="str">
        <f t="shared" si="172"/>
        <v/>
      </c>
      <c r="Q775" s="34" t="str">
        <f t="shared" si="173"/>
        <v/>
      </c>
      <c r="R775" s="34" t="str">
        <f t="shared" si="174"/>
        <v/>
      </c>
      <c r="S775" s="34" t="str">
        <f t="shared" si="175"/>
        <v/>
      </c>
    </row>
    <row r="776" spans="12:19" x14ac:dyDescent="0.3">
      <c r="L776" s="34" t="str">
        <f t="shared" si="178"/>
        <v/>
      </c>
      <c r="M776" s="34" t="str">
        <f t="shared" si="185"/>
        <v/>
      </c>
      <c r="N776" s="34" t="str">
        <f t="shared" si="170"/>
        <v/>
      </c>
      <c r="O776" s="34" t="str">
        <f t="shared" si="171"/>
        <v/>
      </c>
      <c r="P776" s="34" t="str">
        <f t="shared" si="172"/>
        <v/>
      </c>
      <c r="Q776" s="34" t="str">
        <f t="shared" si="173"/>
        <v/>
      </c>
      <c r="R776" s="34" t="str">
        <f t="shared" si="174"/>
        <v/>
      </c>
      <c r="S776" s="34" t="str">
        <f t="shared" si="175"/>
        <v/>
      </c>
    </row>
    <row r="777" spans="12:19" x14ac:dyDescent="0.3">
      <c r="L777" s="34" t="str">
        <f t="shared" si="178"/>
        <v/>
      </c>
      <c r="M777" s="34" t="str">
        <f t="shared" si="185"/>
        <v/>
      </c>
      <c r="N777" s="34" t="str">
        <f t="shared" si="170"/>
        <v/>
      </c>
      <c r="O777" s="34" t="str">
        <f t="shared" si="171"/>
        <v/>
      </c>
      <c r="P777" s="34" t="str">
        <f t="shared" si="172"/>
        <v/>
      </c>
      <c r="Q777" s="34" t="str">
        <f t="shared" si="173"/>
        <v/>
      </c>
      <c r="R777" s="34" t="str">
        <f t="shared" si="174"/>
        <v/>
      </c>
      <c r="S777" s="34" t="str">
        <f t="shared" si="175"/>
        <v/>
      </c>
    </row>
    <row r="778" spans="12:19" x14ac:dyDescent="0.3">
      <c r="L778" s="34" t="str">
        <f t="shared" si="178"/>
        <v/>
      </c>
      <c r="M778" s="34" t="str">
        <f t="shared" si="185"/>
        <v/>
      </c>
      <c r="N778" s="34" t="str">
        <f t="shared" si="170"/>
        <v/>
      </c>
      <c r="O778" s="34" t="str">
        <f t="shared" si="171"/>
        <v/>
      </c>
      <c r="P778" s="34" t="str">
        <f t="shared" si="172"/>
        <v/>
      </c>
      <c r="Q778" s="34" t="str">
        <f t="shared" si="173"/>
        <v/>
      </c>
      <c r="R778" s="34" t="str">
        <f t="shared" si="174"/>
        <v/>
      </c>
      <c r="S778" s="34" t="str">
        <f t="shared" si="175"/>
        <v/>
      </c>
    </row>
    <row r="779" spans="12:19" x14ac:dyDescent="0.3">
      <c r="L779" s="34" t="str">
        <f t="shared" si="178"/>
        <v/>
      </c>
      <c r="M779" s="34" t="str">
        <f t="shared" si="185"/>
        <v/>
      </c>
      <c r="N779" s="34" t="str">
        <f t="shared" si="170"/>
        <v/>
      </c>
      <c r="O779" s="34" t="str">
        <f t="shared" si="171"/>
        <v/>
      </c>
      <c r="P779" s="34" t="str">
        <f t="shared" si="172"/>
        <v/>
      </c>
      <c r="Q779" s="34" t="str">
        <f t="shared" si="173"/>
        <v/>
      </c>
      <c r="R779" s="34" t="str">
        <f t="shared" si="174"/>
        <v/>
      </c>
      <c r="S779" s="34" t="str">
        <f t="shared" si="175"/>
        <v/>
      </c>
    </row>
    <row r="780" spans="12:19" x14ac:dyDescent="0.3">
      <c r="L780" s="34" t="str">
        <f t="shared" si="178"/>
        <v/>
      </c>
      <c r="M780" s="34" t="str">
        <f t="shared" si="185"/>
        <v/>
      </c>
      <c r="N780" s="34" t="str">
        <f t="shared" ref="N780:N843" si="186">IF(AND(OR($L780="l.csv",$L780="g.csv"),$E780&gt;4),F780,"")</f>
        <v/>
      </c>
      <c r="O780" s="34" t="str">
        <f t="shared" ref="O780:O843" si="187">IF(AND(OR($L780="l.csv",$L780="g.csv"),$E780&gt;4),G780,"")</f>
        <v/>
      </c>
      <c r="P780" s="34" t="str">
        <f t="shared" ref="P780:P843" si="188">IF(AND(OR($L780="l.csv",$L780="g.csv"),$E780&gt;4),H780,"")</f>
        <v/>
      </c>
      <c r="Q780" s="34" t="str">
        <f t="shared" ref="Q780:Q843" si="189">IF(AND(OR($L780="l.csv",$L780="g.csv"),$E780&gt;4),I780,"")</f>
        <v/>
      </c>
      <c r="R780" s="34" t="str">
        <f t="shared" ref="R780:R843" si="190">IF(AND(OR($L780="l.csv",$L780="g.csv"),$E780&gt;4),J780,"")</f>
        <v/>
      </c>
      <c r="S780" s="34" t="str">
        <f t="shared" ref="S780:S843" si="191">IF(AND(OR($L780="l.csv",$L780="g.csv"),$E780&gt;4),K780,"")</f>
        <v/>
      </c>
    </row>
    <row r="781" spans="12:19" x14ac:dyDescent="0.3">
      <c r="L781" s="34" t="str">
        <f t="shared" si="178"/>
        <v/>
      </c>
      <c r="M781" s="34" t="str">
        <f t="shared" si="185"/>
        <v/>
      </c>
      <c r="N781" s="34" t="str">
        <f t="shared" si="186"/>
        <v/>
      </c>
      <c r="O781" s="34" t="str">
        <f t="shared" si="187"/>
        <v/>
      </c>
      <c r="P781" s="34" t="str">
        <f t="shared" si="188"/>
        <v/>
      </c>
      <c r="Q781" s="34" t="str">
        <f t="shared" si="189"/>
        <v/>
      </c>
      <c r="R781" s="34" t="str">
        <f t="shared" si="190"/>
        <v/>
      </c>
      <c r="S781" s="34" t="str">
        <f t="shared" si="191"/>
        <v/>
      </c>
    </row>
    <row r="782" spans="12:19" x14ac:dyDescent="0.3">
      <c r="L782" s="34" t="str">
        <f t="shared" si="178"/>
        <v/>
      </c>
      <c r="M782" s="34" t="str">
        <f t="shared" si="185"/>
        <v/>
      </c>
      <c r="N782" s="34" t="str">
        <f t="shared" si="186"/>
        <v/>
      </c>
      <c r="O782" s="34" t="str">
        <f t="shared" si="187"/>
        <v/>
      </c>
      <c r="P782" s="34" t="str">
        <f t="shared" si="188"/>
        <v/>
      </c>
      <c r="Q782" s="34" t="str">
        <f t="shared" si="189"/>
        <v/>
      </c>
      <c r="R782" s="34" t="str">
        <f t="shared" si="190"/>
        <v/>
      </c>
      <c r="S782" s="34" t="str">
        <f t="shared" si="191"/>
        <v/>
      </c>
    </row>
    <row r="783" spans="12:19" x14ac:dyDescent="0.3">
      <c r="M783" s="34" t="str">
        <f t="shared" si="185"/>
        <v/>
      </c>
      <c r="N783" s="34" t="str">
        <f t="shared" si="186"/>
        <v/>
      </c>
      <c r="O783" s="34" t="str">
        <f t="shared" si="187"/>
        <v/>
      </c>
      <c r="P783" s="34" t="str">
        <f t="shared" si="188"/>
        <v/>
      </c>
      <c r="Q783" s="34" t="str">
        <f t="shared" si="189"/>
        <v/>
      </c>
      <c r="R783" s="34" t="str">
        <f t="shared" si="190"/>
        <v/>
      </c>
      <c r="S783" s="34" t="str">
        <f t="shared" si="191"/>
        <v/>
      </c>
    </row>
    <row r="784" spans="12:19" x14ac:dyDescent="0.3">
      <c r="M784" s="34" t="str">
        <f t="shared" si="185"/>
        <v/>
      </c>
      <c r="N784" s="34" t="str">
        <f t="shared" si="186"/>
        <v/>
      </c>
      <c r="O784" s="34" t="str">
        <f t="shared" si="187"/>
        <v/>
      </c>
      <c r="P784" s="34" t="str">
        <f t="shared" si="188"/>
        <v/>
      </c>
      <c r="Q784" s="34" t="str">
        <f t="shared" si="189"/>
        <v/>
      </c>
      <c r="R784" s="34" t="str">
        <f t="shared" si="190"/>
        <v/>
      </c>
      <c r="S784" s="34" t="str">
        <f t="shared" si="191"/>
        <v/>
      </c>
    </row>
    <row r="785" spans="12:19" x14ac:dyDescent="0.3">
      <c r="L785" s="34" t="str">
        <f t="shared" ref="L785" si="192">RIGHT(A785,5)</f>
        <v/>
      </c>
      <c r="M785" s="34" t="str">
        <f t="shared" si="185"/>
        <v/>
      </c>
      <c r="N785" s="34" t="str">
        <f t="shared" si="186"/>
        <v/>
      </c>
      <c r="O785" s="34" t="str">
        <f t="shared" si="187"/>
        <v/>
      </c>
      <c r="P785" s="34" t="str">
        <f t="shared" si="188"/>
        <v/>
      </c>
      <c r="Q785" s="34" t="str">
        <f t="shared" si="189"/>
        <v/>
      </c>
      <c r="R785" s="34" t="str">
        <f t="shared" si="190"/>
        <v/>
      </c>
      <c r="S785" s="34" t="str">
        <f t="shared" si="191"/>
        <v/>
      </c>
    </row>
    <row r="786" spans="12:19" x14ac:dyDescent="0.3">
      <c r="L786" s="34" t="str">
        <f t="shared" ref="L786:L849" si="193">L785</f>
        <v/>
      </c>
      <c r="M786" s="34" t="str">
        <f t="shared" si="185"/>
        <v/>
      </c>
      <c r="N786" s="34" t="str">
        <f t="shared" si="186"/>
        <v/>
      </c>
      <c r="O786" s="34" t="str">
        <f t="shared" si="187"/>
        <v/>
      </c>
      <c r="P786" s="34" t="str">
        <f t="shared" si="188"/>
        <v/>
      </c>
      <c r="Q786" s="34" t="str">
        <f t="shared" si="189"/>
        <v/>
      </c>
      <c r="R786" s="34" t="str">
        <f t="shared" si="190"/>
        <v/>
      </c>
      <c r="S786" s="34" t="str">
        <f t="shared" si="191"/>
        <v/>
      </c>
    </row>
    <row r="787" spans="12:19" x14ac:dyDescent="0.3">
      <c r="L787" s="34" t="str">
        <f t="shared" si="193"/>
        <v/>
      </c>
      <c r="M787" s="34" t="str">
        <f t="shared" si="185"/>
        <v/>
      </c>
      <c r="N787" s="34" t="str">
        <f t="shared" si="186"/>
        <v/>
      </c>
      <c r="O787" s="34" t="str">
        <f t="shared" si="187"/>
        <v/>
      </c>
      <c r="P787" s="34" t="str">
        <f t="shared" si="188"/>
        <v/>
      </c>
      <c r="Q787" s="34" t="str">
        <f t="shared" si="189"/>
        <v/>
      </c>
      <c r="R787" s="34" t="str">
        <f t="shared" si="190"/>
        <v/>
      </c>
      <c r="S787" s="34" t="str">
        <f t="shared" si="191"/>
        <v/>
      </c>
    </row>
    <row r="788" spans="12:19" x14ac:dyDescent="0.3">
      <c r="L788" s="34" t="str">
        <f t="shared" si="193"/>
        <v/>
      </c>
      <c r="M788" s="34" t="str">
        <f t="shared" si="185"/>
        <v/>
      </c>
      <c r="N788" s="34" t="str">
        <f t="shared" si="186"/>
        <v/>
      </c>
      <c r="O788" s="34" t="str">
        <f t="shared" si="187"/>
        <v/>
      </c>
      <c r="P788" s="34" t="str">
        <f t="shared" si="188"/>
        <v/>
      </c>
      <c r="Q788" s="34" t="str">
        <f t="shared" si="189"/>
        <v/>
      </c>
      <c r="R788" s="34" t="str">
        <f t="shared" si="190"/>
        <v/>
      </c>
      <c r="S788" s="34" t="str">
        <f t="shared" si="191"/>
        <v/>
      </c>
    </row>
    <row r="789" spans="12:19" x14ac:dyDescent="0.3">
      <c r="L789" s="34" t="str">
        <f t="shared" si="193"/>
        <v/>
      </c>
      <c r="M789" s="34" t="str">
        <f t="shared" si="185"/>
        <v/>
      </c>
      <c r="N789" s="34" t="str">
        <f t="shared" si="186"/>
        <v/>
      </c>
      <c r="O789" s="34" t="str">
        <f t="shared" si="187"/>
        <v/>
      </c>
      <c r="P789" s="34" t="str">
        <f t="shared" si="188"/>
        <v/>
      </c>
      <c r="Q789" s="34" t="str">
        <f t="shared" si="189"/>
        <v/>
      </c>
      <c r="R789" s="34" t="str">
        <f t="shared" si="190"/>
        <v/>
      </c>
      <c r="S789" s="34" t="str">
        <f t="shared" si="191"/>
        <v/>
      </c>
    </row>
    <row r="790" spans="12:19" x14ac:dyDescent="0.3">
      <c r="L790" s="34" t="str">
        <f t="shared" si="193"/>
        <v/>
      </c>
      <c r="M790" s="34" t="str">
        <f t="shared" si="185"/>
        <v/>
      </c>
      <c r="N790" s="34" t="str">
        <f t="shared" si="186"/>
        <v/>
      </c>
      <c r="O790" s="34" t="str">
        <f t="shared" si="187"/>
        <v/>
      </c>
      <c r="P790" s="34" t="str">
        <f t="shared" si="188"/>
        <v/>
      </c>
      <c r="Q790" s="34" t="str">
        <f t="shared" si="189"/>
        <v/>
      </c>
      <c r="R790" s="34" t="str">
        <f t="shared" si="190"/>
        <v/>
      </c>
      <c r="S790" s="34" t="str">
        <f t="shared" si="191"/>
        <v/>
      </c>
    </row>
    <row r="791" spans="12:19" x14ac:dyDescent="0.3">
      <c r="L791" s="34" t="str">
        <f t="shared" si="193"/>
        <v/>
      </c>
      <c r="M791" s="34" t="str">
        <f t="shared" si="185"/>
        <v/>
      </c>
      <c r="N791" s="34" t="str">
        <f t="shared" si="186"/>
        <v/>
      </c>
      <c r="O791" s="34" t="str">
        <f t="shared" si="187"/>
        <v/>
      </c>
      <c r="P791" s="34" t="str">
        <f t="shared" si="188"/>
        <v/>
      </c>
      <c r="Q791" s="34" t="str">
        <f t="shared" si="189"/>
        <v/>
      </c>
      <c r="R791" s="34" t="str">
        <f t="shared" si="190"/>
        <v/>
      </c>
      <c r="S791" s="34" t="str">
        <f t="shared" si="191"/>
        <v/>
      </c>
    </row>
    <row r="792" spans="12:19" x14ac:dyDescent="0.3">
      <c r="L792" s="34" t="str">
        <f t="shared" si="193"/>
        <v/>
      </c>
      <c r="M792" s="34" t="str">
        <f t="shared" si="185"/>
        <v/>
      </c>
      <c r="N792" s="34" t="str">
        <f t="shared" si="186"/>
        <v/>
      </c>
      <c r="O792" s="34" t="str">
        <f t="shared" si="187"/>
        <v/>
      </c>
      <c r="P792" s="34" t="str">
        <f t="shared" si="188"/>
        <v/>
      </c>
      <c r="Q792" s="34" t="str">
        <f t="shared" si="189"/>
        <v/>
      </c>
      <c r="R792" s="34" t="str">
        <f t="shared" si="190"/>
        <v/>
      </c>
      <c r="S792" s="34" t="str">
        <f t="shared" si="191"/>
        <v/>
      </c>
    </row>
    <row r="793" spans="12:19" x14ac:dyDescent="0.3">
      <c r="L793" s="34" t="str">
        <f t="shared" si="193"/>
        <v/>
      </c>
      <c r="M793" s="34" t="str">
        <f t="shared" si="185"/>
        <v/>
      </c>
      <c r="N793" s="34" t="str">
        <f t="shared" si="186"/>
        <v/>
      </c>
      <c r="O793" s="34" t="str">
        <f t="shared" si="187"/>
        <v/>
      </c>
      <c r="P793" s="34" t="str">
        <f t="shared" si="188"/>
        <v/>
      </c>
      <c r="Q793" s="34" t="str">
        <f t="shared" si="189"/>
        <v/>
      </c>
      <c r="R793" s="34" t="str">
        <f t="shared" si="190"/>
        <v/>
      </c>
      <c r="S793" s="34" t="str">
        <f t="shared" si="191"/>
        <v/>
      </c>
    </row>
    <row r="794" spans="12:19" x14ac:dyDescent="0.3">
      <c r="L794" s="34" t="str">
        <f t="shared" si="193"/>
        <v/>
      </c>
      <c r="M794" s="34" t="str">
        <f t="shared" si="185"/>
        <v/>
      </c>
      <c r="N794" s="34" t="str">
        <f t="shared" si="186"/>
        <v/>
      </c>
      <c r="O794" s="34" t="str">
        <f t="shared" si="187"/>
        <v/>
      </c>
      <c r="P794" s="34" t="str">
        <f t="shared" si="188"/>
        <v/>
      </c>
      <c r="Q794" s="34" t="str">
        <f t="shared" si="189"/>
        <v/>
      </c>
      <c r="R794" s="34" t="str">
        <f t="shared" si="190"/>
        <v/>
      </c>
      <c r="S794" s="34" t="str">
        <f t="shared" si="191"/>
        <v/>
      </c>
    </row>
    <row r="795" spans="12:19" x14ac:dyDescent="0.3">
      <c r="L795" s="34" t="str">
        <f t="shared" si="193"/>
        <v/>
      </c>
      <c r="M795" s="34" t="str">
        <f t="shared" si="185"/>
        <v/>
      </c>
      <c r="N795" s="34" t="str">
        <f t="shared" si="186"/>
        <v/>
      </c>
      <c r="O795" s="34" t="str">
        <f t="shared" si="187"/>
        <v/>
      </c>
      <c r="P795" s="34" t="str">
        <f t="shared" si="188"/>
        <v/>
      </c>
      <c r="Q795" s="34" t="str">
        <f t="shared" si="189"/>
        <v/>
      </c>
      <c r="R795" s="34" t="str">
        <f t="shared" si="190"/>
        <v/>
      </c>
      <c r="S795" s="34" t="str">
        <f t="shared" si="191"/>
        <v/>
      </c>
    </row>
    <row r="796" spans="12:19" x14ac:dyDescent="0.3">
      <c r="L796" s="34" t="str">
        <f t="shared" si="193"/>
        <v/>
      </c>
      <c r="M796" s="34" t="str">
        <f t="shared" si="185"/>
        <v/>
      </c>
      <c r="N796" s="34" t="str">
        <f t="shared" si="186"/>
        <v/>
      </c>
      <c r="O796" s="34" t="str">
        <f t="shared" si="187"/>
        <v/>
      </c>
      <c r="P796" s="34" t="str">
        <f t="shared" si="188"/>
        <v/>
      </c>
      <c r="Q796" s="34" t="str">
        <f t="shared" si="189"/>
        <v/>
      </c>
      <c r="R796" s="34" t="str">
        <f t="shared" si="190"/>
        <v/>
      </c>
      <c r="S796" s="34" t="str">
        <f t="shared" si="191"/>
        <v/>
      </c>
    </row>
    <row r="797" spans="12:19" x14ac:dyDescent="0.3">
      <c r="L797" s="34" t="str">
        <f t="shared" si="193"/>
        <v/>
      </c>
      <c r="M797" s="34" t="str">
        <f t="shared" si="185"/>
        <v/>
      </c>
      <c r="N797" s="34" t="str">
        <f t="shared" si="186"/>
        <v/>
      </c>
      <c r="O797" s="34" t="str">
        <f t="shared" si="187"/>
        <v/>
      </c>
      <c r="P797" s="34" t="str">
        <f t="shared" si="188"/>
        <v/>
      </c>
      <c r="Q797" s="34" t="str">
        <f t="shared" si="189"/>
        <v/>
      </c>
      <c r="R797" s="34" t="str">
        <f t="shared" si="190"/>
        <v/>
      </c>
      <c r="S797" s="34" t="str">
        <f t="shared" si="191"/>
        <v/>
      </c>
    </row>
    <row r="798" spans="12:19" x14ac:dyDescent="0.3">
      <c r="L798" s="34" t="str">
        <f t="shared" si="193"/>
        <v/>
      </c>
      <c r="M798" s="34" t="str">
        <f t="shared" si="185"/>
        <v/>
      </c>
      <c r="N798" s="34" t="str">
        <f t="shared" si="186"/>
        <v/>
      </c>
      <c r="O798" s="34" t="str">
        <f t="shared" si="187"/>
        <v/>
      </c>
      <c r="P798" s="34" t="str">
        <f t="shared" si="188"/>
        <v/>
      </c>
      <c r="Q798" s="34" t="str">
        <f t="shared" si="189"/>
        <v/>
      </c>
      <c r="R798" s="34" t="str">
        <f t="shared" si="190"/>
        <v/>
      </c>
      <c r="S798" s="34" t="str">
        <f t="shared" si="191"/>
        <v/>
      </c>
    </row>
    <row r="799" spans="12:19" x14ac:dyDescent="0.3">
      <c r="L799" s="34" t="str">
        <f t="shared" si="193"/>
        <v/>
      </c>
      <c r="M799" s="34" t="str">
        <f t="shared" si="185"/>
        <v/>
      </c>
      <c r="N799" s="34" t="str">
        <f t="shared" si="186"/>
        <v/>
      </c>
      <c r="O799" s="34" t="str">
        <f t="shared" si="187"/>
        <v/>
      </c>
      <c r="P799" s="34" t="str">
        <f t="shared" si="188"/>
        <v/>
      </c>
      <c r="Q799" s="34" t="str">
        <f t="shared" si="189"/>
        <v/>
      </c>
      <c r="R799" s="34" t="str">
        <f t="shared" si="190"/>
        <v/>
      </c>
      <c r="S799" s="34" t="str">
        <f t="shared" si="191"/>
        <v/>
      </c>
    </row>
    <row r="800" spans="12:19" x14ac:dyDescent="0.3">
      <c r="M800" s="34" t="str">
        <f t="shared" si="185"/>
        <v/>
      </c>
      <c r="N800" s="34" t="str">
        <f t="shared" si="186"/>
        <v/>
      </c>
      <c r="O800" s="34" t="str">
        <f t="shared" si="187"/>
        <v/>
      </c>
      <c r="P800" s="34" t="str">
        <f t="shared" si="188"/>
        <v/>
      </c>
      <c r="Q800" s="34" t="str">
        <f t="shared" si="189"/>
        <v/>
      </c>
      <c r="R800" s="34" t="str">
        <f t="shared" si="190"/>
        <v/>
      </c>
      <c r="S800" s="34" t="str">
        <f t="shared" si="191"/>
        <v/>
      </c>
    </row>
    <row r="801" spans="12:19" x14ac:dyDescent="0.3">
      <c r="M801" s="34" t="str">
        <f t="shared" si="185"/>
        <v/>
      </c>
      <c r="N801" s="34" t="str">
        <f t="shared" si="186"/>
        <v/>
      </c>
      <c r="O801" s="34" t="str">
        <f t="shared" si="187"/>
        <v/>
      </c>
      <c r="P801" s="34" t="str">
        <f t="shared" si="188"/>
        <v/>
      </c>
      <c r="Q801" s="34" t="str">
        <f t="shared" si="189"/>
        <v/>
      </c>
      <c r="R801" s="34" t="str">
        <f t="shared" si="190"/>
        <v/>
      </c>
      <c r="S801" s="34" t="str">
        <f t="shared" si="191"/>
        <v/>
      </c>
    </row>
    <row r="802" spans="12:19" x14ac:dyDescent="0.3">
      <c r="L802" s="34" t="str">
        <f t="shared" ref="L802" si="194">RIGHT(A802,5)</f>
        <v/>
      </c>
      <c r="M802" s="34" t="str">
        <f t="shared" si="185"/>
        <v/>
      </c>
      <c r="N802" s="34" t="str">
        <f t="shared" si="186"/>
        <v/>
      </c>
      <c r="O802" s="34" t="str">
        <f t="shared" si="187"/>
        <v/>
      </c>
      <c r="P802" s="34" t="str">
        <f t="shared" si="188"/>
        <v/>
      </c>
      <c r="Q802" s="34" t="str">
        <f t="shared" si="189"/>
        <v/>
      </c>
      <c r="R802" s="34" t="str">
        <f t="shared" si="190"/>
        <v/>
      </c>
      <c r="S802" s="34" t="str">
        <f t="shared" si="191"/>
        <v/>
      </c>
    </row>
    <row r="803" spans="12:19" x14ac:dyDescent="0.3">
      <c r="L803" s="34" t="str">
        <f t="shared" ref="L803" si="195">L802</f>
        <v/>
      </c>
      <c r="M803" s="34" t="str">
        <f t="shared" si="185"/>
        <v/>
      </c>
      <c r="N803" s="34" t="str">
        <f t="shared" si="186"/>
        <v/>
      </c>
      <c r="O803" s="34" t="str">
        <f t="shared" si="187"/>
        <v/>
      </c>
      <c r="P803" s="34" t="str">
        <f t="shared" si="188"/>
        <v/>
      </c>
      <c r="Q803" s="34" t="str">
        <f t="shared" si="189"/>
        <v/>
      </c>
      <c r="R803" s="34" t="str">
        <f t="shared" si="190"/>
        <v/>
      </c>
      <c r="S803" s="34" t="str">
        <f t="shared" si="191"/>
        <v/>
      </c>
    </row>
    <row r="804" spans="12:19" x14ac:dyDescent="0.3">
      <c r="L804" s="34" t="str">
        <f t="shared" si="193"/>
        <v/>
      </c>
      <c r="M804" s="34" t="str">
        <f t="shared" si="185"/>
        <v/>
      </c>
      <c r="N804" s="34" t="str">
        <f t="shared" si="186"/>
        <v/>
      </c>
      <c r="O804" s="34" t="str">
        <f t="shared" si="187"/>
        <v/>
      </c>
      <c r="P804" s="34" t="str">
        <f t="shared" si="188"/>
        <v/>
      </c>
      <c r="Q804" s="34" t="str">
        <f t="shared" si="189"/>
        <v/>
      </c>
      <c r="R804" s="34" t="str">
        <f t="shared" si="190"/>
        <v/>
      </c>
      <c r="S804" s="34" t="str">
        <f t="shared" si="191"/>
        <v/>
      </c>
    </row>
    <row r="805" spans="12:19" x14ac:dyDescent="0.3">
      <c r="L805" s="34" t="str">
        <f t="shared" si="193"/>
        <v/>
      </c>
      <c r="M805" s="34" t="str">
        <f t="shared" si="185"/>
        <v/>
      </c>
      <c r="N805" s="34" t="str">
        <f t="shared" si="186"/>
        <v/>
      </c>
      <c r="O805" s="34" t="str">
        <f t="shared" si="187"/>
        <v/>
      </c>
      <c r="P805" s="34" t="str">
        <f t="shared" si="188"/>
        <v/>
      </c>
      <c r="Q805" s="34" t="str">
        <f t="shared" si="189"/>
        <v/>
      </c>
      <c r="R805" s="34" t="str">
        <f t="shared" si="190"/>
        <v/>
      </c>
      <c r="S805" s="34" t="str">
        <f t="shared" si="191"/>
        <v/>
      </c>
    </row>
    <row r="806" spans="12:19" x14ac:dyDescent="0.3">
      <c r="L806" s="34" t="str">
        <f t="shared" si="193"/>
        <v/>
      </c>
      <c r="M806" s="34" t="str">
        <f t="shared" si="185"/>
        <v/>
      </c>
      <c r="N806" s="34" t="str">
        <f t="shared" si="186"/>
        <v/>
      </c>
      <c r="O806" s="34" t="str">
        <f t="shared" si="187"/>
        <v/>
      </c>
      <c r="P806" s="34" t="str">
        <f t="shared" si="188"/>
        <v/>
      </c>
      <c r="Q806" s="34" t="str">
        <f t="shared" si="189"/>
        <v/>
      </c>
      <c r="R806" s="34" t="str">
        <f t="shared" si="190"/>
        <v/>
      </c>
      <c r="S806" s="34" t="str">
        <f t="shared" si="191"/>
        <v/>
      </c>
    </row>
    <row r="807" spans="12:19" x14ac:dyDescent="0.3">
      <c r="L807" s="34" t="str">
        <f t="shared" si="193"/>
        <v/>
      </c>
      <c r="M807" s="34" t="str">
        <f t="shared" si="185"/>
        <v/>
      </c>
      <c r="N807" s="34" t="str">
        <f t="shared" si="186"/>
        <v/>
      </c>
      <c r="O807" s="34" t="str">
        <f t="shared" si="187"/>
        <v/>
      </c>
      <c r="P807" s="34" t="str">
        <f t="shared" si="188"/>
        <v/>
      </c>
      <c r="Q807" s="34" t="str">
        <f t="shared" si="189"/>
        <v/>
      </c>
      <c r="R807" s="34" t="str">
        <f t="shared" si="190"/>
        <v/>
      </c>
      <c r="S807" s="34" t="str">
        <f t="shared" si="191"/>
        <v/>
      </c>
    </row>
    <row r="808" spans="12:19" x14ac:dyDescent="0.3">
      <c r="L808" s="34" t="str">
        <f t="shared" si="193"/>
        <v/>
      </c>
      <c r="M808" s="34" t="str">
        <f t="shared" si="185"/>
        <v/>
      </c>
      <c r="N808" s="34" t="str">
        <f t="shared" si="186"/>
        <v/>
      </c>
      <c r="O808" s="34" t="str">
        <f t="shared" si="187"/>
        <v/>
      </c>
      <c r="P808" s="34" t="str">
        <f t="shared" si="188"/>
        <v/>
      </c>
      <c r="Q808" s="34" t="str">
        <f t="shared" si="189"/>
        <v/>
      </c>
      <c r="R808" s="34" t="str">
        <f t="shared" si="190"/>
        <v/>
      </c>
      <c r="S808" s="34" t="str">
        <f t="shared" si="191"/>
        <v/>
      </c>
    </row>
    <row r="809" spans="12:19" x14ac:dyDescent="0.3">
      <c r="L809" s="34" t="str">
        <f t="shared" si="193"/>
        <v/>
      </c>
      <c r="M809" s="34" t="str">
        <f t="shared" si="185"/>
        <v/>
      </c>
      <c r="N809" s="34" t="str">
        <f t="shared" si="186"/>
        <v/>
      </c>
      <c r="O809" s="34" t="str">
        <f t="shared" si="187"/>
        <v/>
      </c>
      <c r="P809" s="34" t="str">
        <f t="shared" si="188"/>
        <v/>
      </c>
      <c r="Q809" s="34" t="str">
        <f t="shared" si="189"/>
        <v/>
      </c>
      <c r="R809" s="34" t="str">
        <f t="shared" si="190"/>
        <v/>
      </c>
      <c r="S809" s="34" t="str">
        <f t="shared" si="191"/>
        <v/>
      </c>
    </row>
    <row r="810" spans="12:19" x14ac:dyDescent="0.3">
      <c r="L810" s="34" t="str">
        <f t="shared" si="193"/>
        <v/>
      </c>
      <c r="M810" s="34" t="str">
        <f t="shared" si="185"/>
        <v/>
      </c>
      <c r="N810" s="34" t="str">
        <f t="shared" si="186"/>
        <v/>
      </c>
      <c r="O810" s="34" t="str">
        <f t="shared" si="187"/>
        <v/>
      </c>
      <c r="P810" s="34" t="str">
        <f t="shared" si="188"/>
        <v/>
      </c>
      <c r="Q810" s="34" t="str">
        <f t="shared" si="189"/>
        <v/>
      </c>
      <c r="R810" s="34" t="str">
        <f t="shared" si="190"/>
        <v/>
      </c>
      <c r="S810" s="34" t="str">
        <f t="shared" si="191"/>
        <v/>
      </c>
    </row>
    <row r="811" spans="12:19" x14ac:dyDescent="0.3">
      <c r="L811" s="34" t="str">
        <f t="shared" si="193"/>
        <v/>
      </c>
      <c r="M811" s="34" t="str">
        <f t="shared" si="185"/>
        <v/>
      </c>
      <c r="N811" s="34" t="str">
        <f t="shared" si="186"/>
        <v/>
      </c>
      <c r="O811" s="34" t="str">
        <f t="shared" si="187"/>
        <v/>
      </c>
      <c r="P811" s="34" t="str">
        <f t="shared" si="188"/>
        <v/>
      </c>
      <c r="Q811" s="34" t="str">
        <f t="shared" si="189"/>
        <v/>
      </c>
      <c r="R811" s="34" t="str">
        <f t="shared" si="190"/>
        <v/>
      </c>
      <c r="S811" s="34" t="str">
        <f t="shared" si="191"/>
        <v/>
      </c>
    </row>
    <row r="812" spans="12:19" x14ac:dyDescent="0.3">
      <c r="L812" s="34" t="str">
        <f t="shared" si="193"/>
        <v/>
      </c>
      <c r="M812" s="34" t="str">
        <f t="shared" si="185"/>
        <v/>
      </c>
      <c r="N812" s="34" t="str">
        <f t="shared" si="186"/>
        <v/>
      </c>
      <c r="O812" s="34" t="str">
        <f t="shared" si="187"/>
        <v/>
      </c>
      <c r="P812" s="34" t="str">
        <f t="shared" si="188"/>
        <v/>
      </c>
      <c r="Q812" s="34" t="str">
        <f t="shared" si="189"/>
        <v/>
      </c>
      <c r="R812" s="34" t="str">
        <f t="shared" si="190"/>
        <v/>
      </c>
      <c r="S812" s="34" t="str">
        <f t="shared" si="191"/>
        <v/>
      </c>
    </row>
    <row r="813" spans="12:19" x14ac:dyDescent="0.3">
      <c r="L813" s="34" t="str">
        <f t="shared" si="193"/>
        <v/>
      </c>
      <c r="M813" s="34" t="str">
        <f t="shared" si="185"/>
        <v/>
      </c>
      <c r="N813" s="34" t="str">
        <f t="shared" si="186"/>
        <v/>
      </c>
      <c r="O813" s="34" t="str">
        <f t="shared" si="187"/>
        <v/>
      </c>
      <c r="P813" s="34" t="str">
        <f t="shared" si="188"/>
        <v/>
      </c>
      <c r="Q813" s="34" t="str">
        <f t="shared" si="189"/>
        <v/>
      </c>
      <c r="R813" s="34" t="str">
        <f t="shared" si="190"/>
        <v/>
      </c>
      <c r="S813" s="34" t="str">
        <f t="shared" si="191"/>
        <v/>
      </c>
    </row>
    <row r="814" spans="12:19" x14ac:dyDescent="0.3">
      <c r="L814" s="34" t="str">
        <f t="shared" si="193"/>
        <v/>
      </c>
      <c r="M814" s="34" t="str">
        <f t="shared" si="185"/>
        <v/>
      </c>
      <c r="N814" s="34" t="str">
        <f t="shared" si="186"/>
        <v/>
      </c>
      <c r="O814" s="34" t="str">
        <f t="shared" si="187"/>
        <v/>
      </c>
      <c r="P814" s="34" t="str">
        <f t="shared" si="188"/>
        <v/>
      </c>
      <c r="Q814" s="34" t="str">
        <f t="shared" si="189"/>
        <v/>
      </c>
      <c r="R814" s="34" t="str">
        <f t="shared" si="190"/>
        <v/>
      </c>
      <c r="S814" s="34" t="str">
        <f t="shared" si="191"/>
        <v/>
      </c>
    </row>
    <row r="815" spans="12:19" x14ac:dyDescent="0.3">
      <c r="L815" s="34" t="str">
        <f t="shared" si="193"/>
        <v/>
      </c>
      <c r="M815" s="34" t="str">
        <f t="shared" si="185"/>
        <v/>
      </c>
      <c r="N815" s="34" t="str">
        <f t="shared" si="186"/>
        <v/>
      </c>
      <c r="O815" s="34" t="str">
        <f t="shared" si="187"/>
        <v/>
      </c>
      <c r="P815" s="34" t="str">
        <f t="shared" si="188"/>
        <v/>
      </c>
      <c r="Q815" s="34" t="str">
        <f t="shared" si="189"/>
        <v/>
      </c>
      <c r="R815" s="34" t="str">
        <f t="shared" si="190"/>
        <v/>
      </c>
      <c r="S815" s="34" t="str">
        <f t="shared" si="191"/>
        <v/>
      </c>
    </row>
    <row r="816" spans="12:19" x14ac:dyDescent="0.3">
      <c r="L816" s="34" t="str">
        <f t="shared" si="193"/>
        <v/>
      </c>
      <c r="M816" s="34" t="str">
        <f t="shared" si="185"/>
        <v/>
      </c>
      <c r="N816" s="34" t="str">
        <f t="shared" si="186"/>
        <v/>
      </c>
      <c r="O816" s="34" t="str">
        <f t="shared" si="187"/>
        <v/>
      </c>
      <c r="P816" s="34" t="str">
        <f t="shared" si="188"/>
        <v/>
      </c>
      <c r="Q816" s="34" t="str">
        <f t="shared" si="189"/>
        <v/>
      </c>
      <c r="R816" s="34" t="str">
        <f t="shared" si="190"/>
        <v/>
      </c>
      <c r="S816" s="34" t="str">
        <f t="shared" si="191"/>
        <v/>
      </c>
    </row>
    <row r="817" spans="12:19" x14ac:dyDescent="0.3">
      <c r="M817" s="34" t="str">
        <f t="shared" si="185"/>
        <v/>
      </c>
      <c r="N817" s="34" t="str">
        <f t="shared" si="186"/>
        <v/>
      </c>
      <c r="O817" s="34" t="str">
        <f t="shared" si="187"/>
        <v/>
      </c>
      <c r="P817" s="34" t="str">
        <f t="shared" si="188"/>
        <v/>
      </c>
      <c r="Q817" s="34" t="str">
        <f t="shared" si="189"/>
        <v/>
      </c>
      <c r="R817" s="34" t="str">
        <f t="shared" si="190"/>
        <v/>
      </c>
      <c r="S817" s="34" t="str">
        <f t="shared" si="191"/>
        <v/>
      </c>
    </row>
    <row r="818" spans="12:19" x14ac:dyDescent="0.3">
      <c r="M818" s="34" t="str">
        <f t="shared" si="185"/>
        <v/>
      </c>
      <c r="N818" s="34" t="str">
        <f t="shared" si="186"/>
        <v/>
      </c>
      <c r="O818" s="34" t="str">
        <f t="shared" si="187"/>
        <v/>
      </c>
      <c r="P818" s="34" t="str">
        <f t="shared" si="188"/>
        <v/>
      </c>
      <c r="Q818" s="34" t="str">
        <f t="shared" si="189"/>
        <v/>
      </c>
      <c r="R818" s="34" t="str">
        <f t="shared" si="190"/>
        <v/>
      </c>
      <c r="S818" s="34" t="str">
        <f t="shared" si="191"/>
        <v/>
      </c>
    </row>
    <row r="819" spans="12:19" x14ac:dyDescent="0.3">
      <c r="L819" s="34" t="str">
        <f t="shared" ref="L819" si="196">RIGHT(A819,5)</f>
        <v/>
      </c>
      <c r="M819" s="34" t="str">
        <f t="shared" si="185"/>
        <v/>
      </c>
      <c r="N819" s="34" t="str">
        <f t="shared" si="186"/>
        <v/>
      </c>
      <c r="O819" s="34" t="str">
        <f t="shared" si="187"/>
        <v/>
      </c>
      <c r="P819" s="34" t="str">
        <f t="shared" si="188"/>
        <v/>
      </c>
      <c r="Q819" s="34" t="str">
        <f t="shared" si="189"/>
        <v/>
      </c>
      <c r="R819" s="34" t="str">
        <f t="shared" si="190"/>
        <v/>
      </c>
      <c r="S819" s="34" t="str">
        <f t="shared" si="191"/>
        <v/>
      </c>
    </row>
    <row r="820" spans="12:19" x14ac:dyDescent="0.3">
      <c r="L820" s="34" t="str">
        <f t="shared" ref="L820" si="197">L819</f>
        <v/>
      </c>
      <c r="M820" s="34" t="str">
        <f t="shared" si="185"/>
        <v/>
      </c>
      <c r="N820" s="34" t="str">
        <f t="shared" si="186"/>
        <v/>
      </c>
      <c r="O820" s="34" t="str">
        <f t="shared" si="187"/>
        <v/>
      </c>
      <c r="P820" s="34" t="str">
        <f t="shared" si="188"/>
        <v/>
      </c>
      <c r="Q820" s="34" t="str">
        <f t="shared" si="189"/>
        <v/>
      </c>
      <c r="R820" s="34" t="str">
        <f t="shared" si="190"/>
        <v/>
      </c>
      <c r="S820" s="34" t="str">
        <f t="shared" si="191"/>
        <v/>
      </c>
    </row>
    <row r="821" spans="12:19" x14ac:dyDescent="0.3">
      <c r="L821" s="34" t="str">
        <f t="shared" si="193"/>
        <v/>
      </c>
      <c r="M821" s="34" t="str">
        <f t="shared" si="185"/>
        <v/>
      </c>
      <c r="N821" s="34" t="str">
        <f t="shared" si="186"/>
        <v/>
      </c>
      <c r="O821" s="34" t="str">
        <f t="shared" si="187"/>
        <v/>
      </c>
      <c r="P821" s="34" t="str">
        <f t="shared" si="188"/>
        <v/>
      </c>
      <c r="Q821" s="34" t="str">
        <f t="shared" si="189"/>
        <v/>
      </c>
      <c r="R821" s="34" t="str">
        <f t="shared" si="190"/>
        <v/>
      </c>
      <c r="S821" s="34" t="str">
        <f t="shared" si="191"/>
        <v/>
      </c>
    </row>
    <row r="822" spans="12:19" x14ac:dyDescent="0.3">
      <c r="L822" s="34" t="str">
        <f t="shared" si="193"/>
        <v/>
      </c>
      <c r="M822" s="34" t="str">
        <f t="shared" si="185"/>
        <v/>
      </c>
      <c r="N822" s="34" t="str">
        <f t="shared" si="186"/>
        <v/>
      </c>
      <c r="O822" s="34" t="str">
        <f t="shared" si="187"/>
        <v/>
      </c>
      <c r="P822" s="34" t="str">
        <f t="shared" si="188"/>
        <v/>
      </c>
      <c r="Q822" s="34" t="str">
        <f t="shared" si="189"/>
        <v/>
      </c>
      <c r="R822" s="34" t="str">
        <f t="shared" si="190"/>
        <v/>
      </c>
      <c r="S822" s="34" t="str">
        <f t="shared" si="191"/>
        <v/>
      </c>
    </row>
    <row r="823" spans="12:19" x14ac:dyDescent="0.3">
      <c r="L823" s="34" t="str">
        <f t="shared" si="193"/>
        <v/>
      </c>
      <c r="M823" s="34" t="str">
        <f t="shared" si="185"/>
        <v/>
      </c>
      <c r="N823" s="34" t="str">
        <f t="shared" si="186"/>
        <v/>
      </c>
      <c r="O823" s="34" t="str">
        <f t="shared" si="187"/>
        <v/>
      </c>
      <c r="P823" s="34" t="str">
        <f t="shared" si="188"/>
        <v/>
      </c>
      <c r="Q823" s="34" t="str">
        <f t="shared" si="189"/>
        <v/>
      </c>
      <c r="R823" s="34" t="str">
        <f t="shared" si="190"/>
        <v/>
      </c>
      <c r="S823" s="34" t="str">
        <f t="shared" si="191"/>
        <v/>
      </c>
    </row>
    <row r="824" spans="12:19" x14ac:dyDescent="0.3">
      <c r="L824" s="34" t="str">
        <f t="shared" si="193"/>
        <v/>
      </c>
      <c r="M824" s="34" t="str">
        <f t="shared" si="185"/>
        <v/>
      </c>
      <c r="N824" s="34" t="str">
        <f t="shared" si="186"/>
        <v/>
      </c>
      <c r="O824" s="34" t="str">
        <f t="shared" si="187"/>
        <v/>
      </c>
      <c r="P824" s="34" t="str">
        <f t="shared" si="188"/>
        <v/>
      </c>
      <c r="Q824" s="34" t="str">
        <f t="shared" si="189"/>
        <v/>
      </c>
      <c r="R824" s="34" t="str">
        <f t="shared" si="190"/>
        <v/>
      </c>
      <c r="S824" s="34" t="str">
        <f t="shared" si="191"/>
        <v/>
      </c>
    </row>
    <row r="825" spans="12:19" x14ac:dyDescent="0.3">
      <c r="L825" s="34" t="str">
        <f t="shared" si="193"/>
        <v/>
      </c>
      <c r="M825" s="34" t="str">
        <f t="shared" si="185"/>
        <v/>
      </c>
      <c r="N825" s="34" t="str">
        <f t="shared" si="186"/>
        <v/>
      </c>
      <c r="O825" s="34" t="str">
        <f t="shared" si="187"/>
        <v/>
      </c>
      <c r="P825" s="34" t="str">
        <f t="shared" si="188"/>
        <v/>
      </c>
      <c r="Q825" s="34" t="str">
        <f t="shared" si="189"/>
        <v/>
      </c>
      <c r="R825" s="34" t="str">
        <f t="shared" si="190"/>
        <v/>
      </c>
      <c r="S825" s="34" t="str">
        <f t="shared" si="191"/>
        <v/>
      </c>
    </row>
    <row r="826" spans="12:19" x14ac:dyDescent="0.3">
      <c r="L826" s="34" t="str">
        <f t="shared" si="193"/>
        <v/>
      </c>
      <c r="M826" s="34" t="str">
        <f t="shared" si="185"/>
        <v/>
      </c>
      <c r="N826" s="34" t="str">
        <f t="shared" si="186"/>
        <v/>
      </c>
      <c r="O826" s="34" t="str">
        <f t="shared" si="187"/>
        <v/>
      </c>
      <c r="P826" s="34" t="str">
        <f t="shared" si="188"/>
        <v/>
      </c>
      <c r="Q826" s="34" t="str">
        <f t="shared" si="189"/>
        <v/>
      </c>
      <c r="R826" s="34" t="str">
        <f t="shared" si="190"/>
        <v/>
      </c>
      <c r="S826" s="34" t="str">
        <f t="shared" si="191"/>
        <v/>
      </c>
    </row>
    <row r="827" spans="12:19" x14ac:dyDescent="0.3">
      <c r="L827" s="34" t="str">
        <f t="shared" si="193"/>
        <v/>
      </c>
      <c r="M827" s="34" t="str">
        <f t="shared" si="185"/>
        <v/>
      </c>
      <c r="N827" s="34" t="str">
        <f t="shared" si="186"/>
        <v/>
      </c>
      <c r="O827" s="34" t="str">
        <f t="shared" si="187"/>
        <v/>
      </c>
      <c r="P827" s="34" t="str">
        <f t="shared" si="188"/>
        <v/>
      </c>
      <c r="Q827" s="34" t="str">
        <f t="shared" si="189"/>
        <v/>
      </c>
      <c r="R827" s="34" t="str">
        <f t="shared" si="190"/>
        <v/>
      </c>
      <c r="S827" s="34" t="str">
        <f t="shared" si="191"/>
        <v/>
      </c>
    </row>
    <row r="828" spans="12:19" x14ac:dyDescent="0.3">
      <c r="L828" s="34" t="str">
        <f t="shared" si="193"/>
        <v/>
      </c>
      <c r="M828" s="34" t="str">
        <f t="shared" si="185"/>
        <v/>
      </c>
      <c r="N828" s="34" t="str">
        <f t="shared" si="186"/>
        <v/>
      </c>
      <c r="O828" s="34" t="str">
        <f t="shared" si="187"/>
        <v/>
      </c>
      <c r="P828" s="34" t="str">
        <f t="shared" si="188"/>
        <v/>
      </c>
      <c r="Q828" s="34" t="str">
        <f t="shared" si="189"/>
        <v/>
      </c>
      <c r="R828" s="34" t="str">
        <f t="shared" si="190"/>
        <v/>
      </c>
      <c r="S828" s="34" t="str">
        <f t="shared" si="191"/>
        <v/>
      </c>
    </row>
    <row r="829" spans="12:19" x14ac:dyDescent="0.3">
      <c r="L829" s="34" t="str">
        <f t="shared" si="193"/>
        <v/>
      </c>
      <c r="M829" s="34" t="str">
        <f t="shared" si="185"/>
        <v/>
      </c>
      <c r="N829" s="34" t="str">
        <f t="shared" si="186"/>
        <v/>
      </c>
      <c r="O829" s="34" t="str">
        <f t="shared" si="187"/>
        <v/>
      </c>
      <c r="P829" s="34" t="str">
        <f t="shared" si="188"/>
        <v/>
      </c>
      <c r="Q829" s="34" t="str">
        <f t="shared" si="189"/>
        <v/>
      </c>
      <c r="R829" s="34" t="str">
        <f t="shared" si="190"/>
        <v/>
      </c>
      <c r="S829" s="34" t="str">
        <f t="shared" si="191"/>
        <v/>
      </c>
    </row>
    <row r="830" spans="12:19" x14ac:dyDescent="0.3">
      <c r="L830" s="34" t="str">
        <f t="shared" si="193"/>
        <v/>
      </c>
      <c r="M830" s="34" t="str">
        <f t="shared" si="185"/>
        <v/>
      </c>
      <c r="N830" s="34" t="str">
        <f t="shared" si="186"/>
        <v/>
      </c>
      <c r="O830" s="34" t="str">
        <f t="shared" si="187"/>
        <v/>
      </c>
      <c r="P830" s="34" t="str">
        <f t="shared" si="188"/>
        <v/>
      </c>
      <c r="Q830" s="34" t="str">
        <f t="shared" si="189"/>
        <v/>
      </c>
      <c r="R830" s="34" t="str">
        <f t="shared" si="190"/>
        <v/>
      </c>
      <c r="S830" s="34" t="str">
        <f t="shared" si="191"/>
        <v/>
      </c>
    </row>
    <row r="831" spans="12:19" x14ac:dyDescent="0.3">
      <c r="L831" s="34" t="str">
        <f t="shared" si="193"/>
        <v/>
      </c>
      <c r="M831" s="34" t="str">
        <f t="shared" si="185"/>
        <v/>
      </c>
      <c r="N831" s="34" t="str">
        <f t="shared" si="186"/>
        <v/>
      </c>
      <c r="O831" s="34" t="str">
        <f t="shared" si="187"/>
        <v/>
      </c>
      <c r="P831" s="34" t="str">
        <f t="shared" si="188"/>
        <v/>
      </c>
      <c r="Q831" s="34" t="str">
        <f t="shared" si="189"/>
        <v/>
      </c>
      <c r="R831" s="34" t="str">
        <f t="shared" si="190"/>
        <v/>
      </c>
      <c r="S831" s="34" t="str">
        <f t="shared" si="191"/>
        <v/>
      </c>
    </row>
    <row r="832" spans="12:19" x14ac:dyDescent="0.3">
      <c r="L832" s="34" t="str">
        <f t="shared" si="193"/>
        <v/>
      </c>
      <c r="M832" s="34" t="str">
        <f t="shared" si="185"/>
        <v/>
      </c>
      <c r="N832" s="34" t="str">
        <f t="shared" si="186"/>
        <v/>
      </c>
      <c r="O832" s="34" t="str">
        <f t="shared" si="187"/>
        <v/>
      </c>
      <c r="P832" s="34" t="str">
        <f t="shared" si="188"/>
        <v/>
      </c>
      <c r="Q832" s="34" t="str">
        <f t="shared" si="189"/>
        <v/>
      </c>
      <c r="R832" s="34" t="str">
        <f t="shared" si="190"/>
        <v/>
      </c>
      <c r="S832" s="34" t="str">
        <f t="shared" si="191"/>
        <v/>
      </c>
    </row>
    <row r="833" spans="12:19" x14ac:dyDescent="0.3">
      <c r="L833" s="34" t="str">
        <f t="shared" si="193"/>
        <v/>
      </c>
      <c r="M833" s="34" t="str">
        <f t="shared" si="185"/>
        <v/>
      </c>
      <c r="N833" s="34" t="str">
        <f t="shared" si="186"/>
        <v/>
      </c>
      <c r="O833" s="34" t="str">
        <f t="shared" si="187"/>
        <v/>
      </c>
      <c r="P833" s="34" t="str">
        <f t="shared" si="188"/>
        <v/>
      </c>
      <c r="Q833" s="34" t="str">
        <f t="shared" si="189"/>
        <v/>
      </c>
      <c r="R833" s="34" t="str">
        <f t="shared" si="190"/>
        <v/>
      </c>
      <c r="S833" s="34" t="str">
        <f t="shared" si="191"/>
        <v/>
      </c>
    </row>
    <row r="834" spans="12:19" x14ac:dyDescent="0.3">
      <c r="M834" s="34" t="str">
        <f t="shared" si="185"/>
        <v/>
      </c>
      <c r="N834" s="34" t="str">
        <f t="shared" si="186"/>
        <v/>
      </c>
      <c r="O834" s="34" t="str">
        <f t="shared" si="187"/>
        <v/>
      </c>
      <c r="P834" s="34" t="str">
        <f t="shared" si="188"/>
        <v/>
      </c>
      <c r="Q834" s="34" t="str">
        <f t="shared" si="189"/>
        <v/>
      </c>
      <c r="R834" s="34" t="str">
        <f t="shared" si="190"/>
        <v/>
      </c>
      <c r="S834" s="34" t="str">
        <f t="shared" si="191"/>
        <v/>
      </c>
    </row>
    <row r="835" spans="12:19" x14ac:dyDescent="0.3">
      <c r="M835" s="34" t="str">
        <f t="shared" si="185"/>
        <v/>
      </c>
      <c r="N835" s="34" t="str">
        <f t="shared" si="186"/>
        <v/>
      </c>
      <c r="O835" s="34" t="str">
        <f t="shared" si="187"/>
        <v/>
      </c>
      <c r="P835" s="34" t="str">
        <f t="shared" si="188"/>
        <v/>
      </c>
      <c r="Q835" s="34" t="str">
        <f t="shared" si="189"/>
        <v/>
      </c>
      <c r="R835" s="34" t="str">
        <f t="shared" si="190"/>
        <v/>
      </c>
      <c r="S835" s="34" t="str">
        <f t="shared" si="191"/>
        <v/>
      </c>
    </row>
    <row r="836" spans="12:19" x14ac:dyDescent="0.3">
      <c r="L836" s="34" t="str">
        <f t="shared" ref="L836" si="198">RIGHT(A836,5)</f>
        <v/>
      </c>
      <c r="M836" s="34" t="str">
        <f t="shared" si="185"/>
        <v/>
      </c>
      <c r="N836" s="34" t="str">
        <f t="shared" si="186"/>
        <v/>
      </c>
      <c r="O836" s="34" t="str">
        <f t="shared" si="187"/>
        <v/>
      </c>
      <c r="P836" s="34" t="str">
        <f t="shared" si="188"/>
        <v/>
      </c>
      <c r="Q836" s="34" t="str">
        <f t="shared" si="189"/>
        <v/>
      </c>
      <c r="R836" s="34" t="str">
        <f t="shared" si="190"/>
        <v/>
      </c>
      <c r="S836" s="34" t="str">
        <f t="shared" si="191"/>
        <v/>
      </c>
    </row>
    <row r="837" spans="12:19" x14ac:dyDescent="0.3">
      <c r="L837" s="34" t="str">
        <f t="shared" ref="L837" si="199">L836</f>
        <v/>
      </c>
      <c r="M837" s="34" t="str">
        <f t="shared" ref="M837:M900" si="200">IF(AND(L837="s.csv",A837=1),ABS(1000/12/D837),"")</f>
        <v/>
      </c>
      <c r="N837" s="34" t="str">
        <f t="shared" si="186"/>
        <v/>
      </c>
      <c r="O837" s="34" t="str">
        <f t="shared" si="187"/>
        <v/>
      </c>
      <c r="P837" s="34" t="str">
        <f t="shared" si="188"/>
        <v/>
      </c>
      <c r="Q837" s="34" t="str">
        <f t="shared" si="189"/>
        <v/>
      </c>
      <c r="R837" s="34" t="str">
        <f t="shared" si="190"/>
        <v/>
      </c>
      <c r="S837" s="34" t="str">
        <f t="shared" si="191"/>
        <v/>
      </c>
    </row>
    <row r="838" spans="12:19" x14ac:dyDescent="0.3">
      <c r="L838" s="34" t="str">
        <f t="shared" si="193"/>
        <v/>
      </c>
      <c r="M838" s="34" t="str">
        <f t="shared" si="200"/>
        <v/>
      </c>
      <c r="N838" s="34" t="str">
        <f t="shared" si="186"/>
        <v/>
      </c>
      <c r="O838" s="34" t="str">
        <f t="shared" si="187"/>
        <v/>
      </c>
      <c r="P838" s="34" t="str">
        <f t="shared" si="188"/>
        <v/>
      </c>
      <c r="Q838" s="34" t="str">
        <f t="shared" si="189"/>
        <v/>
      </c>
      <c r="R838" s="34" t="str">
        <f t="shared" si="190"/>
        <v/>
      </c>
      <c r="S838" s="34" t="str">
        <f t="shared" si="191"/>
        <v/>
      </c>
    </row>
    <row r="839" spans="12:19" x14ac:dyDescent="0.3">
      <c r="L839" s="34" t="str">
        <f t="shared" si="193"/>
        <v/>
      </c>
      <c r="M839" s="34" t="str">
        <f t="shared" si="200"/>
        <v/>
      </c>
      <c r="N839" s="34" t="str">
        <f t="shared" si="186"/>
        <v/>
      </c>
      <c r="O839" s="34" t="str">
        <f t="shared" si="187"/>
        <v/>
      </c>
      <c r="P839" s="34" t="str">
        <f t="shared" si="188"/>
        <v/>
      </c>
      <c r="Q839" s="34" t="str">
        <f t="shared" si="189"/>
        <v/>
      </c>
      <c r="R839" s="34" t="str">
        <f t="shared" si="190"/>
        <v/>
      </c>
      <c r="S839" s="34" t="str">
        <f t="shared" si="191"/>
        <v/>
      </c>
    </row>
    <row r="840" spans="12:19" x14ac:dyDescent="0.3">
      <c r="L840" s="34" t="str">
        <f t="shared" si="193"/>
        <v/>
      </c>
      <c r="M840" s="34" t="str">
        <f t="shared" si="200"/>
        <v/>
      </c>
      <c r="N840" s="34" t="str">
        <f t="shared" si="186"/>
        <v/>
      </c>
      <c r="O840" s="34" t="str">
        <f t="shared" si="187"/>
        <v/>
      </c>
      <c r="P840" s="34" t="str">
        <f t="shared" si="188"/>
        <v/>
      </c>
      <c r="Q840" s="34" t="str">
        <f t="shared" si="189"/>
        <v/>
      </c>
      <c r="R840" s="34" t="str">
        <f t="shared" si="190"/>
        <v/>
      </c>
      <c r="S840" s="34" t="str">
        <f t="shared" si="191"/>
        <v/>
      </c>
    </row>
    <row r="841" spans="12:19" x14ac:dyDescent="0.3">
      <c r="L841" s="34" t="str">
        <f t="shared" si="193"/>
        <v/>
      </c>
      <c r="M841" s="34" t="str">
        <f t="shared" si="200"/>
        <v/>
      </c>
      <c r="N841" s="34" t="str">
        <f t="shared" si="186"/>
        <v/>
      </c>
      <c r="O841" s="34" t="str">
        <f t="shared" si="187"/>
        <v/>
      </c>
      <c r="P841" s="34" t="str">
        <f t="shared" si="188"/>
        <v/>
      </c>
      <c r="Q841" s="34" t="str">
        <f t="shared" si="189"/>
        <v/>
      </c>
      <c r="R841" s="34" t="str">
        <f t="shared" si="190"/>
        <v/>
      </c>
      <c r="S841" s="34" t="str">
        <f t="shared" si="191"/>
        <v/>
      </c>
    </row>
    <row r="842" spans="12:19" x14ac:dyDescent="0.3">
      <c r="L842" s="34" t="str">
        <f t="shared" si="193"/>
        <v/>
      </c>
      <c r="M842" s="34" t="str">
        <f t="shared" si="200"/>
        <v/>
      </c>
      <c r="N842" s="34" t="str">
        <f t="shared" si="186"/>
        <v/>
      </c>
      <c r="O842" s="34" t="str">
        <f t="shared" si="187"/>
        <v/>
      </c>
      <c r="P842" s="34" t="str">
        <f t="shared" si="188"/>
        <v/>
      </c>
      <c r="Q842" s="34" t="str">
        <f t="shared" si="189"/>
        <v/>
      </c>
      <c r="R842" s="34" t="str">
        <f t="shared" si="190"/>
        <v/>
      </c>
      <c r="S842" s="34" t="str">
        <f t="shared" si="191"/>
        <v/>
      </c>
    </row>
    <row r="843" spans="12:19" x14ac:dyDescent="0.3">
      <c r="L843" s="34" t="str">
        <f t="shared" si="193"/>
        <v/>
      </c>
      <c r="M843" s="34" t="str">
        <f t="shared" si="200"/>
        <v/>
      </c>
      <c r="N843" s="34" t="str">
        <f t="shared" si="186"/>
        <v/>
      </c>
      <c r="O843" s="34" t="str">
        <f t="shared" si="187"/>
        <v/>
      </c>
      <c r="P843" s="34" t="str">
        <f t="shared" si="188"/>
        <v/>
      </c>
      <c r="Q843" s="34" t="str">
        <f t="shared" si="189"/>
        <v/>
      </c>
      <c r="R843" s="34" t="str">
        <f t="shared" si="190"/>
        <v/>
      </c>
      <c r="S843" s="34" t="str">
        <f t="shared" si="191"/>
        <v/>
      </c>
    </row>
    <row r="844" spans="12:19" x14ac:dyDescent="0.3">
      <c r="L844" s="34" t="str">
        <f t="shared" si="193"/>
        <v/>
      </c>
      <c r="M844" s="34" t="str">
        <f t="shared" si="200"/>
        <v/>
      </c>
      <c r="N844" s="34" t="str">
        <f t="shared" ref="N844:N907" si="201">IF(AND(OR($L844="l.csv",$L844="g.csv"),$E844&gt;4),F844,"")</f>
        <v/>
      </c>
      <c r="O844" s="34" t="str">
        <f t="shared" ref="O844:O907" si="202">IF(AND(OR($L844="l.csv",$L844="g.csv"),$E844&gt;4),G844,"")</f>
        <v/>
      </c>
      <c r="P844" s="34" t="str">
        <f t="shared" ref="P844:P907" si="203">IF(AND(OR($L844="l.csv",$L844="g.csv"),$E844&gt;4),H844,"")</f>
        <v/>
      </c>
      <c r="Q844" s="34" t="str">
        <f t="shared" ref="Q844:Q907" si="204">IF(AND(OR($L844="l.csv",$L844="g.csv"),$E844&gt;4),I844,"")</f>
        <v/>
      </c>
      <c r="R844" s="34" t="str">
        <f t="shared" ref="R844:R907" si="205">IF(AND(OR($L844="l.csv",$L844="g.csv"),$E844&gt;4),J844,"")</f>
        <v/>
      </c>
      <c r="S844" s="34" t="str">
        <f t="shared" ref="S844:S907" si="206">IF(AND(OR($L844="l.csv",$L844="g.csv"),$E844&gt;4),K844,"")</f>
        <v/>
      </c>
    </row>
    <row r="845" spans="12:19" x14ac:dyDescent="0.3">
      <c r="L845" s="34" t="str">
        <f t="shared" si="193"/>
        <v/>
      </c>
      <c r="M845" s="34" t="str">
        <f t="shared" si="200"/>
        <v/>
      </c>
      <c r="N845" s="34" t="str">
        <f t="shared" si="201"/>
        <v/>
      </c>
      <c r="O845" s="34" t="str">
        <f t="shared" si="202"/>
        <v/>
      </c>
      <c r="P845" s="34" t="str">
        <f t="shared" si="203"/>
        <v/>
      </c>
      <c r="Q845" s="34" t="str">
        <f t="shared" si="204"/>
        <v/>
      </c>
      <c r="R845" s="34" t="str">
        <f t="shared" si="205"/>
        <v/>
      </c>
      <c r="S845" s="34" t="str">
        <f t="shared" si="206"/>
        <v/>
      </c>
    </row>
    <row r="846" spans="12:19" x14ac:dyDescent="0.3">
      <c r="L846" s="34" t="str">
        <f t="shared" si="193"/>
        <v/>
      </c>
      <c r="M846" s="34" t="str">
        <f t="shared" si="200"/>
        <v/>
      </c>
      <c r="N846" s="34" t="str">
        <f t="shared" si="201"/>
        <v/>
      </c>
      <c r="O846" s="34" t="str">
        <f t="shared" si="202"/>
        <v/>
      </c>
      <c r="P846" s="34" t="str">
        <f t="shared" si="203"/>
        <v/>
      </c>
      <c r="Q846" s="34" t="str">
        <f t="shared" si="204"/>
        <v/>
      </c>
      <c r="R846" s="34" t="str">
        <f t="shared" si="205"/>
        <v/>
      </c>
      <c r="S846" s="34" t="str">
        <f t="shared" si="206"/>
        <v/>
      </c>
    </row>
    <row r="847" spans="12:19" x14ac:dyDescent="0.3">
      <c r="L847" s="34" t="str">
        <f t="shared" si="193"/>
        <v/>
      </c>
      <c r="M847" s="34" t="str">
        <f t="shared" si="200"/>
        <v/>
      </c>
      <c r="N847" s="34" t="str">
        <f t="shared" si="201"/>
        <v/>
      </c>
      <c r="O847" s="34" t="str">
        <f t="shared" si="202"/>
        <v/>
      </c>
      <c r="P847" s="34" t="str">
        <f t="shared" si="203"/>
        <v/>
      </c>
      <c r="Q847" s="34" t="str">
        <f t="shared" si="204"/>
        <v/>
      </c>
      <c r="R847" s="34" t="str">
        <f t="shared" si="205"/>
        <v/>
      </c>
      <c r="S847" s="34" t="str">
        <f t="shared" si="206"/>
        <v/>
      </c>
    </row>
    <row r="848" spans="12:19" x14ac:dyDescent="0.3">
      <c r="L848" s="34" t="str">
        <f t="shared" si="193"/>
        <v/>
      </c>
      <c r="M848" s="34" t="str">
        <f t="shared" si="200"/>
        <v/>
      </c>
      <c r="N848" s="34" t="str">
        <f t="shared" si="201"/>
        <v/>
      </c>
      <c r="O848" s="34" t="str">
        <f t="shared" si="202"/>
        <v/>
      </c>
      <c r="P848" s="34" t="str">
        <f t="shared" si="203"/>
        <v/>
      </c>
      <c r="Q848" s="34" t="str">
        <f t="shared" si="204"/>
        <v/>
      </c>
      <c r="R848" s="34" t="str">
        <f t="shared" si="205"/>
        <v/>
      </c>
      <c r="S848" s="34" t="str">
        <f t="shared" si="206"/>
        <v/>
      </c>
    </row>
    <row r="849" spans="12:19" x14ac:dyDescent="0.3">
      <c r="L849" s="34" t="str">
        <f t="shared" si="193"/>
        <v/>
      </c>
      <c r="M849" s="34" t="str">
        <f t="shared" si="200"/>
        <v/>
      </c>
      <c r="N849" s="34" t="str">
        <f t="shared" si="201"/>
        <v/>
      </c>
      <c r="O849" s="34" t="str">
        <f t="shared" si="202"/>
        <v/>
      </c>
      <c r="P849" s="34" t="str">
        <f t="shared" si="203"/>
        <v/>
      </c>
      <c r="Q849" s="34" t="str">
        <f t="shared" si="204"/>
        <v/>
      </c>
      <c r="R849" s="34" t="str">
        <f t="shared" si="205"/>
        <v/>
      </c>
      <c r="S849" s="34" t="str">
        <f t="shared" si="206"/>
        <v/>
      </c>
    </row>
    <row r="850" spans="12:19" x14ac:dyDescent="0.3">
      <c r="L850" s="34" t="str">
        <f t="shared" ref="L850:L913" si="207">L849</f>
        <v/>
      </c>
      <c r="M850" s="34" t="str">
        <f t="shared" si="200"/>
        <v/>
      </c>
      <c r="N850" s="34" t="str">
        <f t="shared" si="201"/>
        <v/>
      </c>
      <c r="O850" s="34" t="str">
        <f t="shared" si="202"/>
        <v/>
      </c>
      <c r="P850" s="34" t="str">
        <f t="shared" si="203"/>
        <v/>
      </c>
      <c r="Q850" s="34" t="str">
        <f t="shared" si="204"/>
        <v/>
      </c>
      <c r="R850" s="34" t="str">
        <f t="shared" si="205"/>
        <v/>
      </c>
      <c r="S850" s="34" t="str">
        <f t="shared" si="206"/>
        <v/>
      </c>
    </row>
    <row r="851" spans="12:19" x14ac:dyDescent="0.3">
      <c r="M851" s="34" t="str">
        <f t="shared" si="200"/>
        <v/>
      </c>
      <c r="N851" s="34" t="str">
        <f t="shared" si="201"/>
        <v/>
      </c>
      <c r="O851" s="34" t="str">
        <f t="shared" si="202"/>
        <v/>
      </c>
      <c r="P851" s="34" t="str">
        <f t="shared" si="203"/>
        <v/>
      </c>
      <c r="Q851" s="34" t="str">
        <f t="shared" si="204"/>
        <v/>
      </c>
      <c r="R851" s="34" t="str">
        <f t="shared" si="205"/>
        <v/>
      </c>
      <c r="S851" s="34" t="str">
        <f t="shared" si="206"/>
        <v/>
      </c>
    </row>
    <row r="852" spans="12:19" x14ac:dyDescent="0.3">
      <c r="M852" s="34" t="str">
        <f t="shared" si="200"/>
        <v/>
      </c>
      <c r="N852" s="34" t="str">
        <f t="shared" si="201"/>
        <v/>
      </c>
      <c r="O852" s="34" t="str">
        <f t="shared" si="202"/>
        <v/>
      </c>
      <c r="P852" s="34" t="str">
        <f t="shared" si="203"/>
        <v/>
      </c>
      <c r="Q852" s="34" t="str">
        <f t="shared" si="204"/>
        <v/>
      </c>
      <c r="R852" s="34" t="str">
        <f t="shared" si="205"/>
        <v/>
      </c>
      <c r="S852" s="34" t="str">
        <f t="shared" si="206"/>
        <v/>
      </c>
    </row>
    <row r="853" spans="12:19" x14ac:dyDescent="0.3">
      <c r="L853" s="34" t="str">
        <f t="shared" ref="L853" si="208">RIGHT(A853,5)</f>
        <v/>
      </c>
      <c r="M853" s="34" t="str">
        <f t="shared" si="200"/>
        <v/>
      </c>
      <c r="N853" s="34" t="str">
        <f t="shared" si="201"/>
        <v/>
      </c>
      <c r="O853" s="34" t="str">
        <f t="shared" si="202"/>
        <v/>
      </c>
      <c r="P853" s="34" t="str">
        <f t="shared" si="203"/>
        <v/>
      </c>
      <c r="Q853" s="34" t="str">
        <f t="shared" si="204"/>
        <v/>
      </c>
      <c r="R853" s="34" t="str">
        <f t="shared" si="205"/>
        <v/>
      </c>
      <c r="S853" s="34" t="str">
        <f t="shared" si="206"/>
        <v/>
      </c>
    </row>
    <row r="854" spans="12:19" x14ac:dyDescent="0.3">
      <c r="L854" s="34" t="str">
        <f t="shared" ref="L854" si="209">L853</f>
        <v/>
      </c>
      <c r="M854" s="34" t="str">
        <f t="shared" si="200"/>
        <v/>
      </c>
      <c r="N854" s="34" t="str">
        <f t="shared" si="201"/>
        <v/>
      </c>
      <c r="O854" s="34" t="str">
        <f t="shared" si="202"/>
        <v/>
      </c>
      <c r="P854" s="34" t="str">
        <f t="shared" si="203"/>
        <v/>
      </c>
      <c r="Q854" s="34" t="str">
        <f t="shared" si="204"/>
        <v/>
      </c>
      <c r="R854" s="34" t="str">
        <f t="shared" si="205"/>
        <v/>
      </c>
      <c r="S854" s="34" t="str">
        <f t="shared" si="206"/>
        <v/>
      </c>
    </row>
    <row r="855" spans="12:19" x14ac:dyDescent="0.3">
      <c r="L855" s="34" t="str">
        <f t="shared" si="207"/>
        <v/>
      </c>
      <c r="M855" s="34" t="str">
        <f t="shared" si="200"/>
        <v/>
      </c>
      <c r="N855" s="34" t="str">
        <f t="shared" si="201"/>
        <v/>
      </c>
      <c r="O855" s="34" t="str">
        <f t="shared" si="202"/>
        <v/>
      </c>
      <c r="P855" s="34" t="str">
        <f t="shared" si="203"/>
        <v/>
      </c>
      <c r="Q855" s="34" t="str">
        <f t="shared" si="204"/>
        <v/>
      </c>
      <c r="R855" s="34" t="str">
        <f t="shared" si="205"/>
        <v/>
      </c>
      <c r="S855" s="34" t="str">
        <f t="shared" si="206"/>
        <v/>
      </c>
    </row>
    <row r="856" spans="12:19" x14ac:dyDescent="0.3">
      <c r="L856" s="34" t="str">
        <f t="shared" si="207"/>
        <v/>
      </c>
      <c r="M856" s="34" t="str">
        <f t="shared" si="200"/>
        <v/>
      </c>
      <c r="N856" s="34" t="str">
        <f t="shared" si="201"/>
        <v/>
      </c>
      <c r="O856" s="34" t="str">
        <f t="shared" si="202"/>
        <v/>
      </c>
      <c r="P856" s="34" t="str">
        <f t="shared" si="203"/>
        <v/>
      </c>
      <c r="Q856" s="34" t="str">
        <f t="shared" si="204"/>
        <v/>
      </c>
      <c r="R856" s="34" t="str">
        <f t="shared" si="205"/>
        <v/>
      </c>
      <c r="S856" s="34" t="str">
        <f t="shared" si="206"/>
        <v/>
      </c>
    </row>
    <row r="857" spans="12:19" x14ac:dyDescent="0.3">
      <c r="L857" s="34" t="str">
        <f t="shared" si="207"/>
        <v/>
      </c>
      <c r="M857" s="34" t="str">
        <f t="shared" si="200"/>
        <v/>
      </c>
      <c r="N857" s="34" t="str">
        <f t="shared" si="201"/>
        <v/>
      </c>
      <c r="O857" s="34" t="str">
        <f t="shared" si="202"/>
        <v/>
      </c>
      <c r="P857" s="34" t="str">
        <f t="shared" si="203"/>
        <v/>
      </c>
      <c r="Q857" s="34" t="str">
        <f t="shared" si="204"/>
        <v/>
      </c>
      <c r="R857" s="34" t="str">
        <f t="shared" si="205"/>
        <v/>
      </c>
      <c r="S857" s="34" t="str">
        <f t="shared" si="206"/>
        <v/>
      </c>
    </row>
    <row r="858" spans="12:19" x14ac:dyDescent="0.3">
      <c r="L858" s="34" t="str">
        <f t="shared" si="207"/>
        <v/>
      </c>
      <c r="M858" s="34" t="str">
        <f t="shared" si="200"/>
        <v/>
      </c>
      <c r="N858" s="34" t="str">
        <f t="shared" si="201"/>
        <v/>
      </c>
      <c r="O858" s="34" t="str">
        <f t="shared" si="202"/>
        <v/>
      </c>
      <c r="P858" s="34" t="str">
        <f t="shared" si="203"/>
        <v/>
      </c>
      <c r="Q858" s="34" t="str">
        <f t="shared" si="204"/>
        <v/>
      </c>
      <c r="R858" s="34" t="str">
        <f t="shared" si="205"/>
        <v/>
      </c>
      <c r="S858" s="34" t="str">
        <f t="shared" si="206"/>
        <v/>
      </c>
    </row>
    <row r="859" spans="12:19" x14ac:dyDescent="0.3">
      <c r="L859" s="34" t="str">
        <f t="shared" si="207"/>
        <v/>
      </c>
      <c r="M859" s="34" t="str">
        <f t="shared" si="200"/>
        <v/>
      </c>
      <c r="N859" s="34" t="str">
        <f t="shared" si="201"/>
        <v/>
      </c>
      <c r="O859" s="34" t="str">
        <f t="shared" si="202"/>
        <v/>
      </c>
      <c r="P859" s="34" t="str">
        <f t="shared" si="203"/>
        <v/>
      </c>
      <c r="Q859" s="34" t="str">
        <f t="shared" si="204"/>
        <v/>
      </c>
      <c r="R859" s="34" t="str">
        <f t="shared" si="205"/>
        <v/>
      </c>
      <c r="S859" s="34" t="str">
        <f t="shared" si="206"/>
        <v/>
      </c>
    </row>
    <row r="860" spans="12:19" x14ac:dyDescent="0.3">
      <c r="L860" s="34" t="str">
        <f t="shared" si="207"/>
        <v/>
      </c>
      <c r="M860" s="34" t="str">
        <f t="shared" si="200"/>
        <v/>
      </c>
      <c r="N860" s="34" t="str">
        <f t="shared" si="201"/>
        <v/>
      </c>
      <c r="O860" s="34" t="str">
        <f t="shared" si="202"/>
        <v/>
      </c>
      <c r="P860" s="34" t="str">
        <f t="shared" si="203"/>
        <v/>
      </c>
      <c r="Q860" s="34" t="str">
        <f t="shared" si="204"/>
        <v/>
      </c>
      <c r="R860" s="34" t="str">
        <f t="shared" si="205"/>
        <v/>
      </c>
      <c r="S860" s="34" t="str">
        <f t="shared" si="206"/>
        <v/>
      </c>
    </row>
    <row r="861" spans="12:19" x14ac:dyDescent="0.3">
      <c r="L861" s="34" t="str">
        <f t="shared" si="207"/>
        <v/>
      </c>
      <c r="M861" s="34" t="str">
        <f t="shared" si="200"/>
        <v/>
      </c>
      <c r="N861" s="34" t="str">
        <f t="shared" si="201"/>
        <v/>
      </c>
      <c r="O861" s="34" t="str">
        <f t="shared" si="202"/>
        <v/>
      </c>
      <c r="P861" s="34" t="str">
        <f t="shared" si="203"/>
        <v/>
      </c>
      <c r="Q861" s="34" t="str">
        <f t="shared" si="204"/>
        <v/>
      </c>
      <c r="R861" s="34" t="str">
        <f t="shared" si="205"/>
        <v/>
      </c>
      <c r="S861" s="34" t="str">
        <f t="shared" si="206"/>
        <v/>
      </c>
    </row>
    <row r="862" spans="12:19" x14ac:dyDescent="0.3">
      <c r="L862" s="34" t="str">
        <f t="shared" si="207"/>
        <v/>
      </c>
      <c r="M862" s="34" t="str">
        <f t="shared" si="200"/>
        <v/>
      </c>
      <c r="N862" s="34" t="str">
        <f t="shared" si="201"/>
        <v/>
      </c>
      <c r="O862" s="34" t="str">
        <f t="shared" si="202"/>
        <v/>
      </c>
      <c r="P862" s="34" t="str">
        <f t="shared" si="203"/>
        <v/>
      </c>
      <c r="Q862" s="34" t="str">
        <f t="shared" si="204"/>
        <v/>
      </c>
      <c r="R862" s="34" t="str">
        <f t="shared" si="205"/>
        <v/>
      </c>
      <c r="S862" s="34" t="str">
        <f t="shared" si="206"/>
        <v/>
      </c>
    </row>
    <row r="863" spans="12:19" x14ac:dyDescent="0.3">
      <c r="L863" s="34" t="str">
        <f t="shared" si="207"/>
        <v/>
      </c>
      <c r="M863" s="34" t="str">
        <f t="shared" si="200"/>
        <v/>
      </c>
      <c r="N863" s="34" t="str">
        <f t="shared" si="201"/>
        <v/>
      </c>
      <c r="O863" s="34" t="str">
        <f t="shared" si="202"/>
        <v/>
      </c>
      <c r="P863" s="34" t="str">
        <f t="shared" si="203"/>
        <v/>
      </c>
      <c r="Q863" s="34" t="str">
        <f t="shared" si="204"/>
        <v/>
      </c>
      <c r="R863" s="34" t="str">
        <f t="shared" si="205"/>
        <v/>
      </c>
      <c r="S863" s="34" t="str">
        <f t="shared" si="206"/>
        <v/>
      </c>
    </row>
    <row r="864" spans="12:19" x14ac:dyDescent="0.3">
      <c r="L864" s="34" t="str">
        <f t="shared" si="207"/>
        <v/>
      </c>
      <c r="M864" s="34" t="str">
        <f t="shared" si="200"/>
        <v/>
      </c>
      <c r="N864" s="34" t="str">
        <f t="shared" si="201"/>
        <v/>
      </c>
      <c r="O864" s="34" t="str">
        <f t="shared" si="202"/>
        <v/>
      </c>
      <c r="P864" s="34" t="str">
        <f t="shared" si="203"/>
        <v/>
      </c>
      <c r="Q864" s="34" t="str">
        <f t="shared" si="204"/>
        <v/>
      </c>
      <c r="R864" s="34" t="str">
        <f t="shared" si="205"/>
        <v/>
      </c>
      <c r="S864" s="34" t="str">
        <f t="shared" si="206"/>
        <v/>
      </c>
    </row>
    <row r="865" spans="12:19" x14ac:dyDescent="0.3">
      <c r="L865" s="34" t="str">
        <f t="shared" si="207"/>
        <v/>
      </c>
      <c r="M865" s="34" t="str">
        <f t="shared" si="200"/>
        <v/>
      </c>
      <c r="N865" s="34" t="str">
        <f t="shared" si="201"/>
        <v/>
      </c>
      <c r="O865" s="34" t="str">
        <f t="shared" si="202"/>
        <v/>
      </c>
      <c r="P865" s="34" t="str">
        <f t="shared" si="203"/>
        <v/>
      </c>
      <c r="Q865" s="34" t="str">
        <f t="shared" si="204"/>
        <v/>
      </c>
      <c r="R865" s="34" t="str">
        <f t="shared" si="205"/>
        <v/>
      </c>
      <c r="S865" s="34" t="str">
        <f t="shared" si="206"/>
        <v/>
      </c>
    </row>
    <row r="866" spans="12:19" x14ac:dyDescent="0.3">
      <c r="L866" s="34" t="str">
        <f t="shared" si="207"/>
        <v/>
      </c>
      <c r="M866" s="34" t="str">
        <f t="shared" si="200"/>
        <v/>
      </c>
      <c r="N866" s="34" t="str">
        <f t="shared" si="201"/>
        <v/>
      </c>
      <c r="O866" s="34" t="str">
        <f t="shared" si="202"/>
        <v/>
      </c>
      <c r="P866" s="34" t="str">
        <f t="shared" si="203"/>
        <v/>
      </c>
      <c r="Q866" s="34" t="str">
        <f t="shared" si="204"/>
        <v/>
      </c>
      <c r="R866" s="34" t="str">
        <f t="shared" si="205"/>
        <v/>
      </c>
      <c r="S866" s="34" t="str">
        <f t="shared" si="206"/>
        <v/>
      </c>
    </row>
    <row r="867" spans="12:19" x14ac:dyDescent="0.3">
      <c r="L867" s="34" t="str">
        <f t="shared" si="207"/>
        <v/>
      </c>
      <c r="M867" s="34" t="str">
        <f t="shared" si="200"/>
        <v/>
      </c>
      <c r="N867" s="34" t="str">
        <f t="shared" si="201"/>
        <v/>
      </c>
      <c r="O867" s="34" t="str">
        <f t="shared" si="202"/>
        <v/>
      </c>
      <c r="P867" s="34" t="str">
        <f t="shared" si="203"/>
        <v/>
      </c>
      <c r="Q867" s="34" t="str">
        <f t="shared" si="204"/>
        <v/>
      </c>
      <c r="R867" s="34" t="str">
        <f t="shared" si="205"/>
        <v/>
      </c>
      <c r="S867" s="34" t="str">
        <f t="shared" si="206"/>
        <v/>
      </c>
    </row>
    <row r="868" spans="12:19" x14ac:dyDescent="0.3">
      <c r="M868" s="34" t="str">
        <f t="shared" si="200"/>
        <v/>
      </c>
      <c r="N868" s="34" t="str">
        <f t="shared" si="201"/>
        <v/>
      </c>
      <c r="O868" s="34" t="str">
        <f t="shared" si="202"/>
        <v/>
      </c>
      <c r="P868" s="34" t="str">
        <f t="shared" si="203"/>
        <v/>
      </c>
      <c r="Q868" s="34" t="str">
        <f t="shared" si="204"/>
        <v/>
      </c>
      <c r="R868" s="34" t="str">
        <f t="shared" si="205"/>
        <v/>
      </c>
      <c r="S868" s="34" t="str">
        <f t="shared" si="206"/>
        <v/>
      </c>
    </row>
    <row r="869" spans="12:19" x14ac:dyDescent="0.3">
      <c r="M869" s="34" t="str">
        <f t="shared" si="200"/>
        <v/>
      </c>
      <c r="N869" s="34" t="str">
        <f t="shared" si="201"/>
        <v/>
      </c>
      <c r="O869" s="34" t="str">
        <f t="shared" si="202"/>
        <v/>
      </c>
      <c r="P869" s="34" t="str">
        <f t="shared" si="203"/>
        <v/>
      </c>
      <c r="Q869" s="34" t="str">
        <f t="shared" si="204"/>
        <v/>
      </c>
      <c r="R869" s="34" t="str">
        <f t="shared" si="205"/>
        <v/>
      </c>
      <c r="S869" s="34" t="str">
        <f t="shared" si="206"/>
        <v/>
      </c>
    </row>
    <row r="870" spans="12:19" x14ac:dyDescent="0.3">
      <c r="L870" s="34" t="str">
        <f t="shared" ref="L870" si="210">RIGHT(A870,5)</f>
        <v/>
      </c>
      <c r="M870" s="34" t="str">
        <f t="shared" si="200"/>
        <v/>
      </c>
      <c r="N870" s="34" t="str">
        <f t="shared" si="201"/>
        <v/>
      </c>
      <c r="O870" s="34" t="str">
        <f t="shared" si="202"/>
        <v/>
      </c>
      <c r="P870" s="34" t="str">
        <f t="shared" si="203"/>
        <v/>
      </c>
      <c r="Q870" s="34" t="str">
        <f t="shared" si="204"/>
        <v/>
      </c>
      <c r="R870" s="34" t="str">
        <f t="shared" si="205"/>
        <v/>
      </c>
      <c r="S870" s="34" t="str">
        <f t="shared" si="206"/>
        <v/>
      </c>
    </row>
    <row r="871" spans="12:19" x14ac:dyDescent="0.3">
      <c r="L871" s="34" t="str">
        <f t="shared" ref="L871" si="211">L870</f>
        <v/>
      </c>
      <c r="M871" s="34" t="str">
        <f t="shared" si="200"/>
        <v/>
      </c>
      <c r="N871" s="34" t="str">
        <f t="shared" si="201"/>
        <v/>
      </c>
      <c r="O871" s="34" t="str">
        <f t="shared" si="202"/>
        <v/>
      </c>
      <c r="P871" s="34" t="str">
        <f t="shared" si="203"/>
        <v/>
      </c>
      <c r="Q871" s="34" t="str">
        <f t="shared" si="204"/>
        <v/>
      </c>
      <c r="R871" s="34" t="str">
        <f t="shared" si="205"/>
        <v/>
      </c>
      <c r="S871" s="34" t="str">
        <f t="shared" si="206"/>
        <v/>
      </c>
    </row>
    <row r="872" spans="12:19" x14ac:dyDescent="0.3">
      <c r="L872" s="34" t="str">
        <f t="shared" si="207"/>
        <v/>
      </c>
      <c r="M872" s="34" t="str">
        <f t="shared" si="200"/>
        <v/>
      </c>
      <c r="N872" s="34" t="str">
        <f t="shared" si="201"/>
        <v/>
      </c>
      <c r="O872" s="34" t="str">
        <f t="shared" si="202"/>
        <v/>
      </c>
      <c r="P872" s="34" t="str">
        <f t="shared" si="203"/>
        <v/>
      </c>
      <c r="Q872" s="34" t="str">
        <f t="shared" si="204"/>
        <v/>
      </c>
      <c r="R872" s="34" t="str">
        <f t="shared" si="205"/>
        <v/>
      </c>
      <c r="S872" s="34" t="str">
        <f t="shared" si="206"/>
        <v/>
      </c>
    </row>
    <row r="873" spans="12:19" x14ac:dyDescent="0.3">
      <c r="L873" s="34" t="str">
        <f t="shared" si="207"/>
        <v/>
      </c>
      <c r="M873" s="34" t="str">
        <f t="shared" si="200"/>
        <v/>
      </c>
      <c r="N873" s="34" t="str">
        <f t="shared" si="201"/>
        <v/>
      </c>
      <c r="O873" s="34" t="str">
        <f t="shared" si="202"/>
        <v/>
      </c>
      <c r="P873" s="34" t="str">
        <f t="shared" si="203"/>
        <v/>
      </c>
      <c r="Q873" s="34" t="str">
        <f t="shared" si="204"/>
        <v/>
      </c>
      <c r="R873" s="34" t="str">
        <f t="shared" si="205"/>
        <v/>
      </c>
      <c r="S873" s="34" t="str">
        <f t="shared" si="206"/>
        <v/>
      </c>
    </row>
    <row r="874" spans="12:19" x14ac:dyDescent="0.3">
      <c r="L874" s="34" t="str">
        <f t="shared" si="207"/>
        <v/>
      </c>
      <c r="M874" s="34" t="str">
        <f t="shared" si="200"/>
        <v/>
      </c>
      <c r="N874" s="34" t="str">
        <f t="shared" si="201"/>
        <v/>
      </c>
      <c r="O874" s="34" t="str">
        <f t="shared" si="202"/>
        <v/>
      </c>
      <c r="P874" s="34" t="str">
        <f t="shared" si="203"/>
        <v/>
      </c>
      <c r="Q874" s="34" t="str">
        <f t="shared" si="204"/>
        <v/>
      </c>
      <c r="R874" s="34" t="str">
        <f t="shared" si="205"/>
        <v/>
      </c>
      <c r="S874" s="34" t="str">
        <f t="shared" si="206"/>
        <v/>
      </c>
    </row>
    <row r="875" spans="12:19" x14ac:dyDescent="0.3">
      <c r="L875" s="34" t="str">
        <f t="shared" si="207"/>
        <v/>
      </c>
      <c r="M875" s="34" t="str">
        <f t="shared" si="200"/>
        <v/>
      </c>
      <c r="N875" s="34" t="str">
        <f t="shared" si="201"/>
        <v/>
      </c>
      <c r="O875" s="34" t="str">
        <f t="shared" si="202"/>
        <v/>
      </c>
      <c r="P875" s="34" t="str">
        <f t="shared" si="203"/>
        <v/>
      </c>
      <c r="Q875" s="34" t="str">
        <f t="shared" si="204"/>
        <v/>
      </c>
      <c r="R875" s="34" t="str">
        <f t="shared" si="205"/>
        <v/>
      </c>
      <c r="S875" s="34" t="str">
        <f t="shared" si="206"/>
        <v/>
      </c>
    </row>
    <row r="876" spans="12:19" x14ac:dyDescent="0.3">
      <c r="L876" s="34" t="str">
        <f t="shared" si="207"/>
        <v/>
      </c>
      <c r="M876" s="34" t="str">
        <f t="shared" si="200"/>
        <v/>
      </c>
      <c r="N876" s="34" t="str">
        <f t="shared" si="201"/>
        <v/>
      </c>
      <c r="O876" s="34" t="str">
        <f t="shared" si="202"/>
        <v/>
      </c>
      <c r="P876" s="34" t="str">
        <f t="shared" si="203"/>
        <v/>
      </c>
      <c r="Q876" s="34" t="str">
        <f t="shared" si="204"/>
        <v/>
      </c>
      <c r="R876" s="34" t="str">
        <f t="shared" si="205"/>
        <v/>
      </c>
      <c r="S876" s="34" t="str">
        <f t="shared" si="206"/>
        <v/>
      </c>
    </row>
    <row r="877" spans="12:19" x14ac:dyDescent="0.3">
      <c r="L877" s="34" t="str">
        <f t="shared" si="207"/>
        <v/>
      </c>
      <c r="M877" s="34" t="str">
        <f t="shared" si="200"/>
        <v/>
      </c>
      <c r="N877" s="34" t="str">
        <f t="shared" si="201"/>
        <v/>
      </c>
      <c r="O877" s="34" t="str">
        <f t="shared" si="202"/>
        <v/>
      </c>
      <c r="P877" s="34" t="str">
        <f t="shared" si="203"/>
        <v/>
      </c>
      <c r="Q877" s="34" t="str">
        <f t="shared" si="204"/>
        <v/>
      </c>
      <c r="R877" s="34" t="str">
        <f t="shared" si="205"/>
        <v/>
      </c>
      <c r="S877" s="34" t="str">
        <f t="shared" si="206"/>
        <v/>
      </c>
    </row>
    <row r="878" spans="12:19" x14ac:dyDescent="0.3">
      <c r="L878" s="34" t="str">
        <f t="shared" si="207"/>
        <v/>
      </c>
      <c r="M878" s="34" t="str">
        <f t="shared" si="200"/>
        <v/>
      </c>
      <c r="N878" s="34" t="str">
        <f t="shared" si="201"/>
        <v/>
      </c>
      <c r="O878" s="34" t="str">
        <f t="shared" si="202"/>
        <v/>
      </c>
      <c r="P878" s="34" t="str">
        <f t="shared" si="203"/>
        <v/>
      </c>
      <c r="Q878" s="34" t="str">
        <f t="shared" si="204"/>
        <v/>
      </c>
      <c r="R878" s="34" t="str">
        <f t="shared" si="205"/>
        <v/>
      </c>
      <c r="S878" s="34" t="str">
        <f t="shared" si="206"/>
        <v/>
      </c>
    </row>
    <row r="879" spans="12:19" x14ac:dyDescent="0.3">
      <c r="L879" s="34" t="str">
        <f t="shared" si="207"/>
        <v/>
      </c>
      <c r="M879" s="34" t="str">
        <f t="shared" si="200"/>
        <v/>
      </c>
      <c r="N879" s="34" t="str">
        <f t="shared" si="201"/>
        <v/>
      </c>
      <c r="O879" s="34" t="str">
        <f t="shared" si="202"/>
        <v/>
      </c>
      <c r="P879" s="34" t="str">
        <f t="shared" si="203"/>
        <v/>
      </c>
      <c r="Q879" s="34" t="str">
        <f t="shared" si="204"/>
        <v/>
      </c>
      <c r="R879" s="34" t="str">
        <f t="shared" si="205"/>
        <v/>
      </c>
      <c r="S879" s="34" t="str">
        <f t="shared" si="206"/>
        <v/>
      </c>
    </row>
    <row r="880" spans="12:19" x14ac:dyDescent="0.3">
      <c r="L880" s="34" t="str">
        <f t="shared" si="207"/>
        <v/>
      </c>
      <c r="M880" s="34" t="str">
        <f t="shared" si="200"/>
        <v/>
      </c>
      <c r="N880" s="34" t="str">
        <f t="shared" si="201"/>
        <v/>
      </c>
      <c r="O880" s="34" t="str">
        <f t="shared" si="202"/>
        <v/>
      </c>
      <c r="P880" s="34" t="str">
        <f t="shared" si="203"/>
        <v/>
      </c>
      <c r="Q880" s="34" t="str">
        <f t="shared" si="204"/>
        <v/>
      </c>
      <c r="R880" s="34" t="str">
        <f t="shared" si="205"/>
        <v/>
      </c>
      <c r="S880" s="34" t="str">
        <f t="shared" si="206"/>
        <v/>
      </c>
    </row>
    <row r="881" spans="12:19" x14ac:dyDescent="0.3">
      <c r="L881" s="34" t="str">
        <f t="shared" si="207"/>
        <v/>
      </c>
      <c r="M881" s="34" t="str">
        <f t="shared" si="200"/>
        <v/>
      </c>
      <c r="N881" s="34" t="str">
        <f t="shared" si="201"/>
        <v/>
      </c>
      <c r="O881" s="34" t="str">
        <f t="shared" si="202"/>
        <v/>
      </c>
      <c r="P881" s="34" t="str">
        <f t="shared" si="203"/>
        <v/>
      </c>
      <c r="Q881" s="34" t="str">
        <f t="shared" si="204"/>
        <v/>
      </c>
      <c r="R881" s="34" t="str">
        <f t="shared" si="205"/>
        <v/>
      </c>
      <c r="S881" s="34" t="str">
        <f t="shared" si="206"/>
        <v/>
      </c>
    </row>
    <row r="882" spans="12:19" x14ac:dyDescent="0.3">
      <c r="L882" s="34" t="str">
        <f t="shared" si="207"/>
        <v/>
      </c>
      <c r="M882" s="34" t="str">
        <f t="shared" si="200"/>
        <v/>
      </c>
      <c r="N882" s="34" t="str">
        <f t="shared" si="201"/>
        <v/>
      </c>
      <c r="O882" s="34" t="str">
        <f t="shared" si="202"/>
        <v/>
      </c>
      <c r="P882" s="34" t="str">
        <f t="shared" si="203"/>
        <v/>
      </c>
      <c r="Q882" s="34" t="str">
        <f t="shared" si="204"/>
        <v/>
      </c>
      <c r="R882" s="34" t="str">
        <f t="shared" si="205"/>
        <v/>
      </c>
      <c r="S882" s="34" t="str">
        <f t="shared" si="206"/>
        <v/>
      </c>
    </row>
    <row r="883" spans="12:19" x14ac:dyDescent="0.3">
      <c r="L883" s="34" t="str">
        <f t="shared" si="207"/>
        <v/>
      </c>
      <c r="M883" s="34" t="str">
        <f t="shared" si="200"/>
        <v/>
      </c>
      <c r="N883" s="34" t="str">
        <f t="shared" si="201"/>
        <v/>
      </c>
      <c r="O883" s="34" t="str">
        <f t="shared" si="202"/>
        <v/>
      </c>
      <c r="P883" s="34" t="str">
        <f t="shared" si="203"/>
        <v/>
      </c>
      <c r="Q883" s="34" t="str">
        <f t="shared" si="204"/>
        <v/>
      </c>
      <c r="R883" s="34" t="str">
        <f t="shared" si="205"/>
        <v/>
      </c>
      <c r="S883" s="34" t="str">
        <f t="shared" si="206"/>
        <v/>
      </c>
    </row>
    <row r="884" spans="12:19" x14ac:dyDescent="0.3">
      <c r="L884" s="34" t="str">
        <f t="shared" si="207"/>
        <v/>
      </c>
      <c r="M884" s="34" t="str">
        <f t="shared" si="200"/>
        <v/>
      </c>
      <c r="N884" s="34" t="str">
        <f t="shared" si="201"/>
        <v/>
      </c>
      <c r="O884" s="34" t="str">
        <f t="shared" si="202"/>
        <v/>
      </c>
      <c r="P884" s="34" t="str">
        <f t="shared" si="203"/>
        <v/>
      </c>
      <c r="Q884" s="34" t="str">
        <f t="shared" si="204"/>
        <v/>
      </c>
      <c r="R884" s="34" t="str">
        <f t="shared" si="205"/>
        <v/>
      </c>
      <c r="S884" s="34" t="str">
        <f t="shared" si="206"/>
        <v/>
      </c>
    </row>
    <row r="885" spans="12:19" x14ac:dyDescent="0.3">
      <c r="M885" s="34" t="str">
        <f t="shared" si="200"/>
        <v/>
      </c>
      <c r="N885" s="34" t="str">
        <f t="shared" si="201"/>
        <v/>
      </c>
      <c r="O885" s="34" t="str">
        <f t="shared" si="202"/>
        <v/>
      </c>
      <c r="P885" s="34" t="str">
        <f t="shared" si="203"/>
        <v/>
      </c>
      <c r="Q885" s="34" t="str">
        <f t="shared" si="204"/>
        <v/>
      </c>
      <c r="R885" s="34" t="str">
        <f t="shared" si="205"/>
        <v/>
      </c>
      <c r="S885" s="34" t="str">
        <f t="shared" si="206"/>
        <v/>
      </c>
    </row>
    <row r="886" spans="12:19" x14ac:dyDescent="0.3">
      <c r="M886" s="34" t="str">
        <f t="shared" si="200"/>
        <v/>
      </c>
      <c r="N886" s="34" t="str">
        <f t="shared" si="201"/>
        <v/>
      </c>
      <c r="O886" s="34" t="str">
        <f t="shared" si="202"/>
        <v/>
      </c>
      <c r="P886" s="34" t="str">
        <f t="shared" si="203"/>
        <v/>
      </c>
      <c r="Q886" s="34" t="str">
        <f t="shared" si="204"/>
        <v/>
      </c>
      <c r="R886" s="34" t="str">
        <f t="shared" si="205"/>
        <v/>
      </c>
      <c r="S886" s="34" t="str">
        <f t="shared" si="206"/>
        <v/>
      </c>
    </row>
    <row r="887" spans="12:19" x14ac:dyDescent="0.3">
      <c r="L887" s="34" t="str">
        <f t="shared" ref="L887" si="212">RIGHT(A887,5)</f>
        <v/>
      </c>
      <c r="M887" s="34" t="str">
        <f t="shared" si="200"/>
        <v/>
      </c>
      <c r="N887" s="34" t="str">
        <f t="shared" si="201"/>
        <v/>
      </c>
      <c r="O887" s="34" t="str">
        <f t="shared" si="202"/>
        <v/>
      </c>
      <c r="P887" s="34" t="str">
        <f t="shared" si="203"/>
        <v/>
      </c>
      <c r="Q887" s="34" t="str">
        <f t="shared" si="204"/>
        <v/>
      </c>
      <c r="R887" s="34" t="str">
        <f t="shared" si="205"/>
        <v/>
      </c>
      <c r="S887" s="34" t="str">
        <f t="shared" si="206"/>
        <v/>
      </c>
    </row>
    <row r="888" spans="12:19" x14ac:dyDescent="0.3">
      <c r="L888" s="34" t="str">
        <f t="shared" ref="L888" si="213">L887</f>
        <v/>
      </c>
      <c r="M888" s="34" t="str">
        <f t="shared" si="200"/>
        <v/>
      </c>
      <c r="N888" s="34" t="str">
        <f t="shared" si="201"/>
        <v/>
      </c>
      <c r="O888" s="34" t="str">
        <f t="shared" si="202"/>
        <v/>
      </c>
      <c r="P888" s="34" t="str">
        <f t="shared" si="203"/>
        <v/>
      </c>
      <c r="Q888" s="34" t="str">
        <f t="shared" si="204"/>
        <v/>
      </c>
      <c r="R888" s="34" t="str">
        <f t="shared" si="205"/>
        <v/>
      </c>
      <c r="S888" s="34" t="str">
        <f t="shared" si="206"/>
        <v/>
      </c>
    </row>
    <row r="889" spans="12:19" x14ac:dyDescent="0.3">
      <c r="L889" s="34" t="str">
        <f t="shared" si="207"/>
        <v/>
      </c>
      <c r="M889" s="34" t="str">
        <f t="shared" si="200"/>
        <v/>
      </c>
      <c r="N889" s="34" t="str">
        <f t="shared" si="201"/>
        <v/>
      </c>
      <c r="O889" s="34" t="str">
        <f t="shared" si="202"/>
        <v/>
      </c>
      <c r="P889" s="34" t="str">
        <f t="shared" si="203"/>
        <v/>
      </c>
      <c r="Q889" s="34" t="str">
        <f t="shared" si="204"/>
        <v/>
      </c>
      <c r="R889" s="34" t="str">
        <f t="shared" si="205"/>
        <v/>
      </c>
      <c r="S889" s="34" t="str">
        <f t="shared" si="206"/>
        <v/>
      </c>
    </row>
    <row r="890" spans="12:19" x14ac:dyDescent="0.3">
      <c r="L890" s="34" t="str">
        <f t="shared" si="207"/>
        <v/>
      </c>
      <c r="M890" s="34" t="str">
        <f t="shared" si="200"/>
        <v/>
      </c>
      <c r="N890" s="34" t="str">
        <f t="shared" si="201"/>
        <v/>
      </c>
      <c r="O890" s="34" t="str">
        <f t="shared" si="202"/>
        <v/>
      </c>
      <c r="P890" s="34" t="str">
        <f t="shared" si="203"/>
        <v/>
      </c>
      <c r="Q890" s="34" t="str">
        <f t="shared" si="204"/>
        <v/>
      </c>
      <c r="R890" s="34" t="str">
        <f t="shared" si="205"/>
        <v/>
      </c>
      <c r="S890" s="34" t="str">
        <f t="shared" si="206"/>
        <v/>
      </c>
    </row>
    <row r="891" spans="12:19" x14ac:dyDescent="0.3">
      <c r="L891" s="34" t="str">
        <f t="shared" si="207"/>
        <v/>
      </c>
      <c r="M891" s="34" t="str">
        <f t="shared" si="200"/>
        <v/>
      </c>
      <c r="N891" s="34" t="str">
        <f t="shared" si="201"/>
        <v/>
      </c>
      <c r="O891" s="34" t="str">
        <f t="shared" si="202"/>
        <v/>
      </c>
      <c r="P891" s="34" t="str">
        <f t="shared" si="203"/>
        <v/>
      </c>
      <c r="Q891" s="34" t="str">
        <f t="shared" si="204"/>
        <v/>
      </c>
      <c r="R891" s="34" t="str">
        <f t="shared" si="205"/>
        <v/>
      </c>
      <c r="S891" s="34" t="str">
        <f t="shared" si="206"/>
        <v/>
      </c>
    </row>
    <row r="892" spans="12:19" x14ac:dyDescent="0.3">
      <c r="L892" s="34" t="str">
        <f t="shared" si="207"/>
        <v/>
      </c>
      <c r="M892" s="34" t="str">
        <f t="shared" si="200"/>
        <v/>
      </c>
      <c r="N892" s="34" t="str">
        <f t="shared" si="201"/>
        <v/>
      </c>
      <c r="O892" s="34" t="str">
        <f t="shared" si="202"/>
        <v/>
      </c>
      <c r="P892" s="34" t="str">
        <f t="shared" si="203"/>
        <v/>
      </c>
      <c r="Q892" s="34" t="str">
        <f t="shared" si="204"/>
        <v/>
      </c>
      <c r="R892" s="34" t="str">
        <f t="shared" si="205"/>
        <v/>
      </c>
      <c r="S892" s="34" t="str">
        <f t="shared" si="206"/>
        <v/>
      </c>
    </row>
    <row r="893" spans="12:19" x14ac:dyDescent="0.3">
      <c r="L893" s="34" t="str">
        <f t="shared" si="207"/>
        <v/>
      </c>
      <c r="M893" s="34" t="str">
        <f t="shared" si="200"/>
        <v/>
      </c>
      <c r="N893" s="34" t="str">
        <f t="shared" si="201"/>
        <v/>
      </c>
      <c r="O893" s="34" t="str">
        <f t="shared" si="202"/>
        <v/>
      </c>
      <c r="P893" s="34" t="str">
        <f t="shared" si="203"/>
        <v/>
      </c>
      <c r="Q893" s="34" t="str">
        <f t="shared" si="204"/>
        <v/>
      </c>
      <c r="R893" s="34" t="str">
        <f t="shared" si="205"/>
        <v/>
      </c>
      <c r="S893" s="34" t="str">
        <f t="shared" si="206"/>
        <v/>
      </c>
    </row>
    <row r="894" spans="12:19" x14ac:dyDescent="0.3">
      <c r="L894" s="34" t="str">
        <f t="shared" si="207"/>
        <v/>
      </c>
      <c r="M894" s="34" t="str">
        <f t="shared" si="200"/>
        <v/>
      </c>
      <c r="N894" s="34" t="str">
        <f t="shared" si="201"/>
        <v/>
      </c>
      <c r="O894" s="34" t="str">
        <f t="shared" si="202"/>
        <v/>
      </c>
      <c r="P894" s="34" t="str">
        <f t="shared" si="203"/>
        <v/>
      </c>
      <c r="Q894" s="34" t="str">
        <f t="shared" si="204"/>
        <v/>
      </c>
      <c r="R894" s="34" t="str">
        <f t="shared" si="205"/>
        <v/>
      </c>
      <c r="S894" s="34" t="str">
        <f t="shared" si="206"/>
        <v/>
      </c>
    </row>
    <row r="895" spans="12:19" x14ac:dyDescent="0.3">
      <c r="L895" s="34" t="str">
        <f t="shared" si="207"/>
        <v/>
      </c>
      <c r="M895" s="34" t="str">
        <f t="shared" si="200"/>
        <v/>
      </c>
      <c r="N895" s="34" t="str">
        <f t="shared" si="201"/>
        <v/>
      </c>
      <c r="O895" s="34" t="str">
        <f t="shared" si="202"/>
        <v/>
      </c>
      <c r="P895" s="34" t="str">
        <f t="shared" si="203"/>
        <v/>
      </c>
      <c r="Q895" s="34" t="str">
        <f t="shared" si="204"/>
        <v/>
      </c>
      <c r="R895" s="34" t="str">
        <f t="shared" si="205"/>
        <v/>
      </c>
      <c r="S895" s="34" t="str">
        <f t="shared" si="206"/>
        <v/>
      </c>
    </row>
    <row r="896" spans="12:19" x14ac:dyDescent="0.3">
      <c r="L896" s="34" t="str">
        <f t="shared" si="207"/>
        <v/>
      </c>
      <c r="M896" s="34" t="str">
        <f t="shared" si="200"/>
        <v/>
      </c>
      <c r="N896" s="34" t="str">
        <f t="shared" si="201"/>
        <v/>
      </c>
      <c r="O896" s="34" t="str">
        <f t="shared" si="202"/>
        <v/>
      </c>
      <c r="P896" s="34" t="str">
        <f t="shared" si="203"/>
        <v/>
      </c>
      <c r="Q896" s="34" t="str">
        <f t="shared" si="204"/>
        <v/>
      </c>
      <c r="R896" s="34" t="str">
        <f t="shared" si="205"/>
        <v/>
      </c>
      <c r="S896" s="34" t="str">
        <f t="shared" si="206"/>
        <v/>
      </c>
    </row>
    <row r="897" spans="12:19" x14ac:dyDescent="0.3">
      <c r="L897" s="34" t="str">
        <f t="shared" si="207"/>
        <v/>
      </c>
      <c r="M897" s="34" t="str">
        <f t="shared" si="200"/>
        <v/>
      </c>
      <c r="N897" s="34" t="str">
        <f t="shared" si="201"/>
        <v/>
      </c>
      <c r="O897" s="34" t="str">
        <f t="shared" si="202"/>
        <v/>
      </c>
      <c r="P897" s="34" t="str">
        <f t="shared" si="203"/>
        <v/>
      </c>
      <c r="Q897" s="34" t="str">
        <f t="shared" si="204"/>
        <v/>
      </c>
      <c r="R897" s="34" t="str">
        <f t="shared" si="205"/>
        <v/>
      </c>
      <c r="S897" s="34" t="str">
        <f t="shared" si="206"/>
        <v/>
      </c>
    </row>
    <row r="898" spans="12:19" x14ac:dyDescent="0.3">
      <c r="L898" s="34" t="str">
        <f t="shared" si="207"/>
        <v/>
      </c>
      <c r="M898" s="34" t="str">
        <f t="shared" si="200"/>
        <v/>
      </c>
      <c r="N898" s="34" t="str">
        <f t="shared" si="201"/>
        <v/>
      </c>
      <c r="O898" s="34" t="str">
        <f t="shared" si="202"/>
        <v/>
      </c>
      <c r="P898" s="34" t="str">
        <f t="shared" si="203"/>
        <v/>
      </c>
      <c r="Q898" s="34" t="str">
        <f t="shared" si="204"/>
        <v/>
      </c>
      <c r="R898" s="34" t="str">
        <f t="shared" si="205"/>
        <v/>
      </c>
      <c r="S898" s="34" t="str">
        <f t="shared" si="206"/>
        <v/>
      </c>
    </row>
    <row r="899" spans="12:19" x14ac:dyDescent="0.3">
      <c r="L899" s="34" t="str">
        <f t="shared" si="207"/>
        <v/>
      </c>
      <c r="M899" s="34" t="str">
        <f t="shared" si="200"/>
        <v/>
      </c>
      <c r="N899" s="34" t="str">
        <f t="shared" si="201"/>
        <v/>
      </c>
      <c r="O899" s="34" t="str">
        <f t="shared" si="202"/>
        <v/>
      </c>
      <c r="P899" s="34" t="str">
        <f t="shared" si="203"/>
        <v/>
      </c>
      <c r="Q899" s="34" t="str">
        <f t="shared" si="204"/>
        <v/>
      </c>
      <c r="R899" s="34" t="str">
        <f t="shared" si="205"/>
        <v/>
      </c>
      <c r="S899" s="34" t="str">
        <f t="shared" si="206"/>
        <v/>
      </c>
    </row>
    <row r="900" spans="12:19" x14ac:dyDescent="0.3">
      <c r="L900" s="34" t="str">
        <f t="shared" si="207"/>
        <v/>
      </c>
      <c r="M900" s="34" t="str">
        <f t="shared" si="200"/>
        <v/>
      </c>
      <c r="N900" s="34" t="str">
        <f t="shared" si="201"/>
        <v/>
      </c>
      <c r="O900" s="34" t="str">
        <f t="shared" si="202"/>
        <v/>
      </c>
      <c r="P900" s="34" t="str">
        <f t="shared" si="203"/>
        <v/>
      </c>
      <c r="Q900" s="34" t="str">
        <f t="shared" si="204"/>
        <v/>
      </c>
      <c r="R900" s="34" t="str">
        <f t="shared" si="205"/>
        <v/>
      </c>
      <c r="S900" s="34" t="str">
        <f t="shared" si="206"/>
        <v/>
      </c>
    </row>
    <row r="901" spans="12:19" x14ac:dyDescent="0.3">
      <c r="L901" s="34" t="str">
        <f t="shared" si="207"/>
        <v/>
      </c>
      <c r="M901" s="34" t="str">
        <f t="shared" ref="M901:M964" si="214">IF(AND(L901="s.csv",A901=1),ABS(1000/12/D901),"")</f>
        <v/>
      </c>
      <c r="N901" s="34" t="str">
        <f t="shared" si="201"/>
        <v/>
      </c>
      <c r="O901" s="34" t="str">
        <f t="shared" si="202"/>
        <v/>
      </c>
      <c r="P901" s="34" t="str">
        <f t="shared" si="203"/>
        <v/>
      </c>
      <c r="Q901" s="34" t="str">
        <f t="shared" si="204"/>
        <v/>
      </c>
      <c r="R901" s="34" t="str">
        <f t="shared" si="205"/>
        <v/>
      </c>
      <c r="S901" s="34" t="str">
        <f t="shared" si="206"/>
        <v/>
      </c>
    </row>
    <row r="902" spans="12:19" x14ac:dyDescent="0.3">
      <c r="M902" s="34" t="str">
        <f t="shared" si="214"/>
        <v/>
      </c>
      <c r="N902" s="34" t="str">
        <f t="shared" si="201"/>
        <v/>
      </c>
      <c r="O902" s="34" t="str">
        <f t="shared" si="202"/>
        <v/>
      </c>
      <c r="P902" s="34" t="str">
        <f t="shared" si="203"/>
        <v/>
      </c>
      <c r="Q902" s="34" t="str">
        <f t="shared" si="204"/>
        <v/>
      </c>
      <c r="R902" s="34" t="str">
        <f t="shared" si="205"/>
        <v/>
      </c>
      <c r="S902" s="34" t="str">
        <f t="shared" si="206"/>
        <v/>
      </c>
    </row>
    <row r="903" spans="12:19" x14ac:dyDescent="0.3">
      <c r="M903" s="34" t="str">
        <f t="shared" si="214"/>
        <v/>
      </c>
      <c r="N903" s="34" t="str">
        <f t="shared" si="201"/>
        <v/>
      </c>
      <c r="O903" s="34" t="str">
        <f t="shared" si="202"/>
        <v/>
      </c>
      <c r="P903" s="34" t="str">
        <f t="shared" si="203"/>
        <v/>
      </c>
      <c r="Q903" s="34" t="str">
        <f t="shared" si="204"/>
        <v/>
      </c>
      <c r="R903" s="34" t="str">
        <f t="shared" si="205"/>
        <v/>
      </c>
      <c r="S903" s="34" t="str">
        <f t="shared" si="206"/>
        <v/>
      </c>
    </row>
    <row r="904" spans="12:19" x14ac:dyDescent="0.3">
      <c r="L904" s="34" t="str">
        <f t="shared" ref="L904" si="215">RIGHT(A904,5)</f>
        <v/>
      </c>
      <c r="M904" s="34" t="str">
        <f t="shared" si="214"/>
        <v/>
      </c>
      <c r="N904" s="34" t="str">
        <f t="shared" si="201"/>
        <v/>
      </c>
      <c r="O904" s="34" t="str">
        <f t="shared" si="202"/>
        <v/>
      </c>
      <c r="P904" s="34" t="str">
        <f t="shared" si="203"/>
        <v/>
      </c>
      <c r="Q904" s="34" t="str">
        <f t="shared" si="204"/>
        <v/>
      </c>
      <c r="R904" s="34" t="str">
        <f t="shared" si="205"/>
        <v/>
      </c>
      <c r="S904" s="34" t="str">
        <f t="shared" si="206"/>
        <v/>
      </c>
    </row>
    <row r="905" spans="12:19" x14ac:dyDescent="0.3">
      <c r="L905" s="34" t="str">
        <f t="shared" ref="L905" si="216">L904</f>
        <v/>
      </c>
      <c r="M905" s="34" t="str">
        <f t="shared" si="214"/>
        <v/>
      </c>
      <c r="N905" s="34" t="str">
        <f t="shared" si="201"/>
        <v/>
      </c>
      <c r="O905" s="34" t="str">
        <f t="shared" si="202"/>
        <v/>
      </c>
      <c r="P905" s="34" t="str">
        <f t="shared" si="203"/>
        <v/>
      </c>
      <c r="Q905" s="34" t="str">
        <f t="shared" si="204"/>
        <v/>
      </c>
      <c r="R905" s="34" t="str">
        <f t="shared" si="205"/>
        <v/>
      </c>
      <c r="S905" s="34" t="str">
        <f t="shared" si="206"/>
        <v/>
      </c>
    </row>
    <row r="906" spans="12:19" x14ac:dyDescent="0.3">
      <c r="L906" s="34" t="str">
        <f t="shared" si="207"/>
        <v/>
      </c>
      <c r="M906" s="34" t="str">
        <f t="shared" si="214"/>
        <v/>
      </c>
      <c r="N906" s="34" t="str">
        <f t="shared" si="201"/>
        <v/>
      </c>
      <c r="O906" s="34" t="str">
        <f t="shared" si="202"/>
        <v/>
      </c>
      <c r="P906" s="34" t="str">
        <f t="shared" si="203"/>
        <v/>
      </c>
      <c r="Q906" s="34" t="str">
        <f t="shared" si="204"/>
        <v/>
      </c>
      <c r="R906" s="34" t="str">
        <f t="shared" si="205"/>
        <v/>
      </c>
      <c r="S906" s="34" t="str">
        <f t="shared" si="206"/>
        <v/>
      </c>
    </row>
    <row r="907" spans="12:19" x14ac:dyDescent="0.3">
      <c r="L907" s="34" t="str">
        <f t="shared" si="207"/>
        <v/>
      </c>
      <c r="M907" s="34" t="str">
        <f t="shared" si="214"/>
        <v/>
      </c>
      <c r="N907" s="34" t="str">
        <f t="shared" si="201"/>
        <v/>
      </c>
      <c r="O907" s="34" t="str">
        <f t="shared" si="202"/>
        <v/>
      </c>
      <c r="P907" s="34" t="str">
        <f t="shared" si="203"/>
        <v/>
      </c>
      <c r="Q907" s="34" t="str">
        <f t="shared" si="204"/>
        <v/>
      </c>
      <c r="R907" s="34" t="str">
        <f t="shared" si="205"/>
        <v/>
      </c>
      <c r="S907" s="34" t="str">
        <f t="shared" si="206"/>
        <v/>
      </c>
    </row>
    <row r="908" spans="12:19" x14ac:dyDescent="0.3">
      <c r="L908" s="34" t="str">
        <f t="shared" si="207"/>
        <v/>
      </c>
      <c r="M908" s="34" t="str">
        <f t="shared" si="214"/>
        <v/>
      </c>
      <c r="N908" s="34" t="str">
        <f t="shared" ref="N908:N971" si="217">IF(AND(OR($L908="l.csv",$L908="g.csv"),$E908&gt;4),F908,"")</f>
        <v/>
      </c>
      <c r="O908" s="34" t="str">
        <f t="shared" ref="O908:O971" si="218">IF(AND(OR($L908="l.csv",$L908="g.csv"),$E908&gt;4),G908,"")</f>
        <v/>
      </c>
      <c r="P908" s="34" t="str">
        <f t="shared" ref="P908:P971" si="219">IF(AND(OR($L908="l.csv",$L908="g.csv"),$E908&gt;4),H908,"")</f>
        <v/>
      </c>
      <c r="Q908" s="34" t="str">
        <f t="shared" ref="Q908:Q971" si="220">IF(AND(OR($L908="l.csv",$L908="g.csv"),$E908&gt;4),I908,"")</f>
        <v/>
      </c>
      <c r="R908" s="34" t="str">
        <f t="shared" ref="R908:R971" si="221">IF(AND(OR($L908="l.csv",$L908="g.csv"),$E908&gt;4),J908,"")</f>
        <v/>
      </c>
      <c r="S908" s="34" t="str">
        <f t="shared" ref="S908:S971" si="222">IF(AND(OR($L908="l.csv",$L908="g.csv"),$E908&gt;4),K908,"")</f>
        <v/>
      </c>
    </row>
    <row r="909" spans="12:19" x14ac:dyDescent="0.3">
      <c r="L909" s="34" t="str">
        <f t="shared" si="207"/>
        <v/>
      </c>
      <c r="M909" s="34" t="str">
        <f t="shared" si="214"/>
        <v/>
      </c>
      <c r="N909" s="34" t="str">
        <f t="shared" si="217"/>
        <v/>
      </c>
      <c r="O909" s="34" t="str">
        <f t="shared" si="218"/>
        <v/>
      </c>
      <c r="P909" s="34" t="str">
        <f t="shared" si="219"/>
        <v/>
      </c>
      <c r="Q909" s="34" t="str">
        <f t="shared" si="220"/>
        <v/>
      </c>
      <c r="R909" s="34" t="str">
        <f t="shared" si="221"/>
        <v/>
      </c>
      <c r="S909" s="34" t="str">
        <f t="shared" si="222"/>
        <v/>
      </c>
    </row>
    <row r="910" spans="12:19" x14ac:dyDescent="0.3">
      <c r="L910" s="34" t="str">
        <f t="shared" si="207"/>
        <v/>
      </c>
      <c r="M910" s="34" t="str">
        <f t="shared" si="214"/>
        <v/>
      </c>
      <c r="N910" s="34" t="str">
        <f t="shared" si="217"/>
        <v/>
      </c>
      <c r="O910" s="34" t="str">
        <f t="shared" si="218"/>
        <v/>
      </c>
      <c r="P910" s="34" t="str">
        <f t="shared" si="219"/>
        <v/>
      </c>
      <c r="Q910" s="34" t="str">
        <f t="shared" si="220"/>
        <v/>
      </c>
      <c r="R910" s="34" t="str">
        <f t="shared" si="221"/>
        <v/>
      </c>
      <c r="S910" s="34" t="str">
        <f t="shared" si="222"/>
        <v/>
      </c>
    </row>
    <row r="911" spans="12:19" x14ac:dyDescent="0.3">
      <c r="L911" s="34" t="str">
        <f t="shared" si="207"/>
        <v/>
      </c>
      <c r="M911" s="34" t="str">
        <f t="shared" si="214"/>
        <v/>
      </c>
      <c r="N911" s="34" t="str">
        <f t="shared" si="217"/>
        <v/>
      </c>
      <c r="O911" s="34" t="str">
        <f t="shared" si="218"/>
        <v/>
      </c>
      <c r="P911" s="34" t="str">
        <f t="shared" si="219"/>
        <v/>
      </c>
      <c r="Q911" s="34" t="str">
        <f t="shared" si="220"/>
        <v/>
      </c>
      <c r="R911" s="34" t="str">
        <f t="shared" si="221"/>
        <v/>
      </c>
      <c r="S911" s="34" t="str">
        <f t="shared" si="222"/>
        <v/>
      </c>
    </row>
    <row r="912" spans="12:19" x14ac:dyDescent="0.3">
      <c r="L912" s="34" t="str">
        <f t="shared" si="207"/>
        <v/>
      </c>
      <c r="M912" s="34" t="str">
        <f t="shared" si="214"/>
        <v/>
      </c>
      <c r="N912" s="34" t="str">
        <f t="shared" si="217"/>
        <v/>
      </c>
      <c r="O912" s="34" t="str">
        <f t="shared" si="218"/>
        <v/>
      </c>
      <c r="P912" s="34" t="str">
        <f t="shared" si="219"/>
        <v/>
      </c>
      <c r="Q912" s="34" t="str">
        <f t="shared" si="220"/>
        <v/>
      </c>
      <c r="R912" s="34" t="str">
        <f t="shared" si="221"/>
        <v/>
      </c>
      <c r="S912" s="34" t="str">
        <f t="shared" si="222"/>
        <v/>
      </c>
    </row>
    <row r="913" spans="12:19" x14ac:dyDescent="0.3">
      <c r="L913" s="34" t="str">
        <f t="shared" si="207"/>
        <v/>
      </c>
      <c r="M913" s="34" t="str">
        <f t="shared" si="214"/>
        <v/>
      </c>
      <c r="N913" s="34" t="str">
        <f t="shared" si="217"/>
        <v/>
      </c>
      <c r="O913" s="34" t="str">
        <f t="shared" si="218"/>
        <v/>
      </c>
      <c r="P913" s="34" t="str">
        <f t="shared" si="219"/>
        <v/>
      </c>
      <c r="Q913" s="34" t="str">
        <f t="shared" si="220"/>
        <v/>
      </c>
      <c r="R913" s="34" t="str">
        <f t="shared" si="221"/>
        <v/>
      </c>
      <c r="S913" s="34" t="str">
        <f t="shared" si="222"/>
        <v/>
      </c>
    </row>
    <row r="914" spans="12:19" x14ac:dyDescent="0.3">
      <c r="L914" s="34" t="str">
        <f t="shared" ref="L914:L977" si="223">L913</f>
        <v/>
      </c>
      <c r="M914" s="34" t="str">
        <f t="shared" si="214"/>
        <v/>
      </c>
      <c r="N914" s="34" t="str">
        <f t="shared" si="217"/>
        <v/>
      </c>
      <c r="O914" s="34" t="str">
        <f t="shared" si="218"/>
        <v/>
      </c>
      <c r="P914" s="34" t="str">
        <f t="shared" si="219"/>
        <v/>
      </c>
      <c r="Q914" s="34" t="str">
        <f t="shared" si="220"/>
        <v/>
      </c>
      <c r="R914" s="34" t="str">
        <f t="shared" si="221"/>
        <v/>
      </c>
      <c r="S914" s="34" t="str">
        <f t="shared" si="222"/>
        <v/>
      </c>
    </row>
    <row r="915" spans="12:19" x14ac:dyDescent="0.3">
      <c r="L915" s="34" t="str">
        <f t="shared" si="223"/>
        <v/>
      </c>
      <c r="M915" s="34" t="str">
        <f t="shared" si="214"/>
        <v/>
      </c>
      <c r="N915" s="34" t="str">
        <f t="shared" si="217"/>
        <v/>
      </c>
      <c r="O915" s="34" t="str">
        <f t="shared" si="218"/>
        <v/>
      </c>
      <c r="P915" s="34" t="str">
        <f t="shared" si="219"/>
        <v/>
      </c>
      <c r="Q915" s="34" t="str">
        <f t="shared" si="220"/>
        <v/>
      </c>
      <c r="R915" s="34" t="str">
        <f t="shared" si="221"/>
        <v/>
      </c>
      <c r="S915" s="34" t="str">
        <f t="shared" si="222"/>
        <v/>
      </c>
    </row>
    <row r="916" spans="12:19" x14ac:dyDescent="0.3">
      <c r="L916" s="34" t="str">
        <f t="shared" si="223"/>
        <v/>
      </c>
      <c r="M916" s="34" t="str">
        <f t="shared" si="214"/>
        <v/>
      </c>
      <c r="N916" s="34" t="str">
        <f t="shared" si="217"/>
        <v/>
      </c>
      <c r="O916" s="34" t="str">
        <f t="shared" si="218"/>
        <v/>
      </c>
      <c r="P916" s="34" t="str">
        <f t="shared" si="219"/>
        <v/>
      </c>
      <c r="Q916" s="34" t="str">
        <f t="shared" si="220"/>
        <v/>
      </c>
      <c r="R916" s="34" t="str">
        <f t="shared" si="221"/>
        <v/>
      </c>
      <c r="S916" s="34" t="str">
        <f t="shared" si="222"/>
        <v/>
      </c>
    </row>
    <row r="917" spans="12:19" x14ac:dyDescent="0.3">
      <c r="L917" s="34" t="str">
        <f t="shared" si="223"/>
        <v/>
      </c>
      <c r="M917" s="34" t="str">
        <f t="shared" si="214"/>
        <v/>
      </c>
      <c r="N917" s="34" t="str">
        <f t="shared" si="217"/>
        <v/>
      </c>
      <c r="O917" s="34" t="str">
        <f t="shared" si="218"/>
        <v/>
      </c>
      <c r="P917" s="34" t="str">
        <f t="shared" si="219"/>
        <v/>
      </c>
      <c r="Q917" s="34" t="str">
        <f t="shared" si="220"/>
        <v/>
      </c>
      <c r="R917" s="34" t="str">
        <f t="shared" si="221"/>
        <v/>
      </c>
      <c r="S917" s="34" t="str">
        <f t="shared" si="222"/>
        <v/>
      </c>
    </row>
    <row r="918" spans="12:19" x14ac:dyDescent="0.3">
      <c r="L918" s="34" t="str">
        <f t="shared" si="223"/>
        <v/>
      </c>
      <c r="M918" s="34" t="str">
        <f t="shared" si="214"/>
        <v/>
      </c>
      <c r="N918" s="34" t="str">
        <f t="shared" si="217"/>
        <v/>
      </c>
      <c r="O918" s="34" t="str">
        <f t="shared" si="218"/>
        <v/>
      </c>
      <c r="P918" s="34" t="str">
        <f t="shared" si="219"/>
        <v/>
      </c>
      <c r="Q918" s="34" t="str">
        <f t="shared" si="220"/>
        <v/>
      </c>
      <c r="R918" s="34" t="str">
        <f t="shared" si="221"/>
        <v/>
      </c>
      <c r="S918" s="34" t="str">
        <f t="shared" si="222"/>
        <v/>
      </c>
    </row>
    <row r="919" spans="12:19" x14ac:dyDescent="0.3">
      <c r="M919" s="34" t="str">
        <f t="shared" si="214"/>
        <v/>
      </c>
      <c r="N919" s="34" t="str">
        <f t="shared" si="217"/>
        <v/>
      </c>
      <c r="O919" s="34" t="str">
        <f t="shared" si="218"/>
        <v/>
      </c>
      <c r="P919" s="34" t="str">
        <f t="shared" si="219"/>
        <v/>
      </c>
      <c r="Q919" s="34" t="str">
        <f t="shared" si="220"/>
        <v/>
      </c>
      <c r="R919" s="34" t="str">
        <f t="shared" si="221"/>
        <v/>
      </c>
      <c r="S919" s="34" t="str">
        <f t="shared" si="222"/>
        <v/>
      </c>
    </row>
    <row r="920" spans="12:19" x14ac:dyDescent="0.3">
      <c r="M920" s="34" t="str">
        <f t="shared" si="214"/>
        <v/>
      </c>
      <c r="N920" s="34" t="str">
        <f t="shared" si="217"/>
        <v/>
      </c>
      <c r="O920" s="34" t="str">
        <f t="shared" si="218"/>
        <v/>
      </c>
      <c r="P920" s="34" t="str">
        <f t="shared" si="219"/>
        <v/>
      </c>
      <c r="Q920" s="34" t="str">
        <f t="shared" si="220"/>
        <v/>
      </c>
      <c r="R920" s="34" t="str">
        <f t="shared" si="221"/>
        <v/>
      </c>
      <c r="S920" s="34" t="str">
        <f t="shared" si="222"/>
        <v/>
      </c>
    </row>
    <row r="921" spans="12:19" x14ac:dyDescent="0.3">
      <c r="L921" s="34" t="str">
        <f t="shared" ref="L921" si="224">RIGHT(A921,5)</f>
        <v/>
      </c>
      <c r="M921" s="34" t="str">
        <f t="shared" si="214"/>
        <v/>
      </c>
      <c r="N921" s="34" t="str">
        <f t="shared" si="217"/>
        <v/>
      </c>
      <c r="O921" s="34" t="str">
        <f t="shared" si="218"/>
        <v/>
      </c>
      <c r="P921" s="34" t="str">
        <f t="shared" si="219"/>
        <v/>
      </c>
      <c r="Q921" s="34" t="str">
        <f t="shared" si="220"/>
        <v/>
      </c>
      <c r="R921" s="34" t="str">
        <f t="shared" si="221"/>
        <v/>
      </c>
      <c r="S921" s="34" t="str">
        <f t="shared" si="222"/>
        <v/>
      </c>
    </row>
    <row r="922" spans="12:19" x14ac:dyDescent="0.3">
      <c r="L922" s="34" t="str">
        <f t="shared" ref="L922" si="225">L921</f>
        <v/>
      </c>
      <c r="M922" s="34" t="str">
        <f t="shared" si="214"/>
        <v/>
      </c>
      <c r="N922" s="34" t="str">
        <f t="shared" si="217"/>
        <v/>
      </c>
      <c r="O922" s="34" t="str">
        <f t="shared" si="218"/>
        <v/>
      </c>
      <c r="P922" s="34" t="str">
        <f t="shared" si="219"/>
        <v/>
      </c>
      <c r="Q922" s="34" t="str">
        <f t="shared" si="220"/>
        <v/>
      </c>
      <c r="R922" s="34" t="str">
        <f t="shared" si="221"/>
        <v/>
      </c>
      <c r="S922" s="34" t="str">
        <f t="shared" si="222"/>
        <v/>
      </c>
    </row>
    <row r="923" spans="12:19" x14ac:dyDescent="0.3">
      <c r="L923" s="34" t="str">
        <f t="shared" si="223"/>
        <v/>
      </c>
      <c r="M923" s="34" t="str">
        <f t="shared" si="214"/>
        <v/>
      </c>
      <c r="N923" s="34" t="str">
        <f t="shared" si="217"/>
        <v/>
      </c>
      <c r="O923" s="34" t="str">
        <f t="shared" si="218"/>
        <v/>
      </c>
      <c r="P923" s="34" t="str">
        <f t="shared" si="219"/>
        <v/>
      </c>
      <c r="Q923" s="34" t="str">
        <f t="shared" si="220"/>
        <v/>
      </c>
      <c r="R923" s="34" t="str">
        <f t="shared" si="221"/>
        <v/>
      </c>
      <c r="S923" s="34" t="str">
        <f t="shared" si="222"/>
        <v/>
      </c>
    </row>
    <row r="924" spans="12:19" x14ac:dyDescent="0.3">
      <c r="L924" s="34" t="str">
        <f t="shared" si="223"/>
        <v/>
      </c>
      <c r="M924" s="34" t="str">
        <f t="shared" si="214"/>
        <v/>
      </c>
      <c r="N924" s="34" t="str">
        <f t="shared" si="217"/>
        <v/>
      </c>
      <c r="O924" s="34" t="str">
        <f t="shared" si="218"/>
        <v/>
      </c>
      <c r="P924" s="34" t="str">
        <f t="shared" si="219"/>
        <v/>
      </c>
      <c r="Q924" s="34" t="str">
        <f t="shared" si="220"/>
        <v/>
      </c>
      <c r="R924" s="34" t="str">
        <f t="shared" si="221"/>
        <v/>
      </c>
      <c r="S924" s="34" t="str">
        <f t="shared" si="222"/>
        <v/>
      </c>
    </row>
    <row r="925" spans="12:19" x14ac:dyDescent="0.3">
      <c r="L925" s="34" t="str">
        <f t="shared" si="223"/>
        <v/>
      </c>
      <c r="M925" s="34" t="str">
        <f t="shared" si="214"/>
        <v/>
      </c>
      <c r="N925" s="34" t="str">
        <f t="shared" si="217"/>
        <v/>
      </c>
      <c r="O925" s="34" t="str">
        <f t="shared" si="218"/>
        <v/>
      </c>
      <c r="P925" s="34" t="str">
        <f t="shared" si="219"/>
        <v/>
      </c>
      <c r="Q925" s="34" t="str">
        <f t="shared" si="220"/>
        <v/>
      </c>
      <c r="R925" s="34" t="str">
        <f t="shared" si="221"/>
        <v/>
      </c>
      <c r="S925" s="34" t="str">
        <f t="shared" si="222"/>
        <v/>
      </c>
    </row>
    <row r="926" spans="12:19" x14ac:dyDescent="0.3">
      <c r="L926" s="34" t="str">
        <f t="shared" si="223"/>
        <v/>
      </c>
      <c r="M926" s="34" t="str">
        <f t="shared" si="214"/>
        <v/>
      </c>
      <c r="N926" s="34" t="str">
        <f t="shared" si="217"/>
        <v/>
      </c>
      <c r="O926" s="34" t="str">
        <f t="shared" si="218"/>
        <v/>
      </c>
      <c r="P926" s="34" t="str">
        <f t="shared" si="219"/>
        <v/>
      </c>
      <c r="Q926" s="34" t="str">
        <f t="shared" si="220"/>
        <v/>
      </c>
      <c r="R926" s="34" t="str">
        <f t="shared" si="221"/>
        <v/>
      </c>
      <c r="S926" s="34" t="str">
        <f t="shared" si="222"/>
        <v/>
      </c>
    </row>
    <row r="927" spans="12:19" x14ac:dyDescent="0.3">
      <c r="L927" s="34" t="str">
        <f t="shared" si="223"/>
        <v/>
      </c>
      <c r="M927" s="34" t="str">
        <f t="shared" si="214"/>
        <v/>
      </c>
      <c r="N927" s="34" t="str">
        <f t="shared" si="217"/>
        <v/>
      </c>
      <c r="O927" s="34" t="str">
        <f t="shared" si="218"/>
        <v/>
      </c>
      <c r="P927" s="34" t="str">
        <f t="shared" si="219"/>
        <v/>
      </c>
      <c r="Q927" s="34" t="str">
        <f t="shared" si="220"/>
        <v/>
      </c>
      <c r="R927" s="34" t="str">
        <f t="shared" si="221"/>
        <v/>
      </c>
      <c r="S927" s="34" t="str">
        <f t="shared" si="222"/>
        <v/>
      </c>
    </row>
    <row r="928" spans="12:19" x14ac:dyDescent="0.3">
      <c r="L928" s="34" t="str">
        <f t="shared" si="223"/>
        <v/>
      </c>
      <c r="M928" s="34" t="str">
        <f t="shared" si="214"/>
        <v/>
      </c>
      <c r="N928" s="34" t="str">
        <f t="shared" si="217"/>
        <v/>
      </c>
      <c r="O928" s="34" t="str">
        <f t="shared" si="218"/>
        <v/>
      </c>
      <c r="P928" s="34" t="str">
        <f t="shared" si="219"/>
        <v/>
      </c>
      <c r="Q928" s="34" t="str">
        <f t="shared" si="220"/>
        <v/>
      </c>
      <c r="R928" s="34" t="str">
        <f t="shared" si="221"/>
        <v/>
      </c>
      <c r="S928" s="34" t="str">
        <f t="shared" si="222"/>
        <v/>
      </c>
    </row>
    <row r="929" spans="12:19" x14ac:dyDescent="0.3">
      <c r="L929" s="34" t="str">
        <f t="shared" si="223"/>
        <v/>
      </c>
      <c r="M929" s="34" t="str">
        <f t="shared" si="214"/>
        <v/>
      </c>
      <c r="N929" s="34" t="str">
        <f t="shared" si="217"/>
        <v/>
      </c>
      <c r="O929" s="34" t="str">
        <f t="shared" si="218"/>
        <v/>
      </c>
      <c r="P929" s="34" t="str">
        <f t="shared" si="219"/>
        <v/>
      </c>
      <c r="Q929" s="34" t="str">
        <f t="shared" si="220"/>
        <v/>
      </c>
      <c r="R929" s="34" t="str">
        <f t="shared" si="221"/>
        <v/>
      </c>
      <c r="S929" s="34" t="str">
        <f t="shared" si="222"/>
        <v/>
      </c>
    </row>
    <row r="930" spans="12:19" x14ac:dyDescent="0.3">
      <c r="L930" s="34" t="str">
        <f t="shared" si="223"/>
        <v/>
      </c>
      <c r="M930" s="34" t="str">
        <f t="shared" si="214"/>
        <v/>
      </c>
      <c r="N930" s="34" t="str">
        <f t="shared" si="217"/>
        <v/>
      </c>
      <c r="O930" s="34" t="str">
        <f t="shared" si="218"/>
        <v/>
      </c>
      <c r="P930" s="34" t="str">
        <f t="shared" si="219"/>
        <v/>
      </c>
      <c r="Q930" s="34" t="str">
        <f t="shared" si="220"/>
        <v/>
      </c>
      <c r="R930" s="34" t="str">
        <f t="shared" si="221"/>
        <v/>
      </c>
      <c r="S930" s="34" t="str">
        <f t="shared" si="222"/>
        <v/>
      </c>
    </row>
    <row r="931" spans="12:19" x14ac:dyDescent="0.3">
      <c r="L931" s="34" t="str">
        <f t="shared" si="223"/>
        <v/>
      </c>
      <c r="M931" s="34" t="str">
        <f t="shared" si="214"/>
        <v/>
      </c>
      <c r="N931" s="34" t="str">
        <f t="shared" si="217"/>
        <v/>
      </c>
      <c r="O931" s="34" t="str">
        <f t="shared" si="218"/>
        <v/>
      </c>
      <c r="P931" s="34" t="str">
        <f t="shared" si="219"/>
        <v/>
      </c>
      <c r="Q931" s="34" t="str">
        <f t="shared" si="220"/>
        <v/>
      </c>
      <c r="R931" s="34" t="str">
        <f t="shared" si="221"/>
        <v/>
      </c>
      <c r="S931" s="34" t="str">
        <f t="shared" si="222"/>
        <v/>
      </c>
    </row>
    <row r="932" spans="12:19" x14ac:dyDescent="0.3">
      <c r="L932" s="34" t="str">
        <f t="shared" si="223"/>
        <v/>
      </c>
      <c r="M932" s="34" t="str">
        <f t="shared" si="214"/>
        <v/>
      </c>
      <c r="N932" s="34" t="str">
        <f t="shared" si="217"/>
        <v/>
      </c>
      <c r="O932" s="34" t="str">
        <f t="shared" si="218"/>
        <v/>
      </c>
      <c r="P932" s="34" t="str">
        <f t="shared" si="219"/>
        <v/>
      </c>
      <c r="Q932" s="34" t="str">
        <f t="shared" si="220"/>
        <v/>
      </c>
      <c r="R932" s="34" t="str">
        <f t="shared" si="221"/>
        <v/>
      </c>
      <c r="S932" s="34" t="str">
        <f t="shared" si="222"/>
        <v/>
      </c>
    </row>
    <row r="933" spans="12:19" x14ac:dyDescent="0.3">
      <c r="L933" s="34" t="str">
        <f t="shared" si="223"/>
        <v/>
      </c>
      <c r="M933" s="34" t="str">
        <f t="shared" si="214"/>
        <v/>
      </c>
      <c r="N933" s="34" t="str">
        <f t="shared" si="217"/>
        <v/>
      </c>
      <c r="O933" s="34" t="str">
        <f t="shared" si="218"/>
        <v/>
      </c>
      <c r="P933" s="34" t="str">
        <f t="shared" si="219"/>
        <v/>
      </c>
      <c r="Q933" s="34" t="str">
        <f t="shared" si="220"/>
        <v/>
      </c>
      <c r="R933" s="34" t="str">
        <f t="shared" si="221"/>
        <v/>
      </c>
      <c r="S933" s="34" t="str">
        <f t="shared" si="222"/>
        <v/>
      </c>
    </row>
    <row r="934" spans="12:19" x14ac:dyDescent="0.3">
      <c r="L934" s="34" t="str">
        <f t="shared" si="223"/>
        <v/>
      </c>
      <c r="M934" s="34" t="str">
        <f t="shared" si="214"/>
        <v/>
      </c>
      <c r="N934" s="34" t="str">
        <f t="shared" si="217"/>
        <v/>
      </c>
      <c r="O934" s="34" t="str">
        <f t="shared" si="218"/>
        <v/>
      </c>
      <c r="P934" s="34" t="str">
        <f t="shared" si="219"/>
        <v/>
      </c>
      <c r="Q934" s="34" t="str">
        <f t="shared" si="220"/>
        <v/>
      </c>
      <c r="R934" s="34" t="str">
        <f t="shared" si="221"/>
        <v/>
      </c>
      <c r="S934" s="34" t="str">
        <f t="shared" si="222"/>
        <v/>
      </c>
    </row>
    <row r="935" spans="12:19" x14ac:dyDescent="0.3">
      <c r="L935" s="34" t="str">
        <f t="shared" si="223"/>
        <v/>
      </c>
      <c r="M935" s="34" t="str">
        <f t="shared" si="214"/>
        <v/>
      </c>
      <c r="N935" s="34" t="str">
        <f t="shared" si="217"/>
        <v/>
      </c>
      <c r="O935" s="34" t="str">
        <f t="shared" si="218"/>
        <v/>
      </c>
      <c r="P935" s="34" t="str">
        <f t="shared" si="219"/>
        <v/>
      </c>
      <c r="Q935" s="34" t="str">
        <f t="shared" si="220"/>
        <v/>
      </c>
      <c r="R935" s="34" t="str">
        <f t="shared" si="221"/>
        <v/>
      </c>
      <c r="S935" s="34" t="str">
        <f t="shared" si="222"/>
        <v/>
      </c>
    </row>
    <row r="936" spans="12:19" x14ac:dyDescent="0.3">
      <c r="M936" s="34" t="str">
        <f t="shared" si="214"/>
        <v/>
      </c>
      <c r="N936" s="34" t="str">
        <f t="shared" si="217"/>
        <v/>
      </c>
      <c r="O936" s="34" t="str">
        <f t="shared" si="218"/>
        <v/>
      </c>
      <c r="P936" s="34" t="str">
        <f t="shared" si="219"/>
        <v/>
      </c>
      <c r="Q936" s="34" t="str">
        <f t="shared" si="220"/>
        <v/>
      </c>
      <c r="R936" s="34" t="str">
        <f t="shared" si="221"/>
        <v/>
      </c>
      <c r="S936" s="34" t="str">
        <f t="shared" si="222"/>
        <v/>
      </c>
    </row>
    <row r="937" spans="12:19" x14ac:dyDescent="0.3">
      <c r="M937" s="34" t="str">
        <f t="shared" si="214"/>
        <v/>
      </c>
      <c r="N937" s="34" t="str">
        <f t="shared" si="217"/>
        <v/>
      </c>
      <c r="O937" s="34" t="str">
        <f t="shared" si="218"/>
        <v/>
      </c>
      <c r="P937" s="34" t="str">
        <f t="shared" si="219"/>
        <v/>
      </c>
      <c r="Q937" s="34" t="str">
        <f t="shared" si="220"/>
        <v/>
      </c>
      <c r="R937" s="34" t="str">
        <f t="shared" si="221"/>
        <v/>
      </c>
      <c r="S937" s="34" t="str">
        <f t="shared" si="222"/>
        <v/>
      </c>
    </row>
    <row r="938" spans="12:19" x14ac:dyDescent="0.3">
      <c r="L938" s="34" t="str">
        <f t="shared" ref="L938" si="226">RIGHT(A938,5)</f>
        <v/>
      </c>
      <c r="M938" s="34" t="str">
        <f t="shared" si="214"/>
        <v/>
      </c>
      <c r="N938" s="34" t="str">
        <f t="shared" si="217"/>
        <v/>
      </c>
      <c r="O938" s="34" t="str">
        <f t="shared" si="218"/>
        <v/>
      </c>
      <c r="P938" s="34" t="str">
        <f t="shared" si="219"/>
        <v/>
      </c>
      <c r="Q938" s="34" t="str">
        <f t="shared" si="220"/>
        <v/>
      </c>
      <c r="R938" s="34" t="str">
        <f t="shared" si="221"/>
        <v/>
      </c>
      <c r="S938" s="34" t="str">
        <f t="shared" si="222"/>
        <v/>
      </c>
    </row>
    <row r="939" spans="12:19" x14ac:dyDescent="0.3">
      <c r="L939" s="34" t="str">
        <f t="shared" ref="L939" si="227">L938</f>
        <v/>
      </c>
      <c r="M939" s="34" t="str">
        <f t="shared" si="214"/>
        <v/>
      </c>
      <c r="N939" s="34" t="str">
        <f t="shared" si="217"/>
        <v/>
      </c>
      <c r="O939" s="34" t="str">
        <f t="shared" si="218"/>
        <v/>
      </c>
      <c r="P939" s="34" t="str">
        <f t="shared" si="219"/>
        <v/>
      </c>
      <c r="Q939" s="34" t="str">
        <f t="shared" si="220"/>
        <v/>
      </c>
      <c r="R939" s="34" t="str">
        <f t="shared" si="221"/>
        <v/>
      </c>
      <c r="S939" s="34" t="str">
        <f t="shared" si="222"/>
        <v/>
      </c>
    </row>
    <row r="940" spans="12:19" x14ac:dyDescent="0.3">
      <c r="L940" s="34" t="str">
        <f t="shared" si="223"/>
        <v/>
      </c>
      <c r="M940" s="34" t="str">
        <f t="shared" si="214"/>
        <v/>
      </c>
      <c r="N940" s="34" t="str">
        <f t="shared" si="217"/>
        <v/>
      </c>
      <c r="O940" s="34" t="str">
        <f t="shared" si="218"/>
        <v/>
      </c>
      <c r="P940" s="34" t="str">
        <f t="shared" si="219"/>
        <v/>
      </c>
      <c r="Q940" s="34" t="str">
        <f t="shared" si="220"/>
        <v/>
      </c>
      <c r="R940" s="34" t="str">
        <f t="shared" si="221"/>
        <v/>
      </c>
      <c r="S940" s="34" t="str">
        <f t="shared" si="222"/>
        <v/>
      </c>
    </row>
    <row r="941" spans="12:19" x14ac:dyDescent="0.3">
      <c r="L941" s="34" t="str">
        <f t="shared" si="223"/>
        <v/>
      </c>
      <c r="M941" s="34" t="str">
        <f t="shared" si="214"/>
        <v/>
      </c>
      <c r="N941" s="34" t="str">
        <f t="shared" si="217"/>
        <v/>
      </c>
      <c r="O941" s="34" t="str">
        <f t="shared" si="218"/>
        <v/>
      </c>
      <c r="P941" s="34" t="str">
        <f t="shared" si="219"/>
        <v/>
      </c>
      <c r="Q941" s="34" t="str">
        <f t="shared" si="220"/>
        <v/>
      </c>
      <c r="R941" s="34" t="str">
        <f t="shared" si="221"/>
        <v/>
      </c>
      <c r="S941" s="34" t="str">
        <f t="shared" si="222"/>
        <v/>
      </c>
    </row>
    <row r="942" spans="12:19" x14ac:dyDescent="0.3">
      <c r="L942" s="34" t="str">
        <f t="shared" si="223"/>
        <v/>
      </c>
      <c r="M942" s="34" t="str">
        <f t="shared" si="214"/>
        <v/>
      </c>
      <c r="N942" s="34" t="str">
        <f t="shared" si="217"/>
        <v/>
      </c>
      <c r="O942" s="34" t="str">
        <f t="shared" si="218"/>
        <v/>
      </c>
      <c r="P942" s="34" t="str">
        <f t="shared" si="219"/>
        <v/>
      </c>
      <c r="Q942" s="34" t="str">
        <f t="shared" si="220"/>
        <v/>
      </c>
      <c r="R942" s="34" t="str">
        <f t="shared" si="221"/>
        <v/>
      </c>
      <c r="S942" s="34" t="str">
        <f t="shared" si="222"/>
        <v/>
      </c>
    </row>
    <row r="943" spans="12:19" x14ac:dyDescent="0.3">
      <c r="L943" s="34" t="str">
        <f t="shared" si="223"/>
        <v/>
      </c>
      <c r="M943" s="34" t="str">
        <f t="shared" si="214"/>
        <v/>
      </c>
      <c r="N943" s="34" t="str">
        <f t="shared" si="217"/>
        <v/>
      </c>
      <c r="O943" s="34" t="str">
        <f t="shared" si="218"/>
        <v/>
      </c>
      <c r="P943" s="34" t="str">
        <f t="shared" si="219"/>
        <v/>
      </c>
      <c r="Q943" s="34" t="str">
        <f t="shared" si="220"/>
        <v/>
      </c>
      <c r="R943" s="34" t="str">
        <f t="shared" si="221"/>
        <v/>
      </c>
      <c r="S943" s="34" t="str">
        <f t="shared" si="222"/>
        <v/>
      </c>
    </row>
    <row r="944" spans="12:19" x14ac:dyDescent="0.3">
      <c r="L944" s="34" t="str">
        <f t="shared" si="223"/>
        <v/>
      </c>
      <c r="M944" s="34" t="str">
        <f t="shared" si="214"/>
        <v/>
      </c>
      <c r="N944" s="34" t="str">
        <f t="shared" si="217"/>
        <v/>
      </c>
      <c r="O944" s="34" t="str">
        <f t="shared" si="218"/>
        <v/>
      </c>
      <c r="P944" s="34" t="str">
        <f t="shared" si="219"/>
        <v/>
      </c>
      <c r="Q944" s="34" t="str">
        <f t="shared" si="220"/>
        <v/>
      </c>
      <c r="R944" s="34" t="str">
        <f t="shared" si="221"/>
        <v/>
      </c>
      <c r="S944" s="34" t="str">
        <f t="shared" si="222"/>
        <v/>
      </c>
    </row>
    <row r="945" spans="12:19" x14ac:dyDescent="0.3">
      <c r="L945" s="34" t="str">
        <f t="shared" si="223"/>
        <v/>
      </c>
      <c r="M945" s="34" t="str">
        <f t="shared" si="214"/>
        <v/>
      </c>
      <c r="N945" s="34" t="str">
        <f t="shared" si="217"/>
        <v/>
      </c>
      <c r="O945" s="34" t="str">
        <f t="shared" si="218"/>
        <v/>
      </c>
      <c r="P945" s="34" t="str">
        <f t="shared" si="219"/>
        <v/>
      </c>
      <c r="Q945" s="34" t="str">
        <f t="shared" si="220"/>
        <v/>
      </c>
      <c r="R945" s="34" t="str">
        <f t="shared" si="221"/>
        <v/>
      </c>
      <c r="S945" s="34" t="str">
        <f t="shared" si="222"/>
        <v/>
      </c>
    </row>
    <row r="946" spans="12:19" x14ac:dyDescent="0.3">
      <c r="L946" s="34" t="str">
        <f t="shared" si="223"/>
        <v/>
      </c>
      <c r="M946" s="34" t="str">
        <f t="shared" si="214"/>
        <v/>
      </c>
      <c r="N946" s="34" t="str">
        <f t="shared" si="217"/>
        <v/>
      </c>
      <c r="O946" s="34" t="str">
        <f t="shared" si="218"/>
        <v/>
      </c>
      <c r="P946" s="34" t="str">
        <f t="shared" si="219"/>
        <v/>
      </c>
      <c r="Q946" s="34" t="str">
        <f t="shared" si="220"/>
        <v/>
      </c>
      <c r="R946" s="34" t="str">
        <f t="shared" si="221"/>
        <v/>
      </c>
      <c r="S946" s="34" t="str">
        <f t="shared" si="222"/>
        <v/>
      </c>
    </row>
    <row r="947" spans="12:19" x14ac:dyDescent="0.3">
      <c r="L947" s="34" t="str">
        <f t="shared" si="223"/>
        <v/>
      </c>
      <c r="M947" s="34" t="str">
        <f t="shared" si="214"/>
        <v/>
      </c>
      <c r="N947" s="34" t="str">
        <f t="shared" si="217"/>
        <v/>
      </c>
      <c r="O947" s="34" t="str">
        <f t="shared" si="218"/>
        <v/>
      </c>
      <c r="P947" s="34" t="str">
        <f t="shared" si="219"/>
        <v/>
      </c>
      <c r="Q947" s="34" t="str">
        <f t="shared" si="220"/>
        <v/>
      </c>
      <c r="R947" s="34" t="str">
        <f t="shared" si="221"/>
        <v/>
      </c>
      <c r="S947" s="34" t="str">
        <f t="shared" si="222"/>
        <v/>
      </c>
    </row>
    <row r="948" spans="12:19" x14ac:dyDescent="0.3">
      <c r="L948" s="34" t="str">
        <f t="shared" si="223"/>
        <v/>
      </c>
      <c r="M948" s="34" t="str">
        <f t="shared" si="214"/>
        <v/>
      </c>
      <c r="N948" s="34" t="str">
        <f t="shared" si="217"/>
        <v/>
      </c>
      <c r="O948" s="34" t="str">
        <f t="shared" si="218"/>
        <v/>
      </c>
      <c r="P948" s="34" t="str">
        <f t="shared" si="219"/>
        <v/>
      </c>
      <c r="Q948" s="34" t="str">
        <f t="shared" si="220"/>
        <v/>
      </c>
      <c r="R948" s="34" t="str">
        <f t="shared" si="221"/>
        <v/>
      </c>
      <c r="S948" s="34" t="str">
        <f t="shared" si="222"/>
        <v/>
      </c>
    </row>
    <row r="949" spans="12:19" x14ac:dyDescent="0.3">
      <c r="L949" s="34" t="str">
        <f t="shared" si="223"/>
        <v/>
      </c>
      <c r="M949" s="34" t="str">
        <f t="shared" si="214"/>
        <v/>
      </c>
      <c r="N949" s="34" t="str">
        <f t="shared" si="217"/>
        <v/>
      </c>
      <c r="O949" s="34" t="str">
        <f t="shared" si="218"/>
        <v/>
      </c>
      <c r="P949" s="34" t="str">
        <f t="shared" si="219"/>
        <v/>
      </c>
      <c r="Q949" s="34" t="str">
        <f t="shared" si="220"/>
        <v/>
      </c>
      <c r="R949" s="34" t="str">
        <f t="shared" si="221"/>
        <v/>
      </c>
      <c r="S949" s="34" t="str">
        <f t="shared" si="222"/>
        <v/>
      </c>
    </row>
    <row r="950" spans="12:19" x14ac:dyDescent="0.3">
      <c r="L950" s="34" t="str">
        <f t="shared" si="223"/>
        <v/>
      </c>
      <c r="M950" s="34" t="str">
        <f t="shared" si="214"/>
        <v/>
      </c>
      <c r="N950" s="34" t="str">
        <f t="shared" si="217"/>
        <v/>
      </c>
      <c r="O950" s="34" t="str">
        <f t="shared" si="218"/>
        <v/>
      </c>
      <c r="P950" s="34" t="str">
        <f t="shared" si="219"/>
        <v/>
      </c>
      <c r="Q950" s="34" t="str">
        <f t="shared" si="220"/>
        <v/>
      </c>
      <c r="R950" s="34" t="str">
        <f t="shared" si="221"/>
        <v/>
      </c>
      <c r="S950" s="34" t="str">
        <f t="shared" si="222"/>
        <v/>
      </c>
    </row>
    <row r="951" spans="12:19" x14ac:dyDescent="0.3">
      <c r="L951" s="34" t="str">
        <f t="shared" si="223"/>
        <v/>
      </c>
      <c r="M951" s="34" t="str">
        <f t="shared" si="214"/>
        <v/>
      </c>
      <c r="N951" s="34" t="str">
        <f t="shared" si="217"/>
        <v/>
      </c>
      <c r="O951" s="34" t="str">
        <f t="shared" si="218"/>
        <v/>
      </c>
      <c r="P951" s="34" t="str">
        <f t="shared" si="219"/>
        <v/>
      </c>
      <c r="Q951" s="34" t="str">
        <f t="shared" si="220"/>
        <v/>
      </c>
      <c r="R951" s="34" t="str">
        <f t="shared" si="221"/>
        <v/>
      </c>
      <c r="S951" s="34" t="str">
        <f t="shared" si="222"/>
        <v/>
      </c>
    </row>
    <row r="952" spans="12:19" x14ac:dyDescent="0.3">
      <c r="L952" s="34" t="str">
        <f t="shared" si="223"/>
        <v/>
      </c>
      <c r="M952" s="34" t="str">
        <f t="shared" si="214"/>
        <v/>
      </c>
      <c r="N952" s="34" t="str">
        <f t="shared" si="217"/>
        <v/>
      </c>
      <c r="O952" s="34" t="str">
        <f t="shared" si="218"/>
        <v/>
      </c>
      <c r="P952" s="34" t="str">
        <f t="shared" si="219"/>
        <v/>
      </c>
      <c r="Q952" s="34" t="str">
        <f t="shared" si="220"/>
        <v/>
      </c>
      <c r="R952" s="34" t="str">
        <f t="shared" si="221"/>
        <v/>
      </c>
      <c r="S952" s="34" t="str">
        <f t="shared" si="222"/>
        <v/>
      </c>
    </row>
    <row r="953" spans="12:19" x14ac:dyDescent="0.3">
      <c r="M953" s="34" t="str">
        <f t="shared" si="214"/>
        <v/>
      </c>
      <c r="N953" s="34" t="str">
        <f t="shared" si="217"/>
        <v/>
      </c>
      <c r="O953" s="34" t="str">
        <f t="shared" si="218"/>
        <v/>
      </c>
      <c r="P953" s="34" t="str">
        <f t="shared" si="219"/>
        <v/>
      </c>
      <c r="Q953" s="34" t="str">
        <f t="shared" si="220"/>
        <v/>
      </c>
      <c r="R953" s="34" t="str">
        <f t="shared" si="221"/>
        <v/>
      </c>
      <c r="S953" s="34" t="str">
        <f t="shared" si="222"/>
        <v/>
      </c>
    </row>
    <row r="954" spans="12:19" x14ac:dyDescent="0.3">
      <c r="M954" s="34" t="str">
        <f t="shared" si="214"/>
        <v/>
      </c>
      <c r="N954" s="34" t="str">
        <f t="shared" si="217"/>
        <v/>
      </c>
      <c r="O954" s="34" t="str">
        <f t="shared" si="218"/>
        <v/>
      </c>
      <c r="P954" s="34" t="str">
        <f t="shared" si="219"/>
        <v/>
      </c>
      <c r="Q954" s="34" t="str">
        <f t="shared" si="220"/>
        <v/>
      </c>
      <c r="R954" s="34" t="str">
        <f t="shared" si="221"/>
        <v/>
      </c>
      <c r="S954" s="34" t="str">
        <f t="shared" si="222"/>
        <v/>
      </c>
    </row>
    <row r="955" spans="12:19" x14ac:dyDescent="0.3">
      <c r="L955" s="34" t="str">
        <f t="shared" ref="L955" si="228">RIGHT(A955,5)</f>
        <v/>
      </c>
      <c r="M955" s="34" t="str">
        <f t="shared" si="214"/>
        <v/>
      </c>
      <c r="N955" s="34" t="str">
        <f t="shared" si="217"/>
        <v/>
      </c>
      <c r="O955" s="34" t="str">
        <f t="shared" si="218"/>
        <v/>
      </c>
      <c r="P955" s="34" t="str">
        <f t="shared" si="219"/>
        <v/>
      </c>
      <c r="Q955" s="34" t="str">
        <f t="shared" si="220"/>
        <v/>
      </c>
      <c r="R955" s="34" t="str">
        <f t="shared" si="221"/>
        <v/>
      </c>
      <c r="S955" s="34" t="str">
        <f t="shared" si="222"/>
        <v/>
      </c>
    </row>
    <row r="956" spans="12:19" x14ac:dyDescent="0.3">
      <c r="L956" s="34" t="str">
        <f t="shared" ref="L956" si="229">L955</f>
        <v/>
      </c>
      <c r="M956" s="34" t="str">
        <f t="shared" si="214"/>
        <v/>
      </c>
      <c r="N956" s="34" t="str">
        <f t="shared" si="217"/>
        <v/>
      </c>
      <c r="O956" s="34" t="str">
        <f t="shared" si="218"/>
        <v/>
      </c>
      <c r="P956" s="34" t="str">
        <f t="shared" si="219"/>
        <v/>
      </c>
      <c r="Q956" s="34" t="str">
        <f t="shared" si="220"/>
        <v/>
      </c>
      <c r="R956" s="34" t="str">
        <f t="shared" si="221"/>
        <v/>
      </c>
      <c r="S956" s="34" t="str">
        <f t="shared" si="222"/>
        <v/>
      </c>
    </row>
    <row r="957" spans="12:19" x14ac:dyDescent="0.3">
      <c r="L957" s="34" t="str">
        <f t="shared" si="223"/>
        <v/>
      </c>
      <c r="M957" s="34" t="str">
        <f t="shared" si="214"/>
        <v/>
      </c>
      <c r="N957" s="34" t="str">
        <f t="shared" si="217"/>
        <v/>
      </c>
      <c r="O957" s="34" t="str">
        <f t="shared" si="218"/>
        <v/>
      </c>
      <c r="P957" s="34" t="str">
        <f t="shared" si="219"/>
        <v/>
      </c>
      <c r="Q957" s="34" t="str">
        <f t="shared" si="220"/>
        <v/>
      </c>
      <c r="R957" s="34" t="str">
        <f t="shared" si="221"/>
        <v/>
      </c>
      <c r="S957" s="34" t="str">
        <f t="shared" si="222"/>
        <v/>
      </c>
    </row>
    <row r="958" spans="12:19" x14ac:dyDescent="0.3">
      <c r="L958" s="34" t="str">
        <f t="shared" si="223"/>
        <v/>
      </c>
      <c r="M958" s="34" t="str">
        <f t="shared" si="214"/>
        <v/>
      </c>
      <c r="N958" s="34" t="str">
        <f t="shared" si="217"/>
        <v/>
      </c>
      <c r="O958" s="34" t="str">
        <f t="shared" si="218"/>
        <v/>
      </c>
      <c r="P958" s="34" t="str">
        <f t="shared" si="219"/>
        <v/>
      </c>
      <c r="Q958" s="34" t="str">
        <f t="shared" si="220"/>
        <v/>
      </c>
      <c r="R958" s="34" t="str">
        <f t="shared" si="221"/>
        <v/>
      </c>
      <c r="S958" s="34" t="str">
        <f t="shared" si="222"/>
        <v/>
      </c>
    </row>
    <row r="959" spans="12:19" x14ac:dyDescent="0.3">
      <c r="L959" s="34" t="str">
        <f t="shared" si="223"/>
        <v/>
      </c>
      <c r="M959" s="34" t="str">
        <f t="shared" si="214"/>
        <v/>
      </c>
      <c r="N959" s="34" t="str">
        <f t="shared" si="217"/>
        <v/>
      </c>
      <c r="O959" s="34" t="str">
        <f t="shared" si="218"/>
        <v/>
      </c>
      <c r="P959" s="34" t="str">
        <f t="shared" si="219"/>
        <v/>
      </c>
      <c r="Q959" s="34" t="str">
        <f t="shared" si="220"/>
        <v/>
      </c>
      <c r="R959" s="34" t="str">
        <f t="shared" si="221"/>
        <v/>
      </c>
      <c r="S959" s="34" t="str">
        <f t="shared" si="222"/>
        <v/>
      </c>
    </row>
    <row r="960" spans="12:19" x14ac:dyDescent="0.3">
      <c r="L960" s="34" t="str">
        <f t="shared" si="223"/>
        <v/>
      </c>
      <c r="M960" s="34" t="str">
        <f t="shared" si="214"/>
        <v/>
      </c>
      <c r="N960" s="34" t="str">
        <f t="shared" si="217"/>
        <v/>
      </c>
      <c r="O960" s="34" t="str">
        <f t="shared" si="218"/>
        <v/>
      </c>
      <c r="P960" s="34" t="str">
        <f t="shared" si="219"/>
        <v/>
      </c>
      <c r="Q960" s="34" t="str">
        <f t="shared" si="220"/>
        <v/>
      </c>
      <c r="R960" s="34" t="str">
        <f t="shared" si="221"/>
        <v/>
      </c>
      <c r="S960" s="34" t="str">
        <f t="shared" si="222"/>
        <v/>
      </c>
    </row>
    <row r="961" spans="12:19" x14ac:dyDescent="0.3">
      <c r="L961" s="34" t="str">
        <f t="shared" si="223"/>
        <v/>
      </c>
      <c r="M961" s="34" t="str">
        <f t="shared" si="214"/>
        <v/>
      </c>
      <c r="N961" s="34" t="str">
        <f t="shared" si="217"/>
        <v/>
      </c>
      <c r="O961" s="34" t="str">
        <f t="shared" si="218"/>
        <v/>
      </c>
      <c r="P961" s="34" t="str">
        <f t="shared" si="219"/>
        <v/>
      </c>
      <c r="Q961" s="34" t="str">
        <f t="shared" si="220"/>
        <v/>
      </c>
      <c r="R961" s="34" t="str">
        <f t="shared" si="221"/>
        <v/>
      </c>
      <c r="S961" s="34" t="str">
        <f t="shared" si="222"/>
        <v/>
      </c>
    </row>
    <row r="962" spans="12:19" x14ac:dyDescent="0.3">
      <c r="L962" s="34" t="str">
        <f t="shared" si="223"/>
        <v/>
      </c>
      <c r="M962" s="34" t="str">
        <f t="shared" si="214"/>
        <v/>
      </c>
      <c r="N962" s="34" t="str">
        <f t="shared" si="217"/>
        <v/>
      </c>
      <c r="O962" s="34" t="str">
        <f t="shared" si="218"/>
        <v/>
      </c>
      <c r="P962" s="34" t="str">
        <f t="shared" si="219"/>
        <v/>
      </c>
      <c r="Q962" s="34" t="str">
        <f t="shared" si="220"/>
        <v/>
      </c>
      <c r="R962" s="34" t="str">
        <f t="shared" si="221"/>
        <v/>
      </c>
      <c r="S962" s="34" t="str">
        <f t="shared" si="222"/>
        <v/>
      </c>
    </row>
    <row r="963" spans="12:19" x14ac:dyDescent="0.3">
      <c r="L963" s="34" t="str">
        <f t="shared" si="223"/>
        <v/>
      </c>
      <c r="M963" s="34" t="str">
        <f t="shared" si="214"/>
        <v/>
      </c>
      <c r="N963" s="34" t="str">
        <f t="shared" si="217"/>
        <v/>
      </c>
      <c r="O963" s="34" t="str">
        <f t="shared" si="218"/>
        <v/>
      </c>
      <c r="P963" s="34" t="str">
        <f t="shared" si="219"/>
        <v/>
      </c>
      <c r="Q963" s="34" t="str">
        <f t="shared" si="220"/>
        <v/>
      </c>
      <c r="R963" s="34" t="str">
        <f t="shared" si="221"/>
        <v/>
      </c>
      <c r="S963" s="34" t="str">
        <f t="shared" si="222"/>
        <v/>
      </c>
    </row>
    <row r="964" spans="12:19" x14ac:dyDescent="0.3">
      <c r="L964" s="34" t="str">
        <f t="shared" si="223"/>
        <v/>
      </c>
      <c r="M964" s="34" t="str">
        <f t="shared" si="214"/>
        <v/>
      </c>
      <c r="N964" s="34" t="str">
        <f t="shared" si="217"/>
        <v/>
      </c>
      <c r="O964" s="34" t="str">
        <f t="shared" si="218"/>
        <v/>
      </c>
      <c r="P964" s="34" t="str">
        <f t="shared" si="219"/>
        <v/>
      </c>
      <c r="Q964" s="34" t="str">
        <f t="shared" si="220"/>
        <v/>
      </c>
      <c r="R964" s="34" t="str">
        <f t="shared" si="221"/>
        <v/>
      </c>
      <c r="S964" s="34" t="str">
        <f t="shared" si="222"/>
        <v/>
      </c>
    </row>
    <row r="965" spans="12:19" x14ac:dyDescent="0.3">
      <c r="L965" s="34" t="str">
        <f t="shared" si="223"/>
        <v/>
      </c>
      <c r="M965" s="34" t="str">
        <f t="shared" ref="M965:M1028" si="230">IF(AND(L965="s.csv",A965=1),ABS(1000/12/D965),"")</f>
        <v/>
      </c>
      <c r="N965" s="34" t="str">
        <f t="shared" si="217"/>
        <v/>
      </c>
      <c r="O965" s="34" t="str">
        <f t="shared" si="218"/>
        <v/>
      </c>
      <c r="P965" s="34" t="str">
        <f t="shared" si="219"/>
        <v/>
      </c>
      <c r="Q965" s="34" t="str">
        <f t="shared" si="220"/>
        <v/>
      </c>
      <c r="R965" s="34" t="str">
        <f t="shared" si="221"/>
        <v/>
      </c>
      <c r="S965" s="34" t="str">
        <f t="shared" si="222"/>
        <v/>
      </c>
    </row>
    <row r="966" spans="12:19" x14ac:dyDescent="0.3">
      <c r="L966" s="34" t="str">
        <f t="shared" si="223"/>
        <v/>
      </c>
      <c r="M966" s="34" t="str">
        <f t="shared" si="230"/>
        <v/>
      </c>
      <c r="N966" s="34" t="str">
        <f t="shared" si="217"/>
        <v/>
      </c>
      <c r="O966" s="34" t="str">
        <f t="shared" si="218"/>
        <v/>
      </c>
      <c r="P966" s="34" t="str">
        <f t="shared" si="219"/>
        <v/>
      </c>
      <c r="Q966" s="34" t="str">
        <f t="shared" si="220"/>
        <v/>
      </c>
      <c r="R966" s="34" t="str">
        <f t="shared" si="221"/>
        <v/>
      </c>
      <c r="S966" s="34" t="str">
        <f t="shared" si="222"/>
        <v/>
      </c>
    </row>
    <row r="967" spans="12:19" x14ac:dyDescent="0.3">
      <c r="L967" s="34" t="str">
        <f t="shared" si="223"/>
        <v/>
      </c>
      <c r="M967" s="34" t="str">
        <f t="shared" si="230"/>
        <v/>
      </c>
      <c r="N967" s="34" t="str">
        <f t="shared" si="217"/>
        <v/>
      </c>
      <c r="O967" s="34" t="str">
        <f t="shared" si="218"/>
        <v/>
      </c>
      <c r="P967" s="34" t="str">
        <f t="shared" si="219"/>
        <v/>
      </c>
      <c r="Q967" s="34" t="str">
        <f t="shared" si="220"/>
        <v/>
      </c>
      <c r="R967" s="34" t="str">
        <f t="shared" si="221"/>
        <v/>
      </c>
      <c r="S967" s="34" t="str">
        <f t="shared" si="222"/>
        <v/>
      </c>
    </row>
    <row r="968" spans="12:19" x14ac:dyDescent="0.3">
      <c r="L968" s="34" t="str">
        <f t="shared" si="223"/>
        <v/>
      </c>
      <c r="M968" s="34" t="str">
        <f t="shared" si="230"/>
        <v/>
      </c>
      <c r="N968" s="34" t="str">
        <f t="shared" si="217"/>
        <v/>
      </c>
      <c r="O968" s="34" t="str">
        <f t="shared" si="218"/>
        <v/>
      </c>
      <c r="P968" s="34" t="str">
        <f t="shared" si="219"/>
        <v/>
      </c>
      <c r="Q968" s="34" t="str">
        <f t="shared" si="220"/>
        <v/>
      </c>
      <c r="R968" s="34" t="str">
        <f t="shared" si="221"/>
        <v/>
      </c>
      <c r="S968" s="34" t="str">
        <f t="shared" si="222"/>
        <v/>
      </c>
    </row>
    <row r="969" spans="12:19" x14ac:dyDescent="0.3">
      <c r="L969" s="34" t="str">
        <f t="shared" si="223"/>
        <v/>
      </c>
      <c r="M969" s="34" t="str">
        <f t="shared" si="230"/>
        <v/>
      </c>
      <c r="N969" s="34" t="str">
        <f t="shared" si="217"/>
        <v/>
      </c>
      <c r="O969" s="34" t="str">
        <f t="shared" si="218"/>
        <v/>
      </c>
      <c r="P969" s="34" t="str">
        <f t="shared" si="219"/>
        <v/>
      </c>
      <c r="Q969" s="34" t="str">
        <f t="shared" si="220"/>
        <v/>
      </c>
      <c r="R969" s="34" t="str">
        <f t="shared" si="221"/>
        <v/>
      </c>
      <c r="S969" s="34" t="str">
        <f t="shared" si="222"/>
        <v/>
      </c>
    </row>
    <row r="970" spans="12:19" x14ac:dyDescent="0.3">
      <c r="M970" s="34" t="str">
        <f t="shared" si="230"/>
        <v/>
      </c>
      <c r="N970" s="34" t="str">
        <f t="shared" si="217"/>
        <v/>
      </c>
      <c r="O970" s="34" t="str">
        <f t="shared" si="218"/>
        <v/>
      </c>
      <c r="P970" s="34" t="str">
        <f t="shared" si="219"/>
        <v/>
      </c>
      <c r="Q970" s="34" t="str">
        <f t="shared" si="220"/>
        <v/>
      </c>
      <c r="R970" s="34" t="str">
        <f t="shared" si="221"/>
        <v/>
      </c>
      <c r="S970" s="34" t="str">
        <f t="shared" si="222"/>
        <v/>
      </c>
    </row>
    <row r="971" spans="12:19" x14ac:dyDescent="0.3">
      <c r="M971" s="34" t="str">
        <f t="shared" si="230"/>
        <v/>
      </c>
      <c r="N971" s="34" t="str">
        <f t="shared" si="217"/>
        <v/>
      </c>
      <c r="O971" s="34" t="str">
        <f t="shared" si="218"/>
        <v/>
      </c>
      <c r="P971" s="34" t="str">
        <f t="shared" si="219"/>
        <v/>
      </c>
      <c r="Q971" s="34" t="str">
        <f t="shared" si="220"/>
        <v/>
      </c>
      <c r="R971" s="34" t="str">
        <f t="shared" si="221"/>
        <v/>
      </c>
      <c r="S971" s="34" t="str">
        <f t="shared" si="222"/>
        <v/>
      </c>
    </row>
    <row r="972" spans="12:19" x14ac:dyDescent="0.3">
      <c r="L972" s="34" t="str">
        <f t="shared" ref="L972" si="231">RIGHT(A972,5)</f>
        <v/>
      </c>
      <c r="M972" s="34" t="str">
        <f t="shared" si="230"/>
        <v/>
      </c>
      <c r="N972" s="34" t="str">
        <f t="shared" ref="N972:N1035" si="232">IF(AND(OR($L972="l.csv",$L972="g.csv"),$E972&gt;4),F972,"")</f>
        <v/>
      </c>
      <c r="O972" s="34" t="str">
        <f t="shared" ref="O972:O1035" si="233">IF(AND(OR($L972="l.csv",$L972="g.csv"),$E972&gt;4),G972,"")</f>
        <v/>
      </c>
      <c r="P972" s="34" t="str">
        <f t="shared" ref="P972:P1035" si="234">IF(AND(OR($L972="l.csv",$L972="g.csv"),$E972&gt;4),H972,"")</f>
        <v/>
      </c>
      <c r="Q972" s="34" t="str">
        <f t="shared" ref="Q972:Q1035" si="235">IF(AND(OR($L972="l.csv",$L972="g.csv"),$E972&gt;4),I972,"")</f>
        <v/>
      </c>
      <c r="R972" s="34" t="str">
        <f t="shared" ref="R972:R1035" si="236">IF(AND(OR($L972="l.csv",$L972="g.csv"),$E972&gt;4),J972,"")</f>
        <v/>
      </c>
      <c r="S972" s="34" t="str">
        <f t="shared" ref="S972:S1035" si="237">IF(AND(OR($L972="l.csv",$L972="g.csv"),$E972&gt;4),K972,"")</f>
        <v/>
      </c>
    </row>
    <row r="973" spans="12:19" x14ac:dyDescent="0.3">
      <c r="L973" s="34" t="str">
        <f t="shared" ref="L973" si="238">L972</f>
        <v/>
      </c>
      <c r="M973" s="34" t="str">
        <f t="shared" si="230"/>
        <v/>
      </c>
      <c r="N973" s="34" t="str">
        <f t="shared" si="232"/>
        <v/>
      </c>
      <c r="O973" s="34" t="str">
        <f t="shared" si="233"/>
        <v/>
      </c>
      <c r="P973" s="34" t="str">
        <f t="shared" si="234"/>
        <v/>
      </c>
      <c r="Q973" s="34" t="str">
        <f t="shared" si="235"/>
        <v/>
      </c>
      <c r="R973" s="34" t="str">
        <f t="shared" si="236"/>
        <v/>
      </c>
      <c r="S973" s="34" t="str">
        <f t="shared" si="237"/>
        <v/>
      </c>
    </row>
    <row r="974" spans="12:19" x14ac:dyDescent="0.3">
      <c r="L974" s="34" t="str">
        <f t="shared" si="223"/>
        <v/>
      </c>
      <c r="M974" s="34" t="str">
        <f t="shared" si="230"/>
        <v/>
      </c>
      <c r="N974" s="34" t="str">
        <f t="shared" si="232"/>
        <v/>
      </c>
      <c r="O974" s="34" t="str">
        <f t="shared" si="233"/>
        <v/>
      </c>
      <c r="P974" s="34" t="str">
        <f t="shared" si="234"/>
        <v/>
      </c>
      <c r="Q974" s="34" t="str">
        <f t="shared" si="235"/>
        <v/>
      </c>
      <c r="R974" s="34" t="str">
        <f t="shared" si="236"/>
        <v/>
      </c>
      <c r="S974" s="34" t="str">
        <f t="shared" si="237"/>
        <v/>
      </c>
    </row>
    <row r="975" spans="12:19" x14ac:dyDescent="0.3">
      <c r="L975" s="34" t="str">
        <f t="shared" si="223"/>
        <v/>
      </c>
      <c r="M975" s="34" t="str">
        <f t="shared" si="230"/>
        <v/>
      </c>
      <c r="N975" s="34" t="str">
        <f t="shared" si="232"/>
        <v/>
      </c>
      <c r="O975" s="34" t="str">
        <f t="shared" si="233"/>
        <v/>
      </c>
      <c r="P975" s="34" t="str">
        <f t="shared" si="234"/>
        <v/>
      </c>
      <c r="Q975" s="34" t="str">
        <f t="shared" si="235"/>
        <v/>
      </c>
      <c r="R975" s="34" t="str">
        <f t="shared" si="236"/>
        <v/>
      </c>
      <c r="S975" s="34" t="str">
        <f t="shared" si="237"/>
        <v/>
      </c>
    </row>
    <row r="976" spans="12:19" x14ac:dyDescent="0.3">
      <c r="L976" s="34" t="str">
        <f t="shared" si="223"/>
        <v/>
      </c>
      <c r="M976" s="34" t="str">
        <f t="shared" si="230"/>
        <v/>
      </c>
      <c r="N976" s="34" t="str">
        <f t="shared" si="232"/>
        <v/>
      </c>
      <c r="O976" s="34" t="str">
        <f t="shared" si="233"/>
        <v/>
      </c>
      <c r="P976" s="34" t="str">
        <f t="shared" si="234"/>
        <v/>
      </c>
      <c r="Q976" s="34" t="str">
        <f t="shared" si="235"/>
        <v/>
      </c>
      <c r="R976" s="34" t="str">
        <f t="shared" si="236"/>
        <v/>
      </c>
      <c r="S976" s="34" t="str">
        <f t="shared" si="237"/>
        <v/>
      </c>
    </row>
    <row r="977" spans="12:19" x14ac:dyDescent="0.3">
      <c r="L977" s="34" t="str">
        <f t="shared" si="223"/>
        <v/>
      </c>
      <c r="M977" s="34" t="str">
        <f t="shared" si="230"/>
        <v/>
      </c>
      <c r="N977" s="34" t="str">
        <f t="shared" si="232"/>
        <v/>
      </c>
      <c r="O977" s="34" t="str">
        <f t="shared" si="233"/>
        <v/>
      </c>
      <c r="P977" s="34" t="str">
        <f t="shared" si="234"/>
        <v/>
      </c>
      <c r="Q977" s="34" t="str">
        <f t="shared" si="235"/>
        <v/>
      </c>
      <c r="R977" s="34" t="str">
        <f t="shared" si="236"/>
        <v/>
      </c>
      <c r="S977" s="34" t="str">
        <f t="shared" si="237"/>
        <v/>
      </c>
    </row>
    <row r="978" spans="12:19" x14ac:dyDescent="0.3">
      <c r="L978" s="34" t="str">
        <f t="shared" ref="L978:L1037" si="239">L977</f>
        <v/>
      </c>
      <c r="M978" s="34" t="str">
        <f t="shared" si="230"/>
        <v/>
      </c>
      <c r="N978" s="34" t="str">
        <f t="shared" si="232"/>
        <v/>
      </c>
      <c r="O978" s="34" t="str">
        <f t="shared" si="233"/>
        <v/>
      </c>
      <c r="P978" s="34" t="str">
        <f t="shared" si="234"/>
        <v/>
      </c>
      <c r="Q978" s="34" t="str">
        <f t="shared" si="235"/>
        <v/>
      </c>
      <c r="R978" s="34" t="str">
        <f t="shared" si="236"/>
        <v/>
      </c>
      <c r="S978" s="34" t="str">
        <f t="shared" si="237"/>
        <v/>
      </c>
    </row>
    <row r="979" spans="12:19" x14ac:dyDescent="0.3">
      <c r="L979" s="34" t="str">
        <f t="shared" si="239"/>
        <v/>
      </c>
      <c r="M979" s="34" t="str">
        <f t="shared" si="230"/>
        <v/>
      </c>
      <c r="N979" s="34" t="str">
        <f t="shared" si="232"/>
        <v/>
      </c>
      <c r="O979" s="34" t="str">
        <f t="shared" si="233"/>
        <v/>
      </c>
      <c r="P979" s="34" t="str">
        <f t="shared" si="234"/>
        <v/>
      </c>
      <c r="Q979" s="34" t="str">
        <f t="shared" si="235"/>
        <v/>
      </c>
      <c r="R979" s="34" t="str">
        <f t="shared" si="236"/>
        <v/>
      </c>
      <c r="S979" s="34" t="str">
        <f t="shared" si="237"/>
        <v/>
      </c>
    </row>
    <row r="980" spans="12:19" x14ac:dyDescent="0.3">
      <c r="L980" s="34" t="str">
        <f t="shared" si="239"/>
        <v/>
      </c>
      <c r="M980" s="34" t="str">
        <f t="shared" si="230"/>
        <v/>
      </c>
      <c r="N980" s="34" t="str">
        <f t="shared" si="232"/>
        <v/>
      </c>
      <c r="O980" s="34" t="str">
        <f t="shared" si="233"/>
        <v/>
      </c>
      <c r="P980" s="34" t="str">
        <f t="shared" si="234"/>
        <v/>
      </c>
      <c r="Q980" s="34" t="str">
        <f t="shared" si="235"/>
        <v/>
      </c>
      <c r="R980" s="34" t="str">
        <f t="shared" si="236"/>
        <v/>
      </c>
      <c r="S980" s="34" t="str">
        <f t="shared" si="237"/>
        <v/>
      </c>
    </row>
    <row r="981" spans="12:19" x14ac:dyDescent="0.3">
      <c r="L981" s="34" t="str">
        <f t="shared" si="239"/>
        <v/>
      </c>
      <c r="M981" s="34" t="str">
        <f t="shared" si="230"/>
        <v/>
      </c>
      <c r="N981" s="34" t="str">
        <f t="shared" si="232"/>
        <v/>
      </c>
      <c r="O981" s="34" t="str">
        <f t="shared" si="233"/>
        <v/>
      </c>
      <c r="P981" s="34" t="str">
        <f t="shared" si="234"/>
        <v/>
      </c>
      <c r="Q981" s="34" t="str">
        <f t="shared" si="235"/>
        <v/>
      </c>
      <c r="R981" s="34" t="str">
        <f t="shared" si="236"/>
        <v/>
      </c>
      <c r="S981" s="34" t="str">
        <f t="shared" si="237"/>
        <v/>
      </c>
    </row>
    <row r="982" spans="12:19" x14ac:dyDescent="0.3">
      <c r="L982" s="34" t="str">
        <f t="shared" si="239"/>
        <v/>
      </c>
      <c r="M982" s="34" t="str">
        <f t="shared" si="230"/>
        <v/>
      </c>
      <c r="N982" s="34" t="str">
        <f t="shared" si="232"/>
        <v/>
      </c>
      <c r="O982" s="34" t="str">
        <f t="shared" si="233"/>
        <v/>
      </c>
      <c r="P982" s="34" t="str">
        <f t="shared" si="234"/>
        <v/>
      </c>
      <c r="Q982" s="34" t="str">
        <f t="shared" si="235"/>
        <v/>
      </c>
      <c r="R982" s="34" t="str">
        <f t="shared" si="236"/>
        <v/>
      </c>
      <c r="S982" s="34" t="str">
        <f t="shared" si="237"/>
        <v/>
      </c>
    </row>
    <row r="983" spans="12:19" x14ac:dyDescent="0.3">
      <c r="L983" s="34" t="str">
        <f t="shared" si="239"/>
        <v/>
      </c>
      <c r="M983" s="34" t="str">
        <f t="shared" si="230"/>
        <v/>
      </c>
      <c r="N983" s="34" t="str">
        <f t="shared" si="232"/>
        <v/>
      </c>
      <c r="O983" s="34" t="str">
        <f t="shared" si="233"/>
        <v/>
      </c>
      <c r="P983" s="34" t="str">
        <f t="shared" si="234"/>
        <v/>
      </c>
      <c r="Q983" s="34" t="str">
        <f t="shared" si="235"/>
        <v/>
      </c>
      <c r="R983" s="34" t="str">
        <f t="shared" si="236"/>
        <v/>
      </c>
      <c r="S983" s="34" t="str">
        <f t="shared" si="237"/>
        <v/>
      </c>
    </row>
    <row r="984" spans="12:19" x14ac:dyDescent="0.3">
      <c r="L984" s="34" t="str">
        <f t="shared" si="239"/>
        <v/>
      </c>
      <c r="M984" s="34" t="str">
        <f t="shared" si="230"/>
        <v/>
      </c>
      <c r="N984" s="34" t="str">
        <f t="shared" si="232"/>
        <v/>
      </c>
      <c r="O984" s="34" t="str">
        <f t="shared" si="233"/>
        <v/>
      </c>
      <c r="P984" s="34" t="str">
        <f t="shared" si="234"/>
        <v/>
      </c>
      <c r="Q984" s="34" t="str">
        <f t="shared" si="235"/>
        <v/>
      </c>
      <c r="R984" s="34" t="str">
        <f t="shared" si="236"/>
        <v/>
      </c>
      <c r="S984" s="34" t="str">
        <f t="shared" si="237"/>
        <v/>
      </c>
    </row>
    <row r="985" spans="12:19" x14ac:dyDescent="0.3">
      <c r="L985" s="34" t="str">
        <f t="shared" si="239"/>
        <v/>
      </c>
      <c r="M985" s="34" t="str">
        <f t="shared" si="230"/>
        <v/>
      </c>
      <c r="N985" s="34" t="str">
        <f t="shared" si="232"/>
        <v/>
      </c>
      <c r="O985" s="34" t="str">
        <f t="shared" si="233"/>
        <v/>
      </c>
      <c r="P985" s="34" t="str">
        <f t="shared" si="234"/>
        <v/>
      </c>
      <c r="Q985" s="34" t="str">
        <f t="shared" si="235"/>
        <v/>
      </c>
      <c r="R985" s="34" t="str">
        <f t="shared" si="236"/>
        <v/>
      </c>
      <c r="S985" s="34" t="str">
        <f t="shared" si="237"/>
        <v/>
      </c>
    </row>
    <row r="986" spans="12:19" x14ac:dyDescent="0.3">
      <c r="L986" s="34" t="str">
        <f t="shared" si="239"/>
        <v/>
      </c>
      <c r="M986" s="34" t="str">
        <f t="shared" si="230"/>
        <v/>
      </c>
      <c r="N986" s="34" t="str">
        <f t="shared" si="232"/>
        <v/>
      </c>
      <c r="O986" s="34" t="str">
        <f t="shared" si="233"/>
        <v/>
      </c>
      <c r="P986" s="34" t="str">
        <f t="shared" si="234"/>
        <v/>
      </c>
      <c r="Q986" s="34" t="str">
        <f t="shared" si="235"/>
        <v/>
      </c>
      <c r="R986" s="34" t="str">
        <f t="shared" si="236"/>
        <v/>
      </c>
      <c r="S986" s="34" t="str">
        <f t="shared" si="237"/>
        <v/>
      </c>
    </row>
    <row r="987" spans="12:19" x14ac:dyDescent="0.3">
      <c r="M987" s="34" t="str">
        <f t="shared" si="230"/>
        <v/>
      </c>
      <c r="N987" s="34" t="str">
        <f t="shared" si="232"/>
        <v/>
      </c>
      <c r="O987" s="34" t="str">
        <f t="shared" si="233"/>
        <v/>
      </c>
      <c r="P987" s="34" t="str">
        <f t="shared" si="234"/>
        <v/>
      </c>
      <c r="Q987" s="34" t="str">
        <f t="shared" si="235"/>
        <v/>
      </c>
      <c r="R987" s="34" t="str">
        <f t="shared" si="236"/>
        <v/>
      </c>
      <c r="S987" s="34" t="str">
        <f t="shared" si="237"/>
        <v/>
      </c>
    </row>
    <row r="988" spans="12:19" x14ac:dyDescent="0.3">
      <c r="M988" s="34" t="str">
        <f t="shared" si="230"/>
        <v/>
      </c>
      <c r="N988" s="34" t="str">
        <f t="shared" si="232"/>
        <v/>
      </c>
      <c r="O988" s="34" t="str">
        <f t="shared" si="233"/>
        <v/>
      </c>
      <c r="P988" s="34" t="str">
        <f t="shared" si="234"/>
        <v/>
      </c>
      <c r="Q988" s="34" t="str">
        <f t="shared" si="235"/>
        <v/>
      </c>
      <c r="R988" s="34" t="str">
        <f t="shared" si="236"/>
        <v/>
      </c>
      <c r="S988" s="34" t="str">
        <f t="shared" si="237"/>
        <v/>
      </c>
    </row>
    <row r="989" spans="12:19" x14ac:dyDescent="0.3">
      <c r="L989" s="34" t="str">
        <f t="shared" ref="L989" si="240">RIGHT(A989,5)</f>
        <v/>
      </c>
      <c r="M989" s="34" t="str">
        <f t="shared" si="230"/>
        <v/>
      </c>
      <c r="N989" s="34" t="str">
        <f t="shared" si="232"/>
        <v/>
      </c>
      <c r="O989" s="34" t="str">
        <f t="shared" si="233"/>
        <v/>
      </c>
      <c r="P989" s="34" t="str">
        <f t="shared" si="234"/>
        <v/>
      </c>
      <c r="Q989" s="34" t="str">
        <f t="shared" si="235"/>
        <v/>
      </c>
      <c r="R989" s="34" t="str">
        <f t="shared" si="236"/>
        <v/>
      </c>
      <c r="S989" s="34" t="str">
        <f t="shared" si="237"/>
        <v/>
      </c>
    </row>
    <row r="990" spans="12:19" x14ac:dyDescent="0.3">
      <c r="L990" s="34" t="str">
        <f t="shared" ref="L990" si="241">L989</f>
        <v/>
      </c>
      <c r="M990" s="34" t="str">
        <f t="shared" si="230"/>
        <v/>
      </c>
      <c r="N990" s="34" t="str">
        <f t="shared" si="232"/>
        <v/>
      </c>
      <c r="O990" s="34" t="str">
        <f t="shared" si="233"/>
        <v/>
      </c>
      <c r="P990" s="34" t="str">
        <f t="shared" si="234"/>
        <v/>
      </c>
      <c r="Q990" s="34" t="str">
        <f t="shared" si="235"/>
        <v/>
      </c>
      <c r="R990" s="34" t="str">
        <f t="shared" si="236"/>
        <v/>
      </c>
      <c r="S990" s="34" t="str">
        <f t="shared" si="237"/>
        <v/>
      </c>
    </row>
    <row r="991" spans="12:19" x14ac:dyDescent="0.3">
      <c r="L991" s="34" t="str">
        <f t="shared" si="239"/>
        <v/>
      </c>
      <c r="M991" s="34" t="str">
        <f t="shared" si="230"/>
        <v/>
      </c>
      <c r="N991" s="34" t="str">
        <f t="shared" si="232"/>
        <v/>
      </c>
      <c r="O991" s="34" t="str">
        <f t="shared" si="233"/>
        <v/>
      </c>
      <c r="P991" s="34" t="str">
        <f t="shared" si="234"/>
        <v/>
      </c>
      <c r="Q991" s="34" t="str">
        <f t="shared" si="235"/>
        <v/>
      </c>
      <c r="R991" s="34" t="str">
        <f t="shared" si="236"/>
        <v/>
      </c>
      <c r="S991" s="34" t="str">
        <f t="shared" si="237"/>
        <v/>
      </c>
    </row>
    <row r="992" spans="12:19" x14ac:dyDescent="0.3">
      <c r="L992" s="34" t="str">
        <f t="shared" si="239"/>
        <v/>
      </c>
      <c r="M992" s="34" t="str">
        <f t="shared" si="230"/>
        <v/>
      </c>
      <c r="N992" s="34" t="str">
        <f t="shared" si="232"/>
        <v/>
      </c>
      <c r="O992" s="34" t="str">
        <f t="shared" si="233"/>
        <v/>
      </c>
      <c r="P992" s="34" t="str">
        <f t="shared" si="234"/>
        <v/>
      </c>
      <c r="Q992" s="34" t="str">
        <f t="shared" si="235"/>
        <v/>
      </c>
      <c r="R992" s="34" t="str">
        <f t="shared" si="236"/>
        <v/>
      </c>
      <c r="S992" s="34" t="str">
        <f t="shared" si="237"/>
        <v/>
      </c>
    </row>
    <row r="993" spans="12:19" x14ac:dyDescent="0.3">
      <c r="L993" s="34" t="str">
        <f t="shared" si="239"/>
        <v/>
      </c>
      <c r="M993" s="34" t="str">
        <f t="shared" si="230"/>
        <v/>
      </c>
      <c r="N993" s="34" t="str">
        <f t="shared" si="232"/>
        <v/>
      </c>
      <c r="O993" s="34" t="str">
        <f t="shared" si="233"/>
        <v/>
      </c>
      <c r="P993" s="34" t="str">
        <f t="shared" si="234"/>
        <v/>
      </c>
      <c r="Q993" s="34" t="str">
        <f t="shared" si="235"/>
        <v/>
      </c>
      <c r="R993" s="34" t="str">
        <f t="shared" si="236"/>
        <v/>
      </c>
      <c r="S993" s="34" t="str">
        <f t="shared" si="237"/>
        <v/>
      </c>
    </row>
    <row r="994" spans="12:19" x14ac:dyDescent="0.3">
      <c r="L994" s="34" t="str">
        <f t="shared" si="239"/>
        <v/>
      </c>
      <c r="M994" s="34" t="str">
        <f t="shared" si="230"/>
        <v/>
      </c>
      <c r="N994" s="34" t="str">
        <f t="shared" si="232"/>
        <v/>
      </c>
      <c r="O994" s="34" t="str">
        <f t="shared" si="233"/>
        <v/>
      </c>
      <c r="P994" s="34" t="str">
        <f t="shared" si="234"/>
        <v/>
      </c>
      <c r="Q994" s="34" t="str">
        <f t="shared" si="235"/>
        <v/>
      </c>
      <c r="R994" s="34" t="str">
        <f t="shared" si="236"/>
        <v/>
      </c>
      <c r="S994" s="34" t="str">
        <f t="shared" si="237"/>
        <v/>
      </c>
    </row>
    <row r="995" spans="12:19" x14ac:dyDescent="0.3">
      <c r="L995" s="34" t="str">
        <f t="shared" si="239"/>
        <v/>
      </c>
      <c r="M995" s="34" t="str">
        <f t="shared" si="230"/>
        <v/>
      </c>
      <c r="N995" s="34" t="str">
        <f t="shared" si="232"/>
        <v/>
      </c>
      <c r="O995" s="34" t="str">
        <f t="shared" si="233"/>
        <v/>
      </c>
      <c r="P995" s="34" t="str">
        <f t="shared" si="234"/>
        <v/>
      </c>
      <c r="Q995" s="34" t="str">
        <f t="shared" si="235"/>
        <v/>
      </c>
      <c r="R995" s="34" t="str">
        <f t="shared" si="236"/>
        <v/>
      </c>
      <c r="S995" s="34" t="str">
        <f t="shared" si="237"/>
        <v/>
      </c>
    </row>
    <row r="996" spans="12:19" x14ac:dyDescent="0.3">
      <c r="L996" s="34" t="str">
        <f t="shared" si="239"/>
        <v/>
      </c>
      <c r="M996" s="34" t="str">
        <f t="shared" si="230"/>
        <v/>
      </c>
      <c r="N996" s="34" t="str">
        <f t="shared" si="232"/>
        <v/>
      </c>
      <c r="O996" s="34" t="str">
        <f t="shared" si="233"/>
        <v/>
      </c>
      <c r="P996" s="34" t="str">
        <f t="shared" si="234"/>
        <v/>
      </c>
      <c r="Q996" s="34" t="str">
        <f t="shared" si="235"/>
        <v/>
      </c>
      <c r="R996" s="34" t="str">
        <f t="shared" si="236"/>
        <v/>
      </c>
      <c r="S996" s="34" t="str">
        <f t="shared" si="237"/>
        <v/>
      </c>
    </row>
    <row r="997" spans="12:19" x14ac:dyDescent="0.3">
      <c r="L997" s="34" t="str">
        <f t="shared" si="239"/>
        <v/>
      </c>
      <c r="M997" s="34" t="str">
        <f t="shared" si="230"/>
        <v/>
      </c>
      <c r="N997" s="34" t="str">
        <f t="shared" si="232"/>
        <v/>
      </c>
      <c r="O997" s="34" t="str">
        <f t="shared" si="233"/>
        <v/>
      </c>
      <c r="P997" s="34" t="str">
        <f t="shared" si="234"/>
        <v/>
      </c>
      <c r="Q997" s="34" t="str">
        <f t="shared" si="235"/>
        <v/>
      </c>
      <c r="R997" s="34" t="str">
        <f t="shared" si="236"/>
        <v/>
      </c>
      <c r="S997" s="34" t="str">
        <f t="shared" si="237"/>
        <v/>
      </c>
    </row>
    <row r="998" spans="12:19" x14ac:dyDescent="0.3">
      <c r="L998" s="34" t="str">
        <f t="shared" si="239"/>
        <v/>
      </c>
      <c r="M998" s="34" t="str">
        <f t="shared" si="230"/>
        <v/>
      </c>
      <c r="N998" s="34" t="str">
        <f t="shared" si="232"/>
        <v/>
      </c>
      <c r="O998" s="34" t="str">
        <f t="shared" si="233"/>
        <v/>
      </c>
      <c r="P998" s="34" t="str">
        <f t="shared" si="234"/>
        <v/>
      </c>
      <c r="Q998" s="34" t="str">
        <f t="shared" si="235"/>
        <v/>
      </c>
      <c r="R998" s="34" t="str">
        <f t="shared" si="236"/>
        <v/>
      </c>
      <c r="S998" s="34" t="str">
        <f t="shared" si="237"/>
        <v/>
      </c>
    </row>
    <row r="999" spans="12:19" x14ac:dyDescent="0.3">
      <c r="L999" s="34" t="str">
        <f t="shared" si="239"/>
        <v/>
      </c>
      <c r="M999" s="34" t="str">
        <f t="shared" si="230"/>
        <v/>
      </c>
      <c r="N999" s="34" t="str">
        <f t="shared" si="232"/>
        <v/>
      </c>
      <c r="O999" s="34" t="str">
        <f t="shared" si="233"/>
        <v/>
      </c>
      <c r="P999" s="34" t="str">
        <f t="shared" si="234"/>
        <v/>
      </c>
      <c r="Q999" s="34" t="str">
        <f t="shared" si="235"/>
        <v/>
      </c>
      <c r="R999" s="34" t="str">
        <f t="shared" si="236"/>
        <v/>
      </c>
      <c r="S999" s="34" t="str">
        <f t="shared" si="237"/>
        <v/>
      </c>
    </row>
    <row r="1000" spans="12:19" x14ac:dyDescent="0.3">
      <c r="L1000" s="34" t="str">
        <f t="shared" si="239"/>
        <v/>
      </c>
      <c r="M1000" s="34" t="str">
        <f t="shared" si="230"/>
        <v/>
      </c>
      <c r="N1000" s="34" t="str">
        <f t="shared" si="232"/>
        <v/>
      </c>
      <c r="O1000" s="34" t="str">
        <f t="shared" si="233"/>
        <v/>
      </c>
      <c r="P1000" s="34" t="str">
        <f t="shared" si="234"/>
        <v/>
      </c>
      <c r="Q1000" s="34" t="str">
        <f t="shared" si="235"/>
        <v/>
      </c>
      <c r="R1000" s="34" t="str">
        <f t="shared" si="236"/>
        <v/>
      </c>
      <c r="S1000" s="34" t="str">
        <f t="shared" si="237"/>
        <v/>
      </c>
    </row>
    <row r="1001" spans="12:19" x14ac:dyDescent="0.3">
      <c r="L1001" s="34" t="str">
        <f t="shared" si="239"/>
        <v/>
      </c>
      <c r="M1001" s="34" t="str">
        <f t="shared" si="230"/>
        <v/>
      </c>
      <c r="N1001" s="34" t="str">
        <f t="shared" si="232"/>
        <v/>
      </c>
      <c r="O1001" s="34" t="str">
        <f t="shared" si="233"/>
        <v/>
      </c>
      <c r="P1001" s="34" t="str">
        <f t="shared" si="234"/>
        <v/>
      </c>
      <c r="Q1001" s="34" t="str">
        <f t="shared" si="235"/>
        <v/>
      </c>
      <c r="R1001" s="34" t="str">
        <f t="shared" si="236"/>
        <v/>
      </c>
      <c r="S1001" s="34" t="str">
        <f t="shared" si="237"/>
        <v/>
      </c>
    </row>
    <row r="1002" spans="12:19" x14ac:dyDescent="0.3">
      <c r="L1002" s="34" t="str">
        <f t="shared" si="239"/>
        <v/>
      </c>
      <c r="M1002" s="34" t="str">
        <f t="shared" si="230"/>
        <v/>
      </c>
      <c r="N1002" s="34" t="str">
        <f t="shared" si="232"/>
        <v/>
      </c>
      <c r="O1002" s="34" t="str">
        <f t="shared" si="233"/>
        <v/>
      </c>
      <c r="P1002" s="34" t="str">
        <f t="shared" si="234"/>
        <v/>
      </c>
      <c r="Q1002" s="34" t="str">
        <f t="shared" si="235"/>
        <v/>
      </c>
      <c r="R1002" s="34" t="str">
        <f t="shared" si="236"/>
        <v/>
      </c>
      <c r="S1002" s="34" t="str">
        <f t="shared" si="237"/>
        <v/>
      </c>
    </row>
    <row r="1003" spans="12:19" x14ac:dyDescent="0.3">
      <c r="L1003" s="34" t="str">
        <f t="shared" si="239"/>
        <v/>
      </c>
      <c r="M1003" s="34" t="str">
        <f t="shared" si="230"/>
        <v/>
      </c>
      <c r="N1003" s="34" t="str">
        <f t="shared" si="232"/>
        <v/>
      </c>
      <c r="O1003" s="34" t="str">
        <f t="shared" si="233"/>
        <v/>
      </c>
      <c r="P1003" s="34" t="str">
        <f t="shared" si="234"/>
        <v/>
      </c>
      <c r="Q1003" s="34" t="str">
        <f t="shared" si="235"/>
        <v/>
      </c>
      <c r="R1003" s="34" t="str">
        <f t="shared" si="236"/>
        <v/>
      </c>
      <c r="S1003" s="34" t="str">
        <f t="shared" si="237"/>
        <v/>
      </c>
    </row>
    <row r="1004" spans="12:19" x14ac:dyDescent="0.3">
      <c r="M1004" s="34" t="str">
        <f t="shared" si="230"/>
        <v/>
      </c>
      <c r="N1004" s="34" t="str">
        <f t="shared" si="232"/>
        <v/>
      </c>
      <c r="O1004" s="34" t="str">
        <f t="shared" si="233"/>
        <v/>
      </c>
      <c r="P1004" s="34" t="str">
        <f t="shared" si="234"/>
        <v/>
      </c>
      <c r="Q1004" s="34" t="str">
        <f t="shared" si="235"/>
        <v/>
      </c>
      <c r="R1004" s="34" t="str">
        <f t="shared" si="236"/>
        <v/>
      </c>
      <c r="S1004" s="34" t="str">
        <f t="shared" si="237"/>
        <v/>
      </c>
    </row>
    <row r="1005" spans="12:19" x14ac:dyDescent="0.3">
      <c r="M1005" s="34" t="str">
        <f t="shared" si="230"/>
        <v/>
      </c>
      <c r="N1005" s="34" t="str">
        <f t="shared" si="232"/>
        <v/>
      </c>
      <c r="O1005" s="34" t="str">
        <f t="shared" si="233"/>
        <v/>
      </c>
      <c r="P1005" s="34" t="str">
        <f t="shared" si="234"/>
        <v/>
      </c>
      <c r="Q1005" s="34" t="str">
        <f t="shared" si="235"/>
        <v/>
      </c>
      <c r="R1005" s="34" t="str">
        <f t="shared" si="236"/>
        <v/>
      </c>
      <c r="S1005" s="34" t="str">
        <f t="shared" si="237"/>
        <v/>
      </c>
    </row>
    <row r="1006" spans="12:19" x14ac:dyDescent="0.3">
      <c r="L1006" s="34" t="str">
        <f t="shared" ref="L1006" si="242">RIGHT(A1006,5)</f>
        <v/>
      </c>
      <c r="M1006" s="34" t="str">
        <f t="shared" si="230"/>
        <v/>
      </c>
      <c r="N1006" s="34" t="str">
        <f t="shared" si="232"/>
        <v/>
      </c>
      <c r="O1006" s="34" t="str">
        <f t="shared" si="233"/>
        <v/>
      </c>
      <c r="P1006" s="34" t="str">
        <f t="shared" si="234"/>
        <v/>
      </c>
      <c r="Q1006" s="34" t="str">
        <f t="shared" si="235"/>
        <v/>
      </c>
      <c r="R1006" s="34" t="str">
        <f t="shared" si="236"/>
        <v/>
      </c>
      <c r="S1006" s="34" t="str">
        <f t="shared" si="237"/>
        <v/>
      </c>
    </row>
    <row r="1007" spans="12:19" x14ac:dyDescent="0.3">
      <c r="L1007" s="34" t="str">
        <f t="shared" ref="L1007" si="243">L1006</f>
        <v/>
      </c>
      <c r="M1007" s="34" t="str">
        <f t="shared" si="230"/>
        <v/>
      </c>
      <c r="N1007" s="34" t="str">
        <f t="shared" si="232"/>
        <v/>
      </c>
      <c r="O1007" s="34" t="str">
        <f t="shared" si="233"/>
        <v/>
      </c>
      <c r="P1007" s="34" t="str">
        <f t="shared" si="234"/>
        <v/>
      </c>
      <c r="Q1007" s="34" t="str">
        <f t="shared" si="235"/>
        <v/>
      </c>
      <c r="R1007" s="34" t="str">
        <f t="shared" si="236"/>
        <v/>
      </c>
      <c r="S1007" s="34" t="str">
        <f t="shared" si="237"/>
        <v/>
      </c>
    </row>
    <row r="1008" spans="12:19" x14ac:dyDescent="0.3">
      <c r="L1008" s="34" t="str">
        <f t="shared" si="239"/>
        <v/>
      </c>
      <c r="M1008" s="34" t="str">
        <f t="shared" si="230"/>
        <v/>
      </c>
      <c r="N1008" s="34" t="str">
        <f t="shared" si="232"/>
        <v/>
      </c>
      <c r="O1008" s="34" t="str">
        <f t="shared" si="233"/>
        <v/>
      </c>
      <c r="P1008" s="34" t="str">
        <f t="shared" si="234"/>
        <v/>
      </c>
      <c r="Q1008" s="34" t="str">
        <f t="shared" si="235"/>
        <v/>
      </c>
      <c r="R1008" s="34" t="str">
        <f t="shared" si="236"/>
        <v/>
      </c>
      <c r="S1008" s="34" t="str">
        <f t="shared" si="237"/>
        <v/>
      </c>
    </row>
    <row r="1009" spans="12:19" x14ac:dyDescent="0.3">
      <c r="L1009" s="34" t="str">
        <f t="shared" si="239"/>
        <v/>
      </c>
      <c r="M1009" s="34" t="str">
        <f t="shared" si="230"/>
        <v/>
      </c>
      <c r="N1009" s="34" t="str">
        <f t="shared" si="232"/>
        <v/>
      </c>
      <c r="O1009" s="34" t="str">
        <f t="shared" si="233"/>
        <v/>
      </c>
      <c r="P1009" s="34" t="str">
        <f t="shared" si="234"/>
        <v/>
      </c>
      <c r="Q1009" s="34" t="str">
        <f t="shared" si="235"/>
        <v/>
      </c>
      <c r="R1009" s="34" t="str">
        <f t="shared" si="236"/>
        <v/>
      </c>
      <c r="S1009" s="34" t="str">
        <f t="shared" si="237"/>
        <v/>
      </c>
    </row>
    <row r="1010" spans="12:19" x14ac:dyDescent="0.3">
      <c r="L1010" s="34" t="str">
        <f t="shared" si="239"/>
        <v/>
      </c>
      <c r="M1010" s="34" t="str">
        <f t="shared" si="230"/>
        <v/>
      </c>
      <c r="N1010" s="34" t="str">
        <f t="shared" si="232"/>
        <v/>
      </c>
      <c r="O1010" s="34" t="str">
        <f t="shared" si="233"/>
        <v/>
      </c>
      <c r="P1010" s="34" t="str">
        <f t="shared" si="234"/>
        <v/>
      </c>
      <c r="Q1010" s="34" t="str">
        <f t="shared" si="235"/>
        <v/>
      </c>
      <c r="R1010" s="34" t="str">
        <f t="shared" si="236"/>
        <v/>
      </c>
      <c r="S1010" s="34" t="str">
        <f t="shared" si="237"/>
        <v/>
      </c>
    </row>
    <row r="1011" spans="12:19" x14ac:dyDescent="0.3">
      <c r="L1011" s="34" t="str">
        <f t="shared" si="239"/>
        <v/>
      </c>
      <c r="M1011" s="34" t="str">
        <f t="shared" si="230"/>
        <v/>
      </c>
      <c r="N1011" s="34" t="str">
        <f t="shared" si="232"/>
        <v/>
      </c>
      <c r="O1011" s="34" t="str">
        <f t="shared" si="233"/>
        <v/>
      </c>
      <c r="P1011" s="34" t="str">
        <f t="shared" si="234"/>
        <v/>
      </c>
      <c r="Q1011" s="34" t="str">
        <f t="shared" si="235"/>
        <v/>
      </c>
      <c r="R1011" s="34" t="str">
        <f t="shared" si="236"/>
        <v/>
      </c>
      <c r="S1011" s="34" t="str">
        <f t="shared" si="237"/>
        <v/>
      </c>
    </row>
    <row r="1012" spans="12:19" x14ac:dyDescent="0.3">
      <c r="L1012" s="34" t="str">
        <f t="shared" si="239"/>
        <v/>
      </c>
      <c r="M1012" s="34" t="str">
        <f t="shared" si="230"/>
        <v/>
      </c>
      <c r="N1012" s="34" t="str">
        <f t="shared" si="232"/>
        <v/>
      </c>
      <c r="O1012" s="34" t="str">
        <f t="shared" si="233"/>
        <v/>
      </c>
      <c r="P1012" s="34" t="str">
        <f t="shared" si="234"/>
        <v/>
      </c>
      <c r="Q1012" s="34" t="str">
        <f t="shared" si="235"/>
        <v/>
      </c>
      <c r="R1012" s="34" t="str">
        <f t="shared" si="236"/>
        <v/>
      </c>
      <c r="S1012" s="34" t="str">
        <f t="shared" si="237"/>
        <v/>
      </c>
    </row>
    <row r="1013" spans="12:19" x14ac:dyDescent="0.3">
      <c r="L1013" s="34" t="str">
        <f t="shared" si="239"/>
        <v/>
      </c>
      <c r="M1013" s="34" t="str">
        <f t="shared" si="230"/>
        <v/>
      </c>
      <c r="N1013" s="34" t="str">
        <f t="shared" si="232"/>
        <v/>
      </c>
      <c r="O1013" s="34" t="str">
        <f t="shared" si="233"/>
        <v/>
      </c>
      <c r="P1013" s="34" t="str">
        <f t="shared" si="234"/>
        <v/>
      </c>
      <c r="Q1013" s="34" t="str">
        <f t="shared" si="235"/>
        <v/>
      </c>
      <c r="R1013" s="34" t="str">
        <f t="shared" si="236"/>
        <v/>
      </c>
      <c r="S1013" s="34" t="str">
        <f t="shared" si="237"/>
        <v/>
      </c>
    </row>
    <row r="1014" spans="12:19" x14ac:dyDescent="0.3">
      <c r="L1014" s="34" t="str">
        <f t="shared" si="239"/>
        <v/>
      </c>
      <c r="M1014" s="34" t="str">
        <f t="shared" si="230"/>
        <v/>
      </c>
      <c r="N1014" s="34" t="str">
        <f t="shared" si="232"/>
        <v/>
      </c>
      <c r="O1014" s="34" t="str">
        <f t="shared" si="233"/>
        <v/>
      </c>
      <c r="P1014" s="34" t="str">
        <f t="shared" si="234"/>
        <v/>
      </c>
      <c r="Q1014" s="34" t="str">
        <f t="shared" si="235"/>
        <v/>
      </c>
      <c r="R1014" s="34" t="str">
        <f t="shared" si="236"/>
        <v/>
      </c>
      <c r="S1014" s="34" t="str">
        <f t="shared" si="237"/>
        <v/>
      </c>
    </row>
    <row r="1015" spans="12:19" x14ac:dyDescent="0.3">
      <c r="L1015" s="34" t="str">
        <f t="shared" si="239"/>
        <v/>
      </c>
      <c r="M1015" s="34" t="str">
        <f t="shared" si="230"/>
        <v/>
      </c>
      <c r="N1015" s="34" t="str">
        <f t="shared" si="232"/>
        <v/>
      </c>
      <c r="O1015" s="34" t="str">
        <f t="shared" si="233"/>
        <v/>
      </c>
      <c r="P1015" s="34" t="str">
        <f t="shared" si="234"/>
        <v/>
      </c>
      <c r="Q1015" s="34" t="str">
        <f t="shared" si="235"/>
        <v/>
      </c>
      <c r="R1015" s="34" t="str">
        <f t="shared" si="236"/>
        <v/>
      </c>
      <c r="S1015" s="34" t="str">
        <f t="shared" si="237"/>
        <v/>
      </c>
    </row>
    <row r="1016" spans="12:19" x14ac:dyDescent="0.3">
      <c r="L1016" s="34" t="str">
        <f t="shared" si="239"/>
        <v/>
      </c>
      <c r="M1016" s="34" t="str">
        <f t="shared" si="230"/>
        <v/>
      </c>
      <c r="N1016" s="34" t="str">
        <f t="shared" si="232"/>
        <v/>
      </c>
      <c r="O1016" s="34" t="str">
        <f t="shared" si="233"/>
        <v/>
      </c>
      <c r="P1016" s="34" t="str">
        <f t="shared" si="234"/>
        <v/>
      </c>
      <c r="Q1016" s="34" t="str">
        <f t="shared" si="235"/>
        <v/>
      </c>
      <c r="R1016" s="34" t="str">
        <f t="shared" si="236"/>
        <v/>
      </c>
      <c r="S1016" s="34" t="str">
        <f t="shared" si="237"/>
        <v/>
      </c>
    </row>
    <row r="1017" spans="12:19" x14ac:dyDescent="0.3">
      <c r="L1017" s="34" t="str">
        <f t="shared" si="239"/>
        <v/>
      </c>
      <c r="M1017" s="34" t="str">
        <f t="shared" si="230"/>
        <v/>
      </c>
      <c r="N1017" s="34" t="str">
        <f t="shared" si="232"/>
        <v/>
      </c>
      <c r="O1017" s="34" t="str">
        <f t="shared" si="233"/>
        <v/>
      </c>
      <c r="P1017" s="34" t="str">
        <f t="shared" si="234"/>
        <v/>
      </c>
      <c r="Q1017" s="34" t="str">
        <f t="shared" si="235"/>
        <v/>
      </c>
      <c r="R1017" s="34" t="str">
        <f t="shared" si="236"/>
        <v/>
      </c>
      <c r="S1017" s="34" t="str">
        <f t="shared" si="237"/>
        <v/>
      </c>
    </row>
    <row r="1018" spans="12:19" x14ac:dyDescent="0.3">
      <c r="L1018" s="34" t="str">
        <f t="shared" si="239"/>
        <v/>
      </c>
      <c r="M1018" s="34" t="str">
        <f t="shared" si="230"/>
        <v/>
      </c>
      <c r="N1018" s="34" t="str">
        <f t="shared" si="232"/>
        <v/>
      </c>
      <c r="O1018" s="34" t="str">
        <f t="shared" si="233"/>
        <v/>
      </c>
      <c r="P1018" s="34" t="str">
        <f t="shared" si="234"/>
        <v/>
      </c>
      <c r="Q1018" s="34" t="str">
        <f t="shared" si="235"/>
        <v/>
      </c>
      <c r="R1018" s="34" t="str">
        <f t="shared" si="236"/>
        <v/>
      </c>
      <c r="S1018" s="34" t="str">
        <f t="shared" si="237"/>
        <v/>
      </c>
    </row>
    <row r="1019" spans="12:19" x14ac:dyDescent="0.3">
      <c r="L1019" s="34" t="str">
        <f t="shared" si="239"/>
        <v/>
      </c>
      <c r="M1019" s="34" t="str">
        <f t="shared" si="230"/>
        <v/>
      </c>
      <c r="N1019" s="34" t="str">
        <f t="shared" si="232"/>
        <v/>
      </c>
      <c r="O1019" s="34" t="str">
        <f t="shared" si="233"/>
        <v/>
      </c>
      <c r="P1019" s="34" t="str">
        <f t="shared" si="234"/>
        <v/>
      </c>
      <c r="Q1019" s="34" t="str">
        <f t="shared" si="235"/>
        <v/>
      </c>
      <c r="R1019" s="34" t="str">
        <f t="shared" si="236"/>
        <v/>
      </c>
      <c r="S1019" s="34" t="str">
        <f t="shared" si="237"/>
        <v/>
      </c>
    </row>
    <row r="1020" spans="12:19" x14ac:dyDescent="0.3">
      <c r="L1020" s="34" t="str">
        <f t="shared" si="239"/>
        <v/>
      </c>
      <c r="M1020" s="34" t="str">
        <f t="shared" si="230"/>
        <v/>
      </c>
      <c r="N1020" s="34" t="str">
        <f t="shared" si="232"/>
        <v/>
      </c>
      <c r="O1020" s="34" t="str">
        <f t="shared" si="233"/>
        <v/>
      </c>
      <c r="P1020" s="34" t="str">
        <f t="shared" si="234"/>
        <v/>
      </c>
      <c r="Q1020" s="34" t="str">
        <f t="shared" si="235"/>
        <v/>
      </c>
      <c r="R1020" s="34" t="str">
        <f t="shared" si="236"/>
        <v/>
      </c>
      <c r="S1020" s="34" t="str">
        <f t="shared" si="237"/>
        <v/>
      </c>
    </row>
    <row r="1021" spans="12:19" x14ac:dyDescent="0.3">
      <c r="M1021" s="34" t="str">
        <f t="shared" si="230"/>
        <v/>
      </c>
      <c r="N1021" s="34" t="str">
        <f t="shared" si="232"/>
        <v/>
      </c>
      <c r="O1021" s="34" t="str">
        <f t="shared" si="233"/>
        <v/>
      </c>
      <c r="P1021" s="34" t="str">
        <f t="shared" si="234"/>
        <v/>
      </c>
      <c r="Q1021" s="34" t="str">
        <f t="shared" si="235"/>
        <v/>
      </c>
      <c r="R1021" s="34" t="str">
        <f t="shared" si="236"/>
        <v/>
      </c>
      <c r="S1021" s="34" t="str">
        <f t="shared" si="237"/>
        <v/>
      </c>
    </row>
    <row r="1022" spans="12:19" x14ac:dyDescent="0.3">
      <c r="M1022" s="34" t="str">
        <f t="shared" si="230"/>
        <v/>
      </c>
      <c r="N1022" s="34" t="str">
        <f t="shared" si="232"/>
        <v/>
      </c>
      <c r="O1022" s="34" t="str">
        <f t="shared" si="233"/>
        <v/>
      </c>
      <c r="P1022" s="34" t="str">
        <f t="shared" si="234"/>
        <v/>
      </c>
      <c r="Q1022" s="34" t="str">
        <f t="shared" si="235"/>
        <v/>
      </c>
      <c r="R1022" s="34" t="str">
        <f t="shared" si="236"/>
        <v/>
      </c>
      <c r="S1022" s="34" t="str">
        <f t="shared" si="237"/>
        <v/>
      </c>
    </row>
    <row r="1023" spans="12:19" x14ac:dyDescent="0.3">
      <c r="L1023" s="34" t="str">
        <f t="shared" ref="L1023" si="244">RIGHT(A1023,5)</f>
        <v/>
      </c>
      <c r="M1023" s="34" t="str">
        <f t="shared" si="230"/>
        <v/>
      </c>
      <c r="N1023" s="34" t="str">
        <f t="shared" si="232"/>
        <v/>
      </c>
      <c r="O1023" s="34" t="str">
        <f t="shared" si="233"/>
        <v/>
      </c>
      <c r="P1023" s="34" t="str">
        <f t="shared" si="234"/>
        <v/>
      </c>
      <c r="Q1023" s="34" t="str">
        <f t="shared" si="235"/>
        <v/>
      </c>
      <c r="R1023" s="34" t="str">
        <f t="shared" si="236"/>
        <v/>
      </c>
      <c r="S1023" s="34" t="str">
        <f t="shared" si="237"/>
        <v/>
      </c>
    </row>
    <row r="1024" spans="12:19" x14ac:dyDescent="0.3">
      <c r="L1024" s="34" t="str">
        <f t="shared" ref="L1024" si="245">L1023</f>
        <v/>
      </c>
      <c r="M1024" s="34" t="str">
        <f t="shared" si="230"/>
        <v/>
      </c>
      <c r="N1024" s="34" t="str">
        <f t="shared" si="232"/>
        <v/>
      </c>
      <c r="O1024" s="34" t="str">
        <f t="shared" si="233"/>
        <v/>
      </c>
      <c r="P1024" s="34" t="str">
        <f t="shared" si="234"/>
        <v/>
      </c>
      <c r="Q1024" s="34" t="str">
        <f t="shared" si="235"/>
        <v/>
      </c>
      <c r="R1024" s="34" t="str">
        <f t="shared" si="236"/>
        <v/>
      </c>
      <c r="S1024" s="34" t="str">
        <f t="shared" si="237"/>
        <v/>
      </c>
    </row>
    <row r="1025" spans="12:19" x14ac:dyDescent="0.3">
      <c r="L1025" s="34" t="str">
        <f t="shared" si="239"/>
        <v/>
      </c>
      <c r="M1025" s="34" t="str">
        <f t="shared" si="230"/>
        <v/>
      </c>
      <c r="N1025" s="34" t="str">
        <f t="shared" si="232"/>
        <v/>
      </c>
      <c r="O1025" s="34" t="str">
        <f t="shared" si="233"/>
        <v/>
      </c>
      <c r="P1025" s="34" t="str">
        <f t="shared" si="234"/>
        <v/>
      </c>
      <c r="Q1025" s="34" t="str">
        <f t="shared" si="235"/>
        <v/>
      </c>
      <c r="R1025" s="34" t="str">
        <f t="shared" si="236"/>
        <v/>
      </c>
      <c r="S1025" s="34" t="str">
        <f t="shared" si="237"/>
        <v/>
      </c>
    </row>
    <row r="1026" spans="12:19" x14ac:dyDescent="0.3">
      <c r="L1026" s="34" t="str">
        <f t="shared" si="239"/>
        <v/>
      </c>
      <c r="M1026" s="34" t="str">
        <f t="shared" si="230"/>
        <v/>
      </c>
      <c r="N1026" s="34" t="str">
        <f t="shared" si="232"/>
        <v/>
      </c>
      <c r="O1026" s="34" t="str">
        <f t="shared" si="233"/>
        <v/>
      </c>
      <c r="P1026" s="34" t="str">
        <f t="shared" si="234"/>
        <v/>
      </c>
      <c r="Q1026" s="34" t="str">
        <f t="shared" si="235"/>
        <v/>
      </c>
      <c r="R1026" s="34" t="str">
        <f t="shared" si="236"/>
        <v/>
      </c>
      <c r="S1026" s="34" t="str">
        <f t="shared" si="237"/>
        <v/>
      </c>
    </row>
    <row r="1027" spans="12:19" x14ac:dyDescent="0.3">
      <c r="L1027" s="34" t="str">
        <f t="shared" si="239"/>
        <v/>
      </c>
      <c r="M1027" s="34" t="str">
        <f t="shared" si="230"/>
        <v/>
      </c>
      <c r="N1027" s="34" t="str">
        <f t="shared" si="232"/>
        <v/>
      </c>
      <c r="O1027" s="34" t="str">
        <f t="shared" si="233"/>
        <v/>
      </c>
      <c r="P1027" s="34" t="str">
        <f t="shared" si="234"/>
        <v/>
      </c>
      <c r="Q1027" s="34" t="str">
        <f t="shared" si="235"/>
        <v/>
      </c>
      <c r="R1027" s="34" t="str">
        <f t="shared" si="236"/>
        <v/>
      </c>
      <c r="S1027" s="34" t="str">
        <f t="shared" si="237"/>
        <v/>
      </c>
    </row>
    <row r="1028" spans="12:19" x14ac:dyDescent="0.3">
      <c r="L1028" s="34" t="str">
        <f t="shared" si="239"/>
        <v/>
      </c>
      <c r="M1028" s="34" t="str">
        <f t="shared" si="230"/>
        <v/>
      </c>
      <c r="N1028" s="34" t="str">
        <f t="shared" si="232"/>
        <v/>
      </c>
      <c r="O1028" s="34" t="str">
        <f t="shared" si="233"/>
        <v/>
      </c>
      <c r="P1028" s="34" t="str">
        <f t="shared" si="234"/>
        <v/>
      </c>
      <c r="Q1028" s="34" t="str">
        <f t="shared" si="235"/>
        <v/>
      </c>
      <c r="R1028" s="34" t="str">
        <f t="shared" si="236"/>
        <v/>
      </c>
      <c r="S1028" s="34" t="str">
        <f t="shared" si="237"/>
        <v/>
      </c>
    </row>
    <row r="1029" spans="12:19" x14ac:dyDescent="0.3">
      <c r="L1029" s="34" t="str">
        <f t="shared" si="239"/>
        <v/>
      </c>
      <c r="M1029" s="34" t="str">
        <f t="shared" ref="M1029:M1092" si="246">IF(AND(L1029="s.csv",A1029=1),ABS(1000/12/D1029),"")</f>
        <v/>
      </c>
      <c r="N1029" s="34" t="str">
        <f t="shared" si="232"/>
        <v/>
      </c>
      <c r="O1029" s="34" t="str">
        <f t="shared" si="233"/>
        <v/>
      </c>
      <c r="P1029" s="34" t="str">
        <f t="shared" si="234"/>
        <v/>
      </c>
      <c r="Q1029" s="34" t="str">
        <f t="shared" si="235"/>
        <v/>
      </c>
      <c r="R1029" s="34" t="str">
        <f t="shared" si="236"/>
        <v/>
      </c>
      <c r="S1029" s="34" t="str">
        <f t="shared" si="237"/>
        <v/>
      </c>
    </row>
    <row r="1030" spans="12:19" x14ac:dyDescent="0.3">
      <c r="L1030" s="34" t="str">
        <f t="shared" si="239"/>
        <v/>
      </c>
      <c r="M1030" s="34" t="str">
        <f t="shared" si="246"/>
        <v/>
      </c>
      <c r="N1030" s="34" t="str">
        <f t="shared" si="232"/>
        <v/>
      </c>
      <c r="O1030" s="34" t="str">
        <f t="shared" si="233"/>
        <v/>
      </c>
      <c r="P1030" s="34" t="str">
        <f t="shared" si="234"/>
        <v/>
      </c>
      <c r="Q1030" s="34" t="str">
        <f t="shared" si="235"/>
        <v/>
      </c>
      <c r="R1030" s="34" t="str">
        <f t="shared" si="236"/>
        <v/>
      </c>
      <c r="S1030" s="34" t="str">
        <f t="shared" si="237"/>
        <v/>
      </c>
    </row>
    <row r="1031" spans="12:19" x14ac:dyDescent="0.3">
      <c r="L1031" s="34" t="str">
        <f t="shared" si="239"/>
        <v/>
      </c>
      <c r="M1031" s="34" t="str">
        <f t="shared" si="246"/>
        <v/>
      </c>
      <c r="N1031" s="34" t="str">
        <f t="shared" si="232"/>
        <v/>
      </c>
      <c r="O1031" s="34" t="str">
        <f t="shared" si="233"/>
        <v/>
      </c>
      <c r="P1031" s="34" t="str">
        <f t="shared" si="234"/>
        <v/>
      </c>
      <c r="Q1031" s="34" t="str">
        <f t="shared" si="235"/>
        <v/>
      </c>
      <c r="R1031" s="34" t="str">
        <f t="shared" si="236"/>
        <v/>
      </c>
      <c r="S1031" s="34" t="str">
        <f t="shared" si="237"/>
        <v/>
      </c>
    </row>
    <row r="1032" spans="12:19" x14ac:dyDescent="0.3">
      <c r="L1032" s="34" t="str">
        <f t="shared" si="239"/>
        <v/>
      </c>
      <c r="M1032" s="34" t="str">
        <f t="shared" si="246"/>
        <v/>
      </c>
      <c r="N1032" s="34" t="str">
        <f t="shared" si="232"/>
        <v/>
      </c>
      <c r="O1032" s="34" t="str">
        <f t="shared" si="233"/>
        <v/>
      </c>
      <c r="P1032" s="34" t="str">
        <f t="shared" si="234"/>
        <v/>
      </c>
      <c r="Q1032" s="34" t="str">
        <f t="shared" si="235"/>
        <v/>
      </c>
      <c r="R1032" s="34" t="str">
        <f t="shared" si="236"/>
        <v/>
      </c>
      <c r="S1032" s="34" t="str">
        <f t="shared" si="237"/>
        <v/>
      </c>
    </row>
    <row r="1033" spans="12:19" x14ac:dyDescent="0.3">
      <c r="L1033" s="34" t="str">
        <f t="shared" si="239"/>
        <v/>
      </c>
      <c r="M1033" s="34" t="str">
        <f t="shared" si="246"/>
        <v/>
      </c>
      <c r="N1033" s="34" t="str">
        <f t="shared" si="232"/>
        <v/>
      </c>
      <c r="O1033" s="34" t="str">
        <f t="shared" si="233"/>
        <v/>
      </c>
      <c r="P1033" s="34" t="str">
        <f t="shared" si="234"/>
        <v/>
      </c>
      <c r="Q1033" s="34" t="str">
        <f t="shared" si="235"/>
        <v/>
      </c>
      <c r="R1033" s="34" t="str">
        <f t="shared" si="236"/>
        <v/>
      </c>
      <c r="S1033" s="34" t="str">
        <f t="shared" si="237"/>
        <v/>
      </c>
    </row>
    <row r="1034" spans="12:19" x14ac:dyDescent="0.3">
      <c r="L1034" s="34" t="str">
        <f t="shared" si="239"/>
        <v/>
      </c>
      <c r="M1034" s="34" t="str">
        <f t="shared" si="246"/>
        <v/>
      </c>
      <c r="N1034" s="34" t="str">
        <f t="shared" si="232"/>
        <v/>
      </c>
      <c r="O1034" s="34" t="str">
        <f t="shared" si="233"/>
        <v/>
      </c>
      <c r="P1034" s="34" t="str">
        <f t="shared" si="234"/>
        <v/>
      </c>
      <c r="Q1034" s="34" t="str">
        <f t="shared" si="235"/>
        <v/>
      </c>
      <c r="R1034" s="34" t="str">
        <f t="shared" si="236"/>
        <v/>
      </c>
      <c r="S1034" s="34" t="str">
        <f t="shared" si="237"/>
        <v/>
      </c>
    </row>
    <row r="1035" spans="12:19" x14ac:dyDescent="0.3">
      <c r="L1035" s="34" t="str">
        <f t="shared" si="239"/>
        <v/>
      </c>
      <c r="M1035" s="34" t="str">
        <f t="shared" si="246"/>
        <v/>
      </c>
      <c r="N1035" s="34" t="str">
        <f t="shared" si="232"/>
        <v/>
      </c>
      <c r="O1035" s="34" t="str">
        <f t="shared" si="233"/>
        <v/>
      </c>
      <c r="P1035" s="34" t="str">
        <f t="shared" si="234"/>
        <v/>
      </c>
      <c r="Q1035" s="34" t="str">
        <f t="shared" si="235"/>
        <v/>
      </c>
      <c r="R1035" s="34" t="str">
        <f t="shared" si="236"/>
        <v/>
      </c>
      <c r="S1035" s="34" t="str">
        <f t="shared" si="237"/>
        <v/>
      </c>
    </row>
    <row r="1036" spans="12:19" x14ac:dyDescent="0.3">
      <c r="L1036" s="34" t="str">
        <f t="shared" si="239"/>
        <v/>
      </c>
      <c r="M1036" s="34" t="str">
        <f t="shared" si="246"/>
        <v/>
      </c>
      <c r="N1036" s="34" t="str">
        <f t="shared" ref="N1036:N1099" si="247">IF(AND(OR($L1036="l.csv",$L1036="g.csv"),$E1036&gt;4),F1036,"")</f>
        <v/>
      </c>
      <c r="O1036" s="34" t="str">
        <f t="shared" ref="O1036:O1099" si="248">IF(AND(OR($L1036="l.csv",$L1036="g.csv"),$E1036&gt;4),G1036,"")</f>
        <v/>
      </c>
      <c r="P1036" s="34" t="str">
        <f t="shared" ref="P1036:P1099" si="249">IF(AND(OR($L1036="l.csv",$L1036="g.csv"),$E1036&gt;4),H1036,"")</f>
        <v/>
      </c>
      <c r="Q1036" s="34" t="str">
        <f t="shared" ref="Q1036:Q1099" si="250">IF(AND(OR($L1036="l.csv",$L1036="g.csv"),$E1036&gt;4),I1036,"")</f>
        <v/>
      </c>
      <c r="R1036" s="34" t="str">
        <f t="shared" ref="R1036:R1099" si="251">IF(AND(OR($L1036="l.csv",$L1036="g.csv"),$E1036&gt;4),J1036,"")</f>
        <v/>
      </c>
      <c r="S1036" s="34" t="str">
        <f t="shared" ref="S1036:S1099" si="252">IF(AND(OR($L1036="l.csv",$L1036="g.csv"),$E1036&gt;4),K1036,"")</f>
        <v/>
      </c>
    </row>
    <row r="1037" spans="12:19" x14ac:dyDescent="0.3">
      <c r="L1037" s="34" t="str">
        <f t="shared" si="239"/>
        <v/>
      </c>
      <c r="M1037" s="34" t="str">
        <f t="shared" si="246"/>
        <v/>
      </c>
      <c r="N1037" s="34" t="str">
        <f t="shared" si="247"/>
        <v/>
      </c>
      <c r="O1037" s="34" t="str">
        <f t="shared" si="248"/>
        <v/>
      </c>
      <c r="P1037" s="34" t="str">
        <f t="shared" si="249"/>
        <v/>
      </c>
      <c r="Q1037" s="34" t="str">
        <f t="shared" si="250"/>
        <v/>
      </c>
      <c r="R1037" s="34" t="str">
        <f t="shared" si="251"/>
        <v/>
      </c>
      <c r="S1037" s="34" t="str">
        <f t="shared" si="252"/>
        <v/>
      </c>
    </row>
    <row r="1038" spans="12:19" x14ac:dyDescent="0.3">
      <c r="M1038" s="34" t="str">
        <f t="shared" si="246"/>
        <v/>
      </c>
      <c r="N1038" s="34" t="str">
        <f t="shared" si="247"/>
        <v/>
      </c>
      <c r="O1038" s="34" t="str">
        <f t="shared" si="248"/>
        <v/>
      </c>
      <c r="P1038" s="34" t="str">
        <f t="shared" si="249"/>
        <v/>
      </c>
      <c r="Q1038" s="34" t="str">
        <f t="shared" si="250"/>
        <v/>
      </c>
      <c r="R1038" s="34" t="str">
        <f t="shared" si="251"/>
        <v/>
      </c>
      <c r="S1038" s="34" t="str">
        <f t="shared" si="252"/>
        <v/>
      </c>
    </row>
    <row r="1039" spans="12:19" x14ac:dyDescent="0.3">
      <c r="M1039" s="34" t="str">
        <f t="shared" si="246"/>
        <v/>
      </c>
      <c r="N1039" s="34" t="str">
        <f t="shared" si="247"/>
        <v/>
      </c>
      <c r="O1039" s="34" t="str">
        <f t="shared" si="248"/>
        <v/>
      </c>
      <c r="P1039" s="34" t="str">
        <f t="shared" si="249"/>
        <v/>
      </c>
      <c r="Q1039" s="34" t="str">
        <f t="shared" si="250"/>
        <v/>
      </c>
      <c r="R1039" s="34" t="str">
        <f t="shared" si="251"/>
        <v/>
      </c>
      <c r="S1039" s="34" t="str">
        <f t="shared" si="252"/>
        <v/>
      </c>
    </row>
    <row r="1040" spans="12:19" x14ac:dyDescent="0.3">
      <c r="L1040" s="34" t="str">
        <f t="shared" ref="L1040" si="253">RIGHT(A1040,5)</f>
        <v/>
      </c>
      <c r="M1040" s="34" t="str">
        <f t="shared" si="246"/>
        <v/>
      </c>
      <c r="N1040" s="34" t="str">
        <f t="shared" si="247"/>
        <v/>
      </c>
      <c r="O1040" s="34" t="str">
        <f t="shared" si="248"/>
        <v/>
      </c>
      <c r="P1040" s="34" t="str">
        <f t="shared" si="249"/>
        <v/>
      </c>
      <c r="Q1040" s="34" t="str">
        <f t="shared" si="250"/>
        <v/>
      </c>
      <c r="R1040" s="34" t="str">
        <f t="shared" si="251"/>
        <v/>
      </c>
      <c r="S1040" s="34" t="str">
        <f t="shared" si="252"/>
        <v/>
      </c>
    </row>
    <row r="1041" spans="12:19" x14ac:dyDescent="0.3">
      <c r="L1041" s="34" t="str">
        <f t="shared" ref="L1041:L1104" si="254">L1040</f>
        <v/>
      </c>
      <c r="M1041" s="34" t="str">
        <f t="shared" si="246"/>
        <v/>
      </c>
      <c r="N1041" s="34" t="str">
        <f t="shared" si="247"/>
        <v/>
      </c>
      <c r="O1041" s="34" t="str">
        <f t="shared" si="248"/>
        <v/>
      </c>
      <c r="P1041" s="34" t="str">
        <f t="shared" si="249"/>
        <v/>
      </c>
      <c r="Q1041" s="34" t="str">
        <f t="shared" si="250"/>
        <v/>
      </c>
      <c r="R1041" s="34" t="str">
        <f t="shared" si="251"/>
        <v/>
      </c>
      <c r="S1041" s="34" t="str">
        <f t="shared" si="252"/>
        <v/>
      </c>
    </row>
    <row r="1042" spans="12:19" x14ac:dyDescent="0.3">
      <c r="L1042" s="34" t="str">
        <f t="shared" si="254"/>
        <v/>
      </c>
      <c r="M1042" s="34" t="str">
        <f t="shared" si="246"/>
        <v/>
      </c>
      <c r="N1042" s="34" t="str">
        <f t="shared" si="247"/>
        <v/>
      </c>
      <c r="O1042" s="34" t="str">
        <f t="shared" si="248"/>
        <v/>
      </c>
      <c r="P1042" s="34" t="str">
        <f t="shared" si="249"/>
        <v/>
      </c>
      <c r="Q1042" s="34" t="str">
        <f t="shared" si="250"/>
        <v/>
      </c>
      <c r="R1042" s="34" t="str">
        <f t="shared" si="251"/>
        <v/>
      </c>
      <c r="S1042" s="34" t="str">
        <f t="shared" si="252"/>
        <v/>
      </c>
    </row>
    <row r="1043" spans="12:19" x14ac:dyDescent="0.3">
      <c r="L1043" s="34" t="str">
        <f t="shared" si="254"/>
        <v/>
      </c>
      <c r="M1043" s="34" t="str">
        <f t="shared" si="246"/>
        <v/>
      </c>
      <c r="N1043" s="34" t="str">
        <f t="shared" si="247"/>
        <v/>
      </c>
      <c r="O1043" s="34" t="str">
        <f t="shared" si="248"/>
        <v/>
      </c>
      <c r="P1043" s="34" t="str">
        <f t="shared" si="249"/>
        <v/>
      </c>
      <c r="Q1043" s="34" t="str">
        <f t="shared" si="250"/>
        <v/>
      </c>
      <c r="R1043" s="34" t="str">
        <f t="shared" si="251"/>
        <v/>
      </c>
      <c r="S1043" s="34" t="str">
        <f t="shared" si="252"/>
        <v/>
      </c>
    </row>
    <row r="1044" spans="12:19" x14ac:dyDescent="0.3">
      <c r="L1044" s="34" t="str">
        <f t="shared" si="254"/>
        <v/>
      </c>
      <c r="M1044" s="34" t="str">
        <f t="shared" si="246"/>
        <v/>
      </c>
      <c r="N1044" s="34" t="str">
        <f t="shared" si="247"/>
        <v/>
      </c>
      <c r="O1044" s="34" t="str">
        <f t="shared" si="248"/>
        <v/>
      </c>
      <c r="P1044" s="34" t="str">
        <f t="shared" si="249"/>
        <v/>
      </c>
      <c r="Q1044" s="34" t="str">
        <f t="shared" si="250"/>
        <v/>
      </c>
      <c r="R1044" s="34" t="str">
        <f t="shared" si="251"/>
        <v/>
      </c>
      <c r="S1044" s="34" t="str">
        <f t="shared" si="252"/>
        <v/>
      </c>
    </row>
    <row r="1045" spans="12:19" x14ac:dyDescent="0.3">
      <c r="L1045" s="34" t="str">
        <f t="shared" si="254"/>
        <v/>
      </c>
      <c r="M1045" s="34" t="str">
        <f t="shared" si="246"/>
        <v/>
      </c>
      <c r="N1045" s="34" t="str">
        <f t="shared" si="247"/>
        <v/>
      </c>
      <c r="O1045" s="34" t="str">
        <f t="shared" si="248"/>
        <v/>
      </c>
      <c r="P1045" s="34" t="str">
        <f t="shared" si="249"/>
        <v/>
      </c>
      <c r="Q1045" s="34" t="str">
        <f t="shared" si="250"/>
        <v/>
      </c>
      <c r="R1045" s="34" t="str">
        <f t="shared" si="251"/>
        <v/>
      </c>
      <c r="S1045" s="34" t="str">
        <f t="shared" si="252"/>
        <v/>
      </c>
    </row>
    <row r="1046" spans="12:19" x14ac:dyDescent="0.3">
      <c r="L1046" s="34" t="str">
        <f t="shared" si="254"/>
        <v/>
      </c>
      <c r="M1046" s="34" t="str">
        <f t="shared" si="246"/>
        <v/>
      </c>
      <c r="N1046" s="34" t="str">
        <f t="shared" si="247"/>
        <v/>
      </c>
      <c r="O1046" s="34" t="str">
        <f t="shared" si="248"/>
        <v/>
      </c>
      <c r="P1046" s="34" t="str">
        <f t="shared" si="249"/>
        <v/>
      </c>
      <c r="Q1046" s="34" t="str">
        <f t="shared" si="250"/>
        <v/>
      </c>
      <c r="R1046" s="34" t="str">
        <f t="shared" si="251"/>
        <v/>
      </c>
      <c r="S1046" s="34" t="str">
        <f t="shared" si="252"/>
        <v/>
      </c>
    </row>
    <row r="1047" spans="12:19" x14ac:dyDescent="0.3">
      <c r="L1047" s="34" t="str">
        <f t="shared" si="254"/>
        <v/>
      </c>
      <c r="M1047" s="34" t="str">
        <f t="shared" si="246"/>
        <v/>
      </c>
      <c r="N1047" s="34" t="str">
        <f t="shared" si="247"/>
        <v/>
      </c>
      <c r="O1047" s="34" t="str">
        <f t="shared" si="248"/>
        <v/>
      </c>
      <c r="P1047" s="34" t="str">
        <f t="shared" si="249"/>
        <v/>
      </c>
      <c r="Q1047" s="34" t="str">
        <f t="shared" si="250"/>
        <v/>
      </c>
      <c r="R1047" s="34" t="str">
        <f t="shared" si="251"/>
        <v/>
      </c>
      <c r="S1047" s="34" t="str">
        <f t="shared" si="252"/>
        <v/>
      </c>
    </row>
    <row r="1048" spans="12:19" x14ac:dyDescent="0.3">
      <c r="L1048" s="34" t="str">
        <f t="shared" si="254"/>
        <v/>
      </c>
      <c r="M1048" s="34" t="str">
        <f t="shared" si="246"/>
        <v/>
      </c>
      <c r="N1048" s="34" t="str">
        <f t="shared" si="247"/>
        <v/>
      </c>
      <c r="O1048" s="34" t="str">
        <f t="shared" si="248"/>
        <v/>
      </c>
      <c r="P1048" s="34" t="str">
        <f t="shared" si="249"/>
        <v/>
      </c>
      <c r="Q1048" s="34" t="str">
        <f t="shared" si="250"/>
        <v/>
      </c>
      <c r="R1048" s="34" t="str">
        <f t="shared" si="251"/>
        <v/>
      </c>
      <c r="S1048" s="34" t="str">
        <f t="shared" si="252"/>
        <v/>
      </c>
    </row>
    <row r="1049" spans="12:19" x14ac:dyDescent="0.3">
      <c r="L1049" s="34" t="str">
        <f t="shared" si="254"/>
        <v/>
      </c>
      <c r="M1049" s="34" t="str">
        <f t="shared" si="246"/>
        <v/>
      </c>
      <c r="N1049" s="34" t="str">
        <f t="shared" si="247"/>
        <v/>
      </c>
      <c r="O1049" s="34" t="str">
        <f t="shared" si="248"/>
        <v/>
      </c>
      <c r="P1049" s="34" t="str">
        <f t="shared" si="249"/>
        <v/>
      </c>
      <c r="Q1049" s="34" t="str">
        <f t="shared" si="250"/>
        <v/>
      </c>
      <c r="R1049" s="34" t="str">
        <f t="shared" si="251"/>
        <v/>
      </c>
      <c r="S1049" s="34" t="str">
        <f t="shared" si="252"/>
        <v/>
      </c>
    </row>
    <row r="1050" spans="12:19" x14ac:dyDescent="0.3">
      <c r="L1050" s="34" t="str">
        <f t="shared" si="254"/>
        <v/>
      </c>
      <c r="M1050" s="34" t="str">
        <f t="shared" si="246"/>
        <v/>
      </c>
      <c r="N1050" s="34" t="str">
        <f t="shared" si="247"/>
        <v/>
      </c>
      <c r="O1050" s="34" t="str">
        <f t="shared" si="248"/>
        <v/>
      </c>
      <c r="P1050" s="34" t="str">
        <f t="shared" si="249"/>
        <v/>
      </c>
      <c r="Q1050" s="34" t="str">
        <f t="shared" si="250"/>
        <v/>
      </c>
      <c r="R1050" s="34" t="str">
        <f t="shared" si="251"/>
        <v/>
      </c>
      <c r="S1050" s="34" t="str">
        <f t="shared" si="252"/>
        <v/>
      </c>
    </row>
    <row r="1051" spans="12:19" x14ac:dyDescent="0.3">
      <c r="L1051" s="34" t="str">
        <f t="shared" si="254"/>
        <v/>
      </c>
      <c r="M1051" s="34" t="str">
        <f t="shared" si="246"/>
        <v/>
      </c>
      <c r="N1051" s="34" t="str">
        <f t="shared" si="247"/>
        <v/>
      </c>
      <c r="O1051" s="34" t="str">
        <f t="shared" si="248"/>
        <v/>
      </c>
      <c r="P1051" s="34" t="str">
        <f t="shared" si="249"/>
        <v/>
      </c>
      <c r="Q1051" s="34" t="str">
        <f t="shared" si="250"/>
        <v/>
      </c>
      <c r="R1051" s="34" t="str">
        <f t="shared" si="251"/>
        <v/>
      </c>
      <c r="S1051" s="34" t="str">
        <f t="shared" si="252"/>
        <v/>
      </c>
    </row>
    <row r="1052" spans="12:19" x14ac:dyDescent="0.3">
      <c r="L1052" s="34" t="str">
        <f t="shared" si="254"/>
        <v/>
      </c>
      <c r="M1052" s="34" t="str">
        <f t="shared" si="246"/>
        <v/>
      </c>
      <c r="N1052" s="34" t="str">
        <f t="shared" si="247"/>
        <v/>
      </c>
      <c r="O1052" s="34" t="str">
        <f t="shared" si="248"/>
        <v/>
      </c>
      <c r="P1052" s="34" t="str">
        <f t="shared" si="249"/>
        <v/>
      </c>
      <c r="Q1052" s="34" t="str">
        <f t="shared" si="250"/>
        <v/>
      </c>
      <c r="R1052" s="34" t="str">
        <f t="shared" si="251"/>
        <v/>
      </c>
      <c r="S1052" s="34" t="str">
        <f t="shared" si="252"/>
        <v/>
      </c>
    </row>
    <row r="1053" spans="12:19" x14ac:dyDescent="0.3">
      <c r="L1053" s="34" t="str">
        <f t="shared" si="254"/>
        <v/>
      </c>
      <c r="M1053" s="34" t="str">
        <f t="shared" si="246"/>
        <v/>
      </c>
      <c r="N1053" s="34" t="str">
        <f t="shared" si="247"/>
        <v/>
      </c>
      <c r="O1053" s="34" t="str">
        <f t="shared" si="248"/>
        <v/>
      </c>
      <c r="P1053" s="34" t="str">
        <f t="shared" si="249"/>
        <v/>
      </c>
      <c r="Q1053" s="34" t="str">
        <f t="shared" si="250"/>
        <v/>
      </c>
      <c r="R1053" s="34" t="str">
        <f t="shared" si="251"/>
        <v/>
      </c>
      <c r="S1053" s="34" t="str">
        <f t="shared" si="252"/>
        <v/>
      </c>
    </row>
    <row r="1054" spans="12:19" x14ac:dyDescent="0.3">
      <c r="L1054" s="34" t="str">
        <f t="shared" si="254"/>
        <v/>
      </c>
      <c r="M1054" s="34" t="str">
        <f t="shared" si="246"/>
        <v/>
      </c>
      <c r="N1054" s="34" t="str">
        <f t="shared" si="247"/>
        <v/>
      </c>
      <c r="O1054" s="34" t="str">
        <f t="shared" si="248"/>
        <v/>
      </c>
      <c r="P1054" s="34" t="str">
        <f t="shared" si="249"/>
        <v/>
      </c>
      <c r="Q1054" s="34" t="str">
        <f t="shared" si="250"/>
        <v/>
      </c>
      <c r="R1054" s="34" t="str">
        <f t="shared" si="251"/>
        <v/>
      </c>
      <c r="S1054" s="34" t="str">
        <f t="shared" si="252"/>
        <v/>
      </c>
    </row>
    <row r="1055" spans="12:19" x14ac:dyDescent="0.3">
      <c r="M1055" s="34" t="str">
        <f t="shared" si="246"/>
        <v/>
      </c>
      <c r="N1055" s="34" t="str">
        <f t="shared" si="247"/>
        <v/>
      </c>
      <c r="O1055" s="34" t="str">
        <f t="shared" si="248"/>
        <v/>
      </c>
      <c r="P1055" s="34" t="str">
        <f t="shared" si="249"/>
        <v/>
      </c>
      <c r="Q1055" s="34" t="str">
        <f t="shared" si="250"/>
        <v/>
      </c>
      <c r="R1055" s="34" t="str">
        <f t="shared" si="251"/>
        <v/>
      </c>
      <c r="S1055" s="34" t="str">
        <f t="shared" si="252"/>
        <v/>
      </c>
    </row>
    <row r="1056" spans="12:19" x14ac:dyDescent="0.3">
      <c r="M1056" s="34" t="str">
        <f t="shared" si="246"/>
        <v/>
      </c>
      <c r="N1056" s="34" t="str">
        <f t="shared" si="247"/>
        <v/>
      </c>
      <c r="O1056" s="34" t="str">
        <f t="shared" si="248"/>
        <v/>
      </c>
      <c r="P1056" s="34" t="str">
        <f t="shared" si="249"/>
        <v/>
      </c>
      <c r="Q1056" s="34" t="str">
        <f t="shared" si="250"/>
        <v/>
      </c>
      <c r="R1056" s="34" t="str">
        <f t="shared" si="251"/>
        <v/>
      </c>
      <c r="S1056" s="34" t="str">
        <f t="shared" si="252"/>
        <v/>
      </c>
    </row>
    <row r="1057" spans="12:19" x14ac:dyDescent="0.3">
      <c r="L1057" s="34" t="str">
        <f t="shared" ref="L1057" si="255">RIGHT(A1057,5)</f>
        <v/>
      </c>
      <c r="M1057" s="34" t="str">
        <f t="shared" si="246"/>
        <v/>
      </c>
      <c r="N1057" s="34" t="str">
        <f t="shared" si="247"/>
        <v/>
      </c>
      <c r="O1057" s="34" t="str">
        <f t="shared" si="248"/>
        <v/>
      </c>
      <c r="P1057" s="34" t="str">
        <f t="shared" si="249"/>
        <v/>
      </c>
      <c r="Q1057" s="34" t="str">
        <f t="shared" si="250"/>
        <v/>
      </c>
      <c r="R1057" s="34" t="str">
        <f t="shared" si="251"/>
        <v/>
      </c>
      <c r="S1057" s="34" t="str">
        <f t="shared" si="252"/>
        <v/>
      </c>
    </row>
    <row r="1058" spans="12:19" x14ac:dyDescent="0.3">
      <c r="L1058" s="34" t="str">
        <f t="shared" ref="L1058" si="256">L1057</f>
        <v/>
      </c>
      <c r="M1058" s="34" t="str">
        <f t="shared" si="246"/>
        <v/>
      </c>
      <c r="N1058" s="34" t="str">
        <f t="shared" si="247"/>
        <v/>
      </c>
      <c r="O1058" s="34" t="str">
        <f t="shared" si="248"/>
        <v/>
      </c>
      <c r="P1058" s="34" t="str">
        <f t="shared" si="249"/>
        <v/>
      </c>
      <c r="Q1058" s="34" t="str">
        <f t="shared" si="250"/>
        <v/>
      </c>
      <c r="R1058" s="34" t="str">
        <f t="shared" si="251"/>
        <v/>
      </c>
      <c r="S1058" s="34" t="str">
        <f t="shared" si="252"/>
        <v/>
      </c>
    </row>
    <row r="1059" spans="12:19" x14ac:dyDescent="0.3">
      <c r="L1059" s="34" t="str">
        <f t="shared" si="254"/>
        <v/>
      </c>
      <c r="M1059" s="34" t="str">
        <f t="shared" si="246"/>
        <v/>
      </c>
      <c r="N1059" s="34" t="str">
        <f t="shared" si="247"/>
        <v/>
      </c>
      <c r="O1059" s="34" t="str">
        <f t="shared" si="248"/>
        <v/>
      </c>
      <c r="P1059" s="34" t="str">
        <f t="shared" si="249"/>
        <v/>
      </c>
      <c r="Q1059" s="34" t="str">
        <f t="shared" si="250"/>
        <v/>
      </c>
      <c r="R1059" s="34" t="str">
        <f t="shared" si="251"/>
        <v/>
      </c>
      <c r="S1059" s="34" t="str">
        <f t="shared" si="252"/>
        <v/>
      </c>
    </row>
    <row r="1060" spans="12:19" x14ac:dyDescent="0.3">
      <c r="L1060" s="34" t="str">
        <f t="shared" si="254"/>
        <v/>
      </c>
      <c r="M1060" s="34" t="str">
        <f t="shared" si="246"/>
        <v/>
      </c>
      <c r="N1060" s="34" t="str">
        <f t="shared" si="247"/>
        <v/>
      </c>
      <c r="O1060" s="34" t="str">
        <f t="shared" si="248"/>
        <v/>
      </c>
      <c r="P1060" s="34" t="str">
        <f t="shared" si="249"/>
        <v/>
      </c>
      <c r="Q1060" s="34" t="str">
        <f t="shared" si="250"/>
        <v/>
      </c>
      <c r="R1060" s="34" t="str">
        <f t="shared" si="251"/>
        <v/>
      </c>
      <c r="S1060" s="34" t="str">
        <f t="shared" si="252"/>
        <v/>
      </c>
    </row>
    <row r="1061" spans="12:19" x14ac:dyDescent="0.3">
      <c r="L1061" s="34" t="str">
        <f t="shared" si="254"/>
        <v/>
      </c>
      <c r="M1061" s="34" t="str">
        <f t="shared" si="246"/>
        <v/>
      </c>
      <c r="N1061" s="34" t="str">
        <f t="shared" si="247"/>
        <v/>
      </c>
      <c r="O1061" s="34" t="str">
        <f t="shared" si="248"/>
        <v/>
      </c>
      <c r="P1061" s="34" t="str">
        <f t="shared" si="249"/>
        <v/>
      </c>
      <c r="Q1061" s="34" t="str">
        <f t="shared" si="250"/>
        <v/>
      </c>
      <c r="R1061" s="34" t="str">
        <f t="shared" si="251"/>
        <v/>
      </c>
      <c r="S1061" s="34" t="str">
        <f t="shared" si="252"/>
        <v/>
      </c>
    </row>
    <row r="1062" spans="12:19" x14ac:dyDescent="0.3">
      <c r="L1062" s="34" t="str">
        <f t="shared" si="254"/>
        <v/>
      </c>
      <c r="M1062" s="34" t="str">
        <f t="shared" si="246"/>
        <v/>
      </c>
      <c r="N1062" s="34" t="str">
        <f t="shared" si="247"/>
        <v/>
      </c>
      <c r="O1062" s="34" t="str">
        <f t="shared" si="248"/>
        <v/>
      </c>
      <c r="P1062" s="34" t="str">
        <f t="shared" si="249"/>
        <v/>
      </c>
      <c r="Q1062" s="34" t="str">
        <f t="shared" si="250"/>
        <v/>
      </c>
      <c r="R1062" s="34" t="str">
        <f t="shared" si="251"/>
        <v/>
      </c>
      <c r="S1062" s="34" t="str">
        <f t="shared" si="252"/>
        <v/>
      </c>
    </row>
    <row r="1063" spans="12:19" x14ac:dyDescent="0.3">
      <c r="L1063" s="34" t="str">
        <f t="shared" si="254"/>
        <v/>
      </c>
      <c r="M1063" s="34" t="str">
        <f t="shared" si="246"/>
        <v/>
      </c>
      <c r="N1063" s="34" t="str">
        <f t="shared" si="247"/>
        <v/>
      </c>
      <c r="O1063" s="34" t="str">
        <f t="shared" si="248"/>
        <v/>
      </c>
      <c r="P1063" s="34" t="str">
        <f t="shared" si="249"/>
        <v/>
      </c>
      <c r="Q1063" s="34" t="str">
        <f t="shared" si="250"/>
        <v/>
      </c>
      <c r="R1063" s="34" t="str">
        <f t="shared" si="251"/>
        <v/>
      </c>
      <c r="S1063" s="34" t="str">
        <f t="shared" si="252"/>
        <v/>
      </c>
    </row>
    <row r="1064" spans="12:19" x14ac:dyDescent="0.3">
      <c r="L1064" s="34" t="str">
        <f t="shared" si="254"/>
        <v/>
      </c>
      <c r="M1064" s="34" t="str">
        <f t="shared" si="246"/>
        <v/>
      </c>
      <c r="N1064" s="34" t="str">
        <f t="shared" si="247"/>
        <v/>
      </c>
      <c r="O1064" s="34" t="str">
        <f t="shared" si="248"/>
        <v/>
      </c>
      <c r="P1064" s="34" t="str">
        <f t="shared" si="249"/>
        <v/>
      </c>
      <c r="Q1064" s="34" t="str">
        <f t="shared" si="250"/>
        <v/>
      </c>
      <c r="R1064" s="34" t="str">
        <f t="shared" si="251"/>
        <v/>
      </c>
      <c r="S1064" s="34" t="str">
        <f t="shared" si="252"/>
        <v/>
      </c>
    </row>
    <row r="1065" spans="12:19" x14ac:dyDescent="0.3">
      <c r="L1065" s="34" t="str">
        <f t="shared" si="254"/>
        <v/>
      </c>
      <c r="M1065" s="34" t="str">
        <f t="shared" si="246"/>
        <v/>
      </c>
      <c r="N1065" s="34" t="str">
        <f t="shared" si="247"/>
        <v/>
      </c>
      <c r="O1065" s="34" t="str">
        <f t="shared" si="248"/>
        <v/>
      </c>
      <c r="P1065" s="34" t="str">
        <f t="shared" si="249"/>
        <v/>
      </c>
      <c r="Q1065" s="34" t="str">
        <f t="shared" si="250"/>
        <v/>
      </c>
      <c r="R1065" s="34" t="str">
        <f t="shared" si="251"/>
        <v/>
      </c>
      <c r="S1065" s="34" t="str">
        <f t="shared" si="252"/>
        <v/>
      </c>
    </row>
    <row r="1066" spans="12:19" x14ac:dyDescent="0.3">
      <c r="L1066" s="34" t="str">
        <f t="shared" si="254"/>
        <v/>
      </c>
      <c r="M1066" s="34" t="str">
        <f t="shared" si="246"/>
        <v/>
      </c>
      <c r="N1066" s="34" t="str">
        <f t="shared" si="247"/>
        <v/>
      </c>
      <c r="O1066" s="34" t="str">
        <f t="shared" si="248"/>
        <v/>
      </c>
      <c r="P1066" s="34" t="str">
        <f t="shared" si="249"/>
        <v/>
      </c>
      <c r="Q1066" s="34" t="str">
        <f t="shared" si="250"/>
        <v/>
      </c>
      <c r="R1066" s="34" t="str">
        <f t="shared" si="251"/>
        <v/>
      </c>
      <c r="S1066" s="34" t="str">
        <f t="shared" si="252"/>
        <v/>
      </c>
    </row>
    <row r="1067" spans="12:19" x14ac:dyDescent="0.3">
      <c r="L1067" s="34" t="str">
        <f t="shared" si="254"/>
        <v/>
      </c>
      <c r="M1067" s="34" t="str">
        <f t="shared" si="246"/>
        <v/>
      </c>
      <c r="N1067" s="34" t="str">
        <f t="shared" si="247"/>
        <v/>
      </c>
      <c r="O1067" s="34" t="str">
        <f t="shared" si="248"/>
        <v/>
      </c>
      <c r="P1067" s="34" t="str">
        <f t="shared" si="249"/>
        <v/>
      </c>
      <c r="Q1067" s="34" t="str">
        <f t="shared" si="250"/>
        <v/>
      </c>
      <c r="R1067" s="34" t="str">
        <f t="shared" si="251"/>
        <v/>
      </c>
      <c r="S1067" s="34" t="str">
        <f t="shared" si="252"/>
        <v/>
      </c>
    </row>
    <row r="1068" spans="12:19" x14ac:dyDescent="0.3">
      <c r="L1068" s="34" t="str">
        <f t="shared" si="254"/>
        <v/>
      </c>
      <c r="M1068" s="34" t="str">
        <f t="shared" si="246"/>
        <v/>
      </c>
      <c r="N1068" s="34" t="str">
        <f t="shared" si="247"/>
        <v/>
      </c>
      <c r="O1068" s="34" t="str">
        <f t="shared" si="248"/>
        <v/>
      </c>
      <c r="P1068" s="34" t="str">
        <f t="shared" si="249"/>
        <v/>
      </c>
      <c r="Q1068" s="34" t="str">
        <f t="shared" si="250"/>
        <v/>
      </c>
      <c r="R1068" s="34" t="str">
        <f t="shared" si="251"/>
        <v/>
      </c>
      <c r="S1068" s="34" t="str">
        <f t="shared" si="252"/>
        <v/>
      </c>
    </row>
    <row r="1069" spans="12:19" x14ac:dyDescent="0.3">
      <c r="L1069" s="34" t="str">
        <f t="shared" si="254"/>
        <v/>
      </c>
      <c r="M1069" s="34" t="str">
        <f t="shared" si="246"/>
        <v/>
      </c>
      <c r="N1069" s="34" t="str">
        <f t="shared" si="247"/>
        <v/>
      </c>
      <c r="O1069" s="34" t="str">
        <f t="shared" si="248"/>
        <v/>
      </c>
      <c r="P1069" s="34" t="str">
        <f t="shared" si="249"/>
        <v/>
      </c>
      <c r="Q1069" s="34" t="str">
        <f t="shared" si="250"/>
        <v/>
      </c>
      <c r="R1069" s="34" t="str">
        <f t="shared" si="251"/>
        <v/>
      </c>
      <c r="S1069" s="34" t="str">
        <f t="shared" si="252"/>
        <v/>
      </c>
    </row>
    <row r="1070" spans="12:19" x14ac:dyDescent="0.3">
      <c r="L1070" s="34" t="str">
        <f t="shared" si="254"/>
        <v/>
      </c>
      <c r="M1070" s="34" t="str">
        <f t="shared" si="246"/>
        <v/>
      </c>
      <c r="N1070" s="34" t="str">
        <f t="shared" si="247"/>
        <v/>
      </c>
      <c r="O1070" s="34" t="str">
        <f t="shared" si="248"/>
        <v/>
      </c>
      <c r="P1070" s="34" t="str">
        <f t="shared" si="249"/>
        <v/>
      </c>
      <c r="Q1070" s="34" t="str">
        <f t="shared" si="250"/>
        <v/>
      </c>
      <c r="R1070" s="34" t="str">
        <f t="shared" si="251"/>
        <v/>
      </c>
      <c r="S1070" s="34" t="str">
        <f t="shared" si="252"/>
        <v/>
      </c>
    </row>
    <row r="1071" spans="12:19" x14ac:dyDescent="0.3">
      <c r="L1071" s="34" t="str">
        <f t="shared" si="254"/>
        <v/>
      </c>
      <c r="M1071" s="34" t="str">
        <f t="shared" si="246"/>
        <v/>
      </c>
      <c r="N1071" s="34" t="str">
        <f t="shared" si="247"/>
        <v/>
      </c>
      <c r="O1071" s="34" t="str">
        <f t="shared" si="248"/>
        <v/>
      </c>
      <c r="P1071" s="34" t="str">
        <f t="shared" si="249"/>
        <v/>
      </c>
      <c r="Q1071" s="34" t="str">
        <f t="shared" si="250"/>
        <v/>
      </c>
      <c r="R1071" s="34" t="str">
        <f t="shared" si="251"/>
        <v/>
      </c>
      <c r="S1071" s="34" t="str">
        <f t="shared" si="252"/>
        <v/>
      </c>
    </row>
    <row r="1072" spans="12:19" x14ac:dyDescent="0.3">
      <c r="M1072" s="34" t="str">
        <f t="shared" si="246"/>
        <v/>
      </c>
      <c r="N1072" s="34" t="str">
        <f t="shared" si="247"/>
        <v/>
      </c>
      <c r="O1072" s="34" t="str">
        <f t="shared" si="248"/>
        <v/>
      </c>
      <c r="P1072" s="34" t="str">
        <f t="shared" si="249"/>
        <v/>
      </c>
      <c r="Q1072" s="34" t="str">
        <f t="shared" si="250"/>
        <v/>
      </c>
      <c r="R1072" s="34" t="str">
        <f t="shared" si="251"/>
        <v/>
      </c>
      <c r="S1072" s="34" t="str">
        <f t="shared" si="252"/>
        <v/>
      </c>
    </row>
    <row r="1073" spans="12:19" x14ac:dyDescent="0.3">
      <c r="M1073" s="34" t="str">
        <f t="shared" si="246"/>
        <v/>
      </c>
      <c r="N1073" s="34" t="str">
        <f t="shared" si="247"/>
        <v/>
      </c>
      <c r="O1073" s="34" t="str">
        <f t="shared" si="248"/>
        <v/>
      </c>
      <c r="P1073" s="34" t="str">
        <f t="shared" si="249"/>
        <v/>
      </c>
      <c r="Q1073" s="34" t="str">
        <f t="shared" si="250"/>
        <v/>
      </c>
      <c r="R1073" s="34" t="str">
        <f t="shared" si="251"/>
        <v/>
      </c>
      <c r="S1073" s="34" t="str">
        <f t="shared" si="252"/>
        <v/>
      </c>
    </row>
    <row r="1074" spans="12:19" x14ac:dyDescent="0.3">
      <c r="L1074" s="34" t="str">
        <f t="shared" ref="L1074" si="257">RIGHT(A1074,5)</f>
        <v/>
      </c>
      <c r="M1074" s="34" t="str">
        <f t="shared" si="246"/>
        <v/>
      </c>
      <c r="N1074" s="34" t="str">
        <f t="shared" si="247"/>
        <v/>
      </c>
      <c r="O1074" s="34" t="str">
        <f t="shared" si="248"/>
        <v/>
      </c>
      <c r="P1074" s="34" t="str">
        <f t="shared" si="249"/>
        <v/>
      </c>
      <c r="Q1074" s="34" t="str">
        <f t="shared" si="250"/>
        <v/>
      </c>
      <c r="R1074" s="34" t="str">
        <f t="shared" si="251"/>
        <v/>
      </c>
      <c r="S1074" s="34" t="str">
        <f t="shared" si="252"/>
        <v/>
      </c>
    </row>
    <row r="1075" spans="12:19" x14ac:dyDescent="0.3">
      <c r="L1075" s="34" t="str">
        <f t="shared" ref="L1075" si="258">L1074</f>
        <v/>
      </c>
      <c r="M1075" s="34" t="str">
        <f t="shared" si="246"/>
        <v/>
      </c>
      <c r="N1075" s="34" t="str">
        <f t="shared" si="247"/>
        <v/>
      </c>
      <c r="O1075" s="34" t="str">
        <f t="shared" si="248"/>
        <v/>
      </c>
      <c r="P1075" s="34" t="str">
        <f t="shared" si="249"/>
        <v/>
      </c>
      <c r="Q1075" s="34" t="str">
        <f t="shared" si="250"/>
        <v/>
      </c>
      <c r="R1075" s="34" t="str">
        <f t="shared" si="251"/>
        <v/>
      </c>
      <c r="S1075" s="34" t="str">
        <f t="shared" si="252"/>
        <v/>
      </c>
    </row>
    <row r="1076" spans="12:19" x14ac:dyDescent="0.3">
      <c r="L1076" s="34" t="str">
        <f t="shared" si="254"/>
        <v/>
      </c>
      <c r="M1076" s="34" t="str">
        <f t="shared" si="246"/>
        <v/>
      </c>
      <c r="N1076" s="34" t="str">
        <f t="shared" si="247"/>
        <v/>
      </c>
      <c r="O1076" s="34" t="str">
        <f t="shared" si="248"/>
        <v/>
      </c>
      <c r="P1076" s="34" t="str">
        <f t="shared" si="249"/>
        <v/>
      </c>
      <c r="Q1076" s="34" t="str">
        <f t="shared" si="250"/>
        <v/>
      </c>
      <c r="R1076" s="34" t="str">
        <f t="shared" si="251"/>
        <v/>
      </c>
      <c r="S1076" s="34" t="str">
        <f t="shared" si="252"/>
        <v/>
      </c>
    </row>
    <row r="1077" spans="12:19" x14ac:dyDescent="0.3">
      <c r="L1077" s="34" t="str">
        <f t="shared" si="254"/>
        <v/>
      </c>
      <c r="M1077" s="34" t="str">
        <f t="shared" si="246"/>
        <v/>
      </c>
      <c r="N1077" s="34" t="str">
        <f t="shared" si="247"/>
        <v/>
      </c>
      <c r="O1077" s="34" t="str">
        <f t="shared" si="248"/>
        <v/>
      </c>
      <c r="P1077" s="34" t="str">
        <f t="shared" si="249"/>
        <v/>
      </c>
      <c r="Q1077" s="34" t="str">
        <f t="shared" si="250"/>
        <v/>
      </c>
      <c r="R1077" s="34" t="str">
        <f t="shared" si="251"/>
        <v/>
      </c>
      <c r="S1077" s="34" t="str">
        <f t="shared" si="252"/>
        <v/>
      </c>
    </row>
    <row r="1078" spans="12:19" x14ac:dyDescent="0.3">
      <c r="L1078" s="34" t="str">
        <f t="shared" si="254"/>
        <v/>
      </c>
      <c r="M1078" s="34" t="str">
        <f t="shared" si="246"/>
        <v/>
      </c>
      <c r="N1078" s="34" t="str">
        <f t="shared" si="247"/>
        <v/>
      </c>
      <c r="O1078" s="34" t="str">
        <f t="shared" si="248"/>
        <v/>
      </c>
      <c r="P1078" s="34" t="str">
        <f t="shared" si="249"/>
        <v/>
      </c>
      <c r="Q1078" s="34" t="str">
        <f t="shared" si="250"/>
        <v/>
      </c>
      <c r="R1078" s="34" t="str">
        <f t="shared" si="251"/>
        <v/>
      </c>
      <c r="S1078" s="34" t="str">
        <f t="shared" si="252"/>
        <v/>
      </c>
    </row>
    <row r="1079" spans="12:19" x14ac:dyDescent="0.3">
      <c r="L1079" s="34" t="str">
        <f t="shared" si="254"/>
        <v/>
      </c>
      <c r="M1079" s="34" t="str">
        <f t="shared" si="246"/>
        <v/>
      </c>
      <c r="N1079" s="34" t="str">
        <f t="shared" si="247"/>
        <v/>
      </c>
      <c r="O1079" s="34" t="str">
        <f t="shared" si="248"/>
        <v/>
      </c>
      <c r="P1079" s="34" t="str">
        <f t="shared" si="249"/>
        <v/>
      </c>
      <c r="Q1079" s="34" t="str">
        <f t="shared" si="250"/>
        <v/>
      </c>
      <c r="R1079" s="34" t="str">
        <f t="shared" si="251"/>
        <v/>
      </c>
      <c r="S1079" s="34" t="str">
        <f t="shared" si="252"/>
        <v/>
      </c>
    </row>
    <row r="1080" spans="12:19" x14ac:dyDescent="0.3">
      <c r="L1080" s="34" t="str">
        <f t="shared" si="254"/>
        <v/>
      </c>
      <c r="M1080" s="34" t="str">
        <f t="shared" si="246"/>
        <v/>
      </c>
      <c r="N1080" s="34" t="str">
        <f t="shared" si="247"/>
        <v/>
      </c>
      <c r="O1080" s="34" t="str">
        <f t="shared" si="248"/>
        <v/>
      </c>
      <c r="P1080" s="34" t="str">
        <f t="shared" si="249"/>
        <v/>
      </c>
      <c r="Q1080" s="34" t="str">
        <f t="shared" si="250"/>
        <v/>
      </c>
      <c r="R1080" s="34" t="str">
        <f t="shared" si="251"/>
        <v/>
      </c>
      <c r="S1080" s="34" t="str">
        <f t="shared" si="252"/>
        <v/>
      </c>
    </row>
    <row r="1081" spans="12:19" x14ac:dyDescent="0.3">
      <c r="L1081" s="34" t="str">
        <f t="shared" si="254"/>
        <v/>
      </c>
      <c r="M1081" s="34" t="str">
        <f t="shared" si="246"/>
        <v/>
      </c>
      <c r="N1081" s="34" t="str">
        <f t="shared" si="247"/>
        <v/>
      </c>
      <c r="O1081" s="34" t="str">
        <f t="shared" si="248"/>
        <v/>
      </c>
      <c r="P1081" s="34" t="str">
        <f t="shared" si="249"/>
        <v/>
      </c>
      <c r="Q1081" s="34" t="str">
        <f t="shared" si="250"/>
        <v/>
      </c>
      <c r="R1081" s="34" t="str">
        <f t="shared" si="251"/>
        <v/>
      </c>
      <c r="S1081" s="34" t="str">
        <f t="shared" si="252"/>
        <v/>
      </c>
    </row>
    <row r="1082" spans="12:19" x14ac:dyDescent="0.3">
      <c r="L1082" s="34" t="str">
        <f t="shared" si="254"/>
        <v/>
      </c>
      <c r="M1082" s="34" t="str">
        <f t="shared" si="246"/>
        <v/>
      </c>
      <c r="N1082" s="34" t="str">
        <f t="shared" si="247"/>
        <v/>
      </c>
      <c r="O1082" s="34" t="str">
        <f t="shared" si="248"/>
        <v/>
      </c>
      <c r="P1082" s="34" t="str">
        <f t="shared" si="249"/>
        <v/>
      </c>
      <c r="Q1082" s="34" t="str">
        <f t="shared" si="250"/>
        <v/>
      </c>
      <c r="R1082" s="34" t="str">
        <f t="shared" si="251"/>
        <v/>
      </c>
      <c r="S1082" s="34" t="str">
        <f t="shared" si="252"/>
        <v/>
      </c>
    </row>
    <row r="1083" spans="12:19" x14ac:dyDescent="0.3">
      <c r="L1083" s="34" t="str">
        <f t="shared" si="254"/>
        <v/>
      </c>
      <c r="M1083" s="34" t="str">
        <f t="shared" si="246"/>
        <v/>
      </c>
      <c r="N1083" s="34" t="str">
        <f t="shared" si="247"/>
        <v/>
      </c>
      <c r="O1083" s="34" t="str">
        <f t="shared" si="248"/>
        <v/>
      </c>
      <c r="P1083" s="34" t="str">
        <f t="shared" si="249"/>
        <v/>
      </c>
      <c r="Q1083" s="34" t="str">
        <f t="shared" si="250"/>
        <v/>
      </c>
      <c r="R1083" s="34" t="str">
        <f t="shared" si="251"/>
        <v/>
      </c>
      <c r="S1083" s="34" t="str">
        <f t="shared" si="252"/>
        <v/>
      </c>
    </row>
    <row r="1084" spans="12:19" x14ac:dyDescent="0.3">
      <c r="L1084" s="34" t="str">
        <f t="shared" si="254"/>
        <v/>
      </c>
      <c r="M1084" s="34" t="str">
        <f t="shared" si="246"/>
        <v/>
      </c>
      <c r="N1084" s="34" t="str">
        <f t="shared" si="247"/>
        <v/>
      </c>
      <c r="O1084" s="34" t="str">
        <f t="shared" si="248"/>
        <v/>
      </c>
      <c r="P1084" s="34" t="str">
        <f t="shared" si="249"/>
        <v/>
      </c>
      <c r="Q1084" s="34" t="str">
        <f t="shared" si="250"/>
        <v/>
      </c>
      <c r="R1084" s="34" t="str">
        <f t="shared" si="251"/>
        <v/>
      </c>
      <c r="S1084" s="34" t="str">
        <f t="shared" si="252"/>
        <v/>
      </c>
    </row>
    <row r="1085" spans="12:19" x14ac:dyDescent="0.3">
      <c r="L1085" s="34" t="str">
        <f t="shared" si="254"/>
        <v/>
      </c>
      <c r="M1085" s="34" t="str">
        <f t="shared" si="246"/>
        <v/>
      </c>
      <c r="N1085" s="34" t="str">
        <f t="shared" si="247"/>
        <v/>
      </c>
      <c r="O1085" s="34" t="str">
        <f t="shared" si="248"/>
        <v/>
      </c>
      <c r="P1085" s="34" t="str">
        <f t="shared" si="249"/>
        <v/>
      </c>
      <c r="Q1085" s="34" t="str">
        <f t="shared" si="250"/>
        <v/>
      </c>
      <c r="R1085" s="34" t="str">
        <f t="shared" si="251"/>
        <v/>
      </c>
      <c r="S1085" s="34" t="str">
        <f t="shared" si="252"/>
        <v/>
      </c>
    </row>
    <row r="1086" spans="12:19" x14ac:dyDescent="0.3">
      <c r="L1086" s="34" t="str">
        <f t="shared" si="254"/>
        <v/>
      </c>
      <c r="M1086" s="34" t="str">
        <f t="shared" si="246"/>
        <v/>
      </c>
      <c r="N1086" s="34" t="str">
        <f t="shared" si="247"/>
        <v/>
      </c>
      <c r="O1086" s="34" t="str">
        <f t="shared" si="248"/>
        <v/>
      </c>
      <c r="P1086" s="34" t="str">
        <f t="shared" si="249"/>
        <v/>
      </c>
      <c r="Q1086" s="34" t="str">
        <f t="shared" si="250"/>
        <v/>
      </c>
      <c r="R1086" s="34" t="str">
        <f t="shared" si="251"/>
        <v/>
      </c>
      <c r="S1086" s="34" t="str">
        <f t="shared" si="252"/>
        <v/>
      </c>
    </row>
    <row r="1087" spans="12:19" x14ac:dyDescent="0.3">
      <c r="L1087" s="34" t="str">
        <f t="shared" si="254"/>
        <v/>
      </c>
      <c r="M1087" s="34" t="str">
        <f t="shared" si="246"/>
        <v/>
      </c>
      <c r="N1087" s="34" t="str">
        <f t="shared" si="247"/>
        <v/>
      </c>
      <c r="O1087" s="34" t="str">
        <f t="shared" si="248"/>
        <v/>
      </c>
      <c r="P1087" s="34" t="str">
        <f t="shared" si="249"/>
        <v/>
      </c>
      <c r="Q1087" s="34" t="str">
        <f t="shared" si="250"/>
        <v/>
      </c>
      <c r="R1087" s="34" t="str">
        <f t="shared" si="251"/>
        <v/>
      </c>
      <c r="S1087" s="34" t="str">
        <f t="shared" si="252"/>
        <v/>
      </c>
    </row>
    <row r="1088" spans="12:19" x14ac:dyDescent="0.3">
      <c r="L1088" s="34" t="str">
        <f t="shared" si="254"/>
        <v/>
      </c>
      <c r="M1088" s="34" t="str">
        <f t="shared" si="246"/>
        <v/>
      </c>
      <c r="N1088" s="34" t="str">
        <f t="shared" si="247"/>
        <v/>
      </c>
      <c r="O1088" s="34" t="str">
        <f t="shared" si="248"/>
        <v/>
      </c>
      <c r="P1088" s="34" t="str">
        <f t="shared" si="249"/>
        <v/>
      </c>
      <c r="Q1088" s="34" t="str">
        <f t="shared" si="250"/>
        <v/>
      </c>
      <c r="R1088" s="34" t="str">
        <f t="shared" si="251"/>
        <v/>
      </c>
      <c r="S1088" s="34" t="str">
        <f t="shared" si="252"/>
        <v/>
      </c>
    </row>
    <row r="1089" spans="12:19" x14ac:dyDescent="0.3">
      <c r="M1089" s="34" t="str">
        <f t="shared" si="246"/>
        <v/>
      </c>
      <c r="N1089" s="34" t="str">
        <f t="shared" si="247"/>
        <v/>
      </c>
      <c r="O1089" s="34" t="str">
        <f t="shared" si="248"/>
        <v/>
      </c>
      <c r="P1089" s="34" t="str">
        <f t="shared" si="249"/>
        <v/>
      </c>
      <c r="Q1089" s="34" t="str">
        <f t="shared" si="250"/>
        <v/>
      </c>
      <c r="R1089" s="34" t="str">
        <f t="shared" si="251"/>
        <v/>
      </c>
      <c r="S1089" s="34" t="str">
        <f t="shared" si="252"/>
        <v/>
      </c>
    </row>
    <row r="1090" spans="12:19" x14ac:dyDescent="0.3">
      <c r="M1090" s="34" t="str">
        <f t="shared" si="246"/>
        <v/>
      </c>
      <c r="N1090" s="34" t="str">
        <f t="shared" si="247"/>
        <v/>
      </c>
      <c r="O1090" s="34" t="str">
        <f t="shared" si="248"/>
        <v/>
      </c>
      <c r="P1090" s="34" t="str">
        <f t="shared" si="249"/>
        <v/>
      </c>
      <c r="Q1090" s="34" t="str">
        <f t="shared" si="250"/>
        <v/>
      </c>
      <c r="R1090" s="34" t="str">
        <f t="shared" si="251"/>
        <v/>
      </c>
      <c r="S1090" s="34" t="str">
        <f t="shared" si="252"/>
        <v/>
      </c>
    </row>
    <row r="1091" spans="12:19" x14ac:dyDescent="0.3">
      <c r="L1091" s="34" t="str">
        <f t="shared" ref="L1091" si="259">RIGHT(A1091,5)</f>
        <v/>
      </c>
      <c r="M1091" s="34" t="str">
        <f t="shared" si="246"/>
        <v/>
      </c>
      <c r="N1091" s="34" t="str">
        <f t="shared" si="247"/>
        <v/>
      </c>
      <c r="O1091" s="34" t="str">
        <f t="shared" si="248"/>
        <v/>
      </c>
      <c r="P1091" s="34" t="str">
        <f t="shared" si="249"/>
        <v/>
      </c>
      <c r="Q1091" s="34" t="str">
        <f t="shared" si="250"/>
        <v/>
      </c>
      <c r="R1091" s="34" t="str">
        <f t="shared" si="251"/>
        <v/>
      </c>
      <c r="S1091" s="34" t="str">
        <f t="shared" si="252"/>
        <v/>
      </c>
    </row>
    <row r="1092" spans="12:19" x14ac:dyDescent="0.3">
      <c r="L1092" s="34" t="str">
        <f t="shared" ref="L1092" si="260">L1091</f>
        <v/>
      </c>
      <c r="M1092" s="34" t="str">
        <f t="shared" si="246"/>
        <v/>
      </c>
      <c r="N1092" s="34" t="str">
        <f t="shared" si="247"/>
        <v/>
      </c>
      <c r="O1092" s="34" t="str">
        <f t="shared" si="248"/>
        <v/>
      </c>
      <c r="P1092" s="34" t="str">
        <f t="shared" si="249"/>
        <v/>
      </c>
      <c r="Q1092" s="34" t="str">
        <f t="shared" si="250"/>
        <v/>
      </c>
      <c r="R1092" s="34" t="str">
        <f t="shared" si="251"/>
        <v/>
      </c>
      <c r="S1092" s="34" t="str">
        <f t="shared" si="252"/>
        <v/>
      </c>
    </row>
    <row r="1093" spans="12:19" x14ac:dyDescent="0.3">
      <c r="L1093" s="34" t="str">
        <f t="shared" si="254"/>
        <v/>
      </c>
      <c r="M1093" s="34" t="str">
        <f t="shared" ref="M1093:M1156" si="261">IF(AND(L1093="s.csv",A1093=1),ABS(1000/12/D1093),"")</f>
        <v/>
      </c>
      <c r="N1093" s="34" t="str">
        <f t="shared" si="247"/>
        <v/>
      </c>
      <c r="O1093" s="34" t="str">
        <f t="shared" si="248"/>
        <v/>
      </c>
      <c r="P1093" s="34" t="str">
        <f t="shared" si="249"/>
        <v/>
      </c>
      <c r="Q1093" s="34" t="str">
        <f t="shared" si="250"/>
        <v/>
      </c>
      <c r="R1093" s="34" t="str">
        <f t="shared" si="251"/>
        <v/>
      </c>
      <c r="S1093" s="34" t="str">
        <f t="shared" si="252"/>
        <v/>
      </c>
    </row>
    <row r="1094" spans="12:19" x14ac:dyDescent="0.3">
      <c r="L1094" s="34" t="str">
        <f t="shared" si="254"/>
        <v/>
      </c>
      <c r="M1094" s="34" t="str">
        <f t="shared" si="261"/>
        <v/>
      </c>
      <c r="N1094" s="34" t="str">
        <f t="shared" si="247"/>
        <v/>
      </c>
      <c r="O1094" s="34" t="str">
        <f t="shared" si="248"/>
        <v/>
      </c>
      <c r="P1094" s="34" t="str">
        <f t="shared" si="249"/>
        <v/>
      </c>
      <c r="Q1094" s="34" t="str">
        <f t="shared" si="250"/>
        <v/>
      </c>
      <c r="R1094" s="34" t="str">
        <f t="shared" si="251"/>
        <v/>
      </c>
      <c r="S1094" s="34" t="str">
        <f t="shared" si="252"/>
        <v/>
      </c>
    </row>
    <row r="1095" spans="12:19" x14ac:dyDescent="0.3">
      <c r="L1095" s="34" t="str">
        <f t="shared" si="254"/>
        <v/>
      </c>
      <c r="M1095" s="34" t="str">
        <f t="shared" si="261"/>
        <v/>
      </c>
      <c r="N1095" s="34" t="str">
        <f t="shared" si="247"/>
        <v/>
      </c>
      <c r="O1095" s="34" t="str">
        <f t="shared" si="248"/>
        <v/>
      </c>
      <c r="P1095" s="34" t="str">
        <f t="shared" si="249"/>
        <v/>
      </c>
      <c r="Q1095" s="34" t="str">
        <f t="shared" si="250"/>
        <v/>
      </c>
      <c r="R1095" s="34" t="str">
        <f t="shared" si="251"/>
        <v/>
      </c>
      <c r="S1095" s="34" t="str">
        <f t="shared" si="252"/>
        <v/>
      </c>
    </row>
    <row r="1096" spans="12:19" x14ac:dyDescent="0.3">
      <c r="L1096" s="34" t="str">
        <f t="shared" si="254"/>
        <v/>
      </c>
      <c r="M1096" s="34" t="str">
        <f t="shared" si="261"/>
        <v/>
      </c>
      <c r="N1096" s="34" t="str">
        <f t="shared" si="247"/>
        <v/>
      </c>
      <c r="O1096" s="34" t="str">
        <f t="shared" si="248"/>
        <v/>
      </c>
      <c r="P1096" s="34" t="str">
        <f t="shared" si="249"/>
        <v/>
      </c>
      <c r="Q1096" s="34" t="str">
        <f t="shared" si="250"/>
        <v/>
      </c>
      <c r="R1096" s="34" t="str">
        <f t="shared" si="251"/>
        <v/>
      </c>
      <c r="S1096" s="34" t="str">
        <f t="shared" si="252"/>
        <v/>
      </c>
    </row>
    <row r="1097" spans="12:19" x14ac:dyDescent="0.3">
      <c r="L1097" s="34" t="str">
        <f t="shared" si="254"/>
        <v/>
      </c>
      <c r="M1097" s="34" t="str">
        <f t="shared" si="261"/>
        <v/>
      </c>
      <c r="N1097" s="34" t="str">
        <f t="shared" si="247"/>
        <v/>
      </c>
      <c r="O1097" s="34" t="str">
        <f t="shared" si="248"/>
        <v/>
      </c>
      <c r="P1097" s="34" t="str">
        <f t="shared" si="249"/>
        <v/>
      </c>
      <c r="Q1097" s="34" t="str">
        <f t="shared" si="250"/>
        <v/>
      </c>
      <c r="R1097" s="34" t="str">
        <f t="shared" si="251"/>
        <v/>
      </c>
      <c r="S1097" s="34" t="str">
        <f t="shared" si="252"/>
        <v/>
      </c>
    </row>
    <row r="1098" spans="12:19" x14ac:dyDescent="0.3">
      <c r="L1098" s="34" t="str">
        <f t="shared" si="254"/>
        <v/>
      </c>
      <c r="M1098" s="34" t="str">
        <f t="shared" si="261"/>
        <v/>
      </c>
      <c r="N1098" s="34" t="str">
        <f t="shared" si="247"/>
        <v/>
      </c>
      <c r="O1098" s="34" t="str">
        <f t="shared" si="248"/>
        <v/>
      </c>
      <c r="P1098" s="34" t="str">
        <f t="shared" si="249"/>
        <v/>
      </c>
      <c r="Q1098" s="34" t="str">
        <f t="shared" si="250"/>
        <v/>
      </c>
      <c r="R1098" s="34" t="str">
        <f t="shared" si="251"/>
        <v/>
      </c>
      <c r="S1098" s="34" t="str">
        <f t="shared" si="252"/>
        <v/>
      </c>
    </row>
    <row r="1099" spans="12:19" x14ac:dyDescent="0.3">
      <c r="L1099" s="34" t="str">
        <f t="shared" si="254"/>
        <v/>
      </c>
      <c r="M1099" s="34" t="str">
        <f t="shared" si="261"/>
        <v/>
      </c>
      <c r="N1099" s="34" t="str">
        <f t="shared" si="247"/>
        <v/>
      </c>
      <c r="O1099" s="34" t="str">
        <f t="shared" si="248"/>
        <v/>
      </c>
      <c r="P1099" s="34" t="str">
        <f t="shared" si="249"/>
        <v/>
      </c>
      <c r="Q1099" s="34" t="str">
        <f t="shared" si="250"/>
        <v/>
      </c>
      <c r="R1099" s="34" t="str">
        <f t="shared" si="251"/>
        <v/>
      </c>
      <c r="S1099" s="34" t="str">
        <f t="shared" si="252"/>
        <v/>
      </c>
    </row>
    <row r="1100" spans="12:19" x14ac:dyDescent="0.3">
      <c r="L1100" s="34" t="str">
        <f t="shared" si="254"/>
        <v/>
      </c>
      <c r="M1100" s="34" t="str">
        <f t="shared" si="261"/>
        <v/>
      </c>
      <c r="N1100" s="34" t="str">
        <f t="shared" ref="N1100:N1163" si="262">IF(AND(OR($L1100="l.csv",$L1100="g.csv"),$E1100&gt;4),F1100,"")</f>
        <v/>
      </c>
      <c r="O1100" s="34" t="str">
        <f t="shared" ref="O1100:O1163" si="263">IF(AND(OR($L1100="l.csv",$L1100="g.csv"),$E1100&gt;4),G1100,"")</f>
        <v/>
      </c>
      <c r="P1100" s="34" t="str">
        <f t="shared" ref="P1100:P1163" si="264">IF(AND(OR($L1100="l.csv",$L1100="g.csv"),$E1100&gt;4),H1100,"")</f>
        <v/>
      </c>
      <c r="Q1100" s="34" t="str">
        <f t="shared" ref="Q1100:Q1163" si="265">IF(AND(OR($L1100="l.csv",$L1100="g.csv"),$E1100&gt;4),I1100,"")</f>
        <v/>
      </c>
      <c r="R1100" s="34" t="str">
        <f t="shared" ref="R1100:R1163" si="266">IF(AND(OR($L1100="l.csv",$L1100="g.csv"),$E1100&gt;4),J1100,"")</f>
        <v/>
      </c>
      <c r="S1100" s="34" t="str">
        <f t="shared" ref="S1100:S1163" si="267">IF(AND(OR($L1100="l.csv",$L1100="g.csv"),$E1100&gt;4),K1100,"")</f>
        <v/>
      </c>
    </row>
    <row r="1101" spans="12:19" x14ac:dyDescent="0.3">
      <c r="L1101" s="34" t="str">
        <f t="shared" si="254"/>
        <v/>
      </c>
      <c r="M1101" s="34" t="str">
        <f t="shared" si="261"/>
        <v/>
      </c>
      <c r="N1101" s="34" t="str">
        <f t="shared" si="262"/>
        <v/>
      </c>
      <c r="O1101" s="34" t="str">
        <f t="shared" si="263"/>
        <v/>
      </c>
      <c r="P1101" s="34" t="str">
        <f t="shared" si="264"/>
        <v/>
      </c>
      <c r="Q1101" s="34" t="str">
        <f t="shared" si="265"/>
        <v/>
      </c>
      <c r="R1101" s="34" t="str">
        <f t="shared" si="266"/>
        <v/>
      </c>
      <c r="S1101" s="34" t="str">
        <f t="shared" si="267"/>
        <v/>
      </c>
    </row>
    <row r="1102" spans="12:19" x14ac:dyDescent="0.3">
      <c r="L1102" s="34" t="str">
        <f t="shared" si="254"/>
        <v/>
      </c>
      <c r="M1102" s="34" t="str">
        <f t="shared" si="261"/>
        <v/>
      </c>
      <c r="N1102" s="34" t="str">
        <f t="shared" si="262"/>
        <v/>
      </c>
      <c r="O1102" s="34" t="str">
        <f t="shared" si="263"/>
        <v/>
      </c>
      <c r="P1102" s="34" t="str">
        <f t="shared" si="264"/>
        <v/>
      </c>
      <c r="Q1102" s="34" t="str">
        <f t="shared" si="265"/>
        <v/>
      </c>
      <c r="R1102" s="34" t="str">
        <f t="shared" si="266"/>
        <v/>
      </c>
      <c r="S1102" s="34" t="str">
        <f t="shared" si="267"/>
        <v/>
      </c>
    </row>
    <row r="1103" spans="12:19" x14ac:dyDescent="0.3">
      <c r="L1103" s="34" t="str">
        <f t="shared" si="254"/>
        <v/>
      </c>
      <c r="M1103" s="34" t="str">
        <f t="shared" si="261"/>
        <v/>
      </c>
      <c r="N1103" s="34" t="str">
        <f t="shared" si="262"/>
        <v/>
      </c>
      <c r="O1103" s="34" t="str">
        <f t="shared" si="263"/>
        <v/>
      </c>
      <c r="P1103" s="34" t="str">
        <f t="shared" si="264"/>
        <v/>
      </c>
      <c r="Q1103" s="34" t="str">
        <f t="shared" si="265"/>
        <v/>
      </c>
      <c r="R1103" s="34" t="str">
        <f t="shared" si="266"/>
        <v/>
      </c>
      <c r="S1103" s="34" t="str">
        <f t="shared" si="267"/>
        <v/>
      </c>
    </row>
    <row r="1104" spans="12:19" x14ac:dyDescent="0.3">
      <c r="L1104" s="34" t="str">
        <f t="shared" si="254"/>
        <v/>
      </c>
      <c r="M1104" s="34" t="str">
        <f t="shared" si="261"/>
        <v/>
      </c>
      <c r="N1104" s="34" t="str">
        <f t="shared" si="262"/>
        <v/>
      </c>
      <c r="O1104" s="34" t="str">
        <f t="shared" si="263"/>
        <v/>
      </c>
      <c r="P1104" s="34" t="str">
        <f t="shared" si="264"/>
        <v/>
      </c>
      <c r="Q1104" s="34" t="str">
        <f t="shared" si="265"/>
        <v/>
      </c>
      <c r="R1104" s="34" t="str">
        <f t="shared" si="266"/>
        <v/>
      </c>
      <c r="S1104" s="34" t="str">
        <f t="shared" si="267"/>
        <v/>
      </c>
    </row>
    <row r="1105" spans="12:19" x14ac:dyDescent="0.3">
      <c r="L1105" s="34" t="str">
        <f t="shared" ref="L1105:L1168" si="268">L1104</f>
        <v/>
      </c>
      <c r="M1105" s="34" t="str">
        <f t="shared" si="261"/>
        <v/>
      </c>
      <c r="N1105" s="34" t="str">
        <f t="shared" si="262"/>
        <v/>
      </c>
      <c r="O1105" s="34" t="str">
        <f t="shared" si="263"/>
        <v/>
      </c>
      <c r="P1105" s="34" t="str">
        <f t="shared" si="264"/>
        <v/>
      </c>
      <c r="Q1105" s="34" t="str">
        <f t="shared" si="265"/>
        <v/>
      </c>
      <c r="R1105" s="34" t="str">
        <f t="shared" si="266"/>
        <v/>
      </c>
      <c r="S1105" s="34" t="str">
        <f t="shared" si="267"/>
        <v/>
      </c>
    </row>
    <row r="1106" spans="12:19" x14ac:dyDescent="0.3">
      <c r="M1106" s="34" t="str">
        <f t="shared" si="261"/>
        <v/>
      </c>
      <c r="N1106" s="34" t="str">
        <f t="shared" si="262"/>
        <v/>
      </c>
      <c r="O1106" s="34" t="str">
        <f t="shared" si="263"/>
        <v/>
      </c>
      <c r="P1106" s="34" t="str">
        <f t="shared" si="264"/>
        <v/>
      </c>
      <c r="Q1106" s="34" t="str">
        <f t="shared" si="265"/>
        <v/>
      </c>
      <c r="R1106" s="34" t="str">
        <f t="shared" si="266"/>
        <v/>
      </c>
      <c r="S1106" s="34" t="str">
        <f t="shared" si="267"/>
        <v/>
      </c>
    </row>
    <row r="1107" spans="12:19" x14ac:dyDescent="0.3">
      <c r="M1107" s="34" t="str">
        <f t="shared" si="261"/>
        <v/>
      </c>
      <c r="N1107" s="34" t="str">
        <f t="shared" si="262"/>
        <v/>
      </c>
      <c r="O1107" s="34" t="str">
        <f t="shared" si="263"/>
        <v/>
      </c>
      <c r="P1107" s="34" t="str">
        <f t="shared" si="264"/>
        <v/>
      </c>
      <c r="Q1107" s="34" t="str">
        <f t="shared" si="265"/>
        <v/>
      </c>
      <c r="R1107" s="34" t="str">
        <f t="shared" si="266"/>
        <v/>
      </c>
      <c r="S1107" s="34" t="str">
        <f t="shared" si="267"/>
        <v/>
      </c>
    </row>
    <row r="1108" spans="12:19" x14ac:dyDescent="0.3">
      <c r="L1108" s="34" t="str">
        <f t="shared" ref="L1108" si="269">RIGHT(A1108,5)</f>
        <v/>
      </c>
      <c r="M1108" s="34" t="str">
        <f t="shared" si="261"/>
        <v/>
      </c>
      <c r="N1108" s="34" t="str">
        <f t="shared" si="262"/>
        <v/>
      </c>
      <c r="O1108" s="34" t="str">
        <f t="shared" si="263"/>
        <v/>
      </c>
      <c r="P1108" s="34" t="str">
        <f t="shared" si="264"/>
        <v/>
      </c>
      <c r="Q1108" s="34" t="str">
        <f t="shared" si="265"/>
        <v/>
      </c>
      <c r="R1108" s="34" t="str">
        <f t="shared" si="266"/>
        <v/>
      </c>
      <c r="S1108" s="34" t="str">
        <f t="shared" si="267"/>
        <v/>
      </c>
    </row>
    <row r="1109" spans="12:19" x14ac:dyDescent="0.3">
      <c r="L1109" s="34" t="str">
        <f t="shared" ref="L1109" si="270">L1108</f>
        <v/>
      </c>
      <c r="M1109" s="34" t="str">
        <f t="shared" si="261"/>
        <v/>
      </c>
      <c r="N1109" s="34" t="str">
        <f t="shared" si="262"/>
        <v/>
      </c>
      <c r="O1109" s="34" t="str">
        <f t="shared" si="263"/>
        <v/>
      </c>
      <c r="P1109" s="34" t="str">
        <f t="shared" si="264"/>
        <v/>
      </c>
      <c r="Q1109" s="34" t="str">
        <f t="shared" si="265"/>
        <v/>
      </c>
      <c r="R1109" s="34" t="str">
        <f t="shared" si="266"/>
        <v/>
      </c>
      <c r="S1109" s="34" t="str">
        <f t="shared" si="267"/>
        <v/>
      </c>
    </row>
    <row r="1110" spans="12:19" x14ac:dyDescent="0.3">
      <c r="L1110" s="34" t="str">
        <f t="shared" si="268"/>
        <v/>
      </c>
      <c r="M1110" s="34" t="str">
        <f t="shared" si="261"/>
        <v/>
      </c>
      <c r="N1110" s="34" t="str">
        <f t="shared" si="262"/>
        <v/>
      </c>
      <c r="O1110" s="34" t="str">
        <f t="shared" si="263"/>
        <v/>
      </c>
      <c r="P1110" s="34" t="str">
        <f t="shared" si="264"/>
        <v/>
      </c>
      <c r="Q1110" s="34" t="str">
        <f t="shared" si="265"/>
        <v/>
      </c>
      <c r="R1110" s="34" t="str">
        <f t="shared" si="266"/>
        <v/>
      </c>
      <c r="S1110" s="34" t="str">
        <f t="shared" si="267"/>
        <v/>
      </c>
    </row>
    <row r="1111" spans="12:19" x14ac:dyDescent="0.3">
      <c r="L1111" s="34" t="str">
        <f t="shared" si="268"/>
        <v/>
      </c>
      <c r="M1111" s="34" t="str">
        <f t="shared" si="261"/>
        <v/>
      </c>
      <c r="N1111" s="34" t="str">
        <f t="shared" si="262"/>
        <v/>
      </c>
      <c r="O1111" s="34" t="str">
        <f t="shared" si="263"/>
        <v/>
      </c>
      <c r="P1111" s="34" t="str">
        <f t="shared" si="264"/>
        <v/>
      </c>
      <c r="Q1111" s="34" t="str">
        <f t="shared" si="265"/>
        <v/>
      </c>
      <c r="R1111" s="34" t="str">
        <f t="shared" si="266"/>
        <v/>
      </c>
      <c r="S1111" s="34" t="str">
        <f t="shared" si="267"/>
        <v/>
      </c>
    </row>
    <row r="1112" spans="12:19" x14ac:dyDescent="0.3">
      <c r="L1112" s="34" t="str">
        <f t="shared" si="268"/>
        <v/>
      </c>
      <c r="M1112" s="34" t="str">
        <f t="shared" si="261"/>
        <v/>
      </c>
      <c r="N1112" s="34" t="str">
        <f t="shared" si="262"/>
        <v/>
      </c>
      <c r="O1112" s="34" t="str">
        <f t="shared" si="263"/>
        <v/>
      </c>
      <c r="P1112" s="34" t="str">
        <f t="shared" si="264"/>
        <v/>
      </c>
      <c r="Q1112" s="34" t="str">
        <f t="shared" si="265"/>
        <v/>
      </c>
      <c r="R1112" s="34" t="str">
        <f t="shared" si="266"/>
        <v/>
      </c>
      <c r="S1112" s="34" t="str">
        <f t="shared" si="267"/>
        <v/>
      </c>
    </row>
    <row r="1113" spans="12:19" x14ac:dyDescent="0.3">
      <c r="L1113" s="34" t="str">
        <f t="shared" si="268"/>
        <v/>
      </c>
      <c r="M1113" s="34" t="str">
        <f t="shared" si="261"/>
        <v/>
      </c>
      <c r="N1113" s="34" t="str">
        <f t="shared" si="262"/>
        <v/>
      </c>
      <c r="O1113" s="34" t="str">
        <f t="shared" si="263"/>
        <v/>
      </c>
      <c r="P1113" s="34" t="str">
        <f t="shared" si="264"/>
        <v/>
      </c>
      <c r="Q1113" s="34" t="str">
        <f t="shared" si="265"/>
        <v/>
      </c>
      <c r="R1113" s="34" t="str">
        <f t="shared" si="266"/>
        <v/>
      </c>
      <c r="S1113" s="34" t="str">
        <f t="shared" si="267"/>
        <v/>
      </c>
    </row>
    <row r="1114" spans="12:19" x14ac:dyDescent="0.3">
      <c r="L1114" s="34" t="str">
        <f t="shared" si="268"/>
        <v/>
      </c>
      <c r="M1114" s="34" t="str">
        <f t="shared" si="261"/>
        <v/>
      </c>
      <c r="N1114" s="34" t="str">
        <f t="shared" si="262"/>
        <v/>
      </c>
      <c r="O1114" s="34" t="str">
        <f t="shared" si="263"/>
        <v/>
      </c>
      <c r="P1114" s="34" t="str">
        <f t="shared" si="264"/>
        <v/>
      </c>
      <c r="Q1114" s="34" t="str">
        <f t="shared" si="265"/>
        <v/>
      </c>
      <c r="R1114" s="34" t="str">
        <f t="shared" si="266"/>
        <v/>
      </c>
      <c r="S1114" s="34" t="str">
        <f t="shared" si="267"/>
        <v/>
      </c>
    </row>
    <row r="1115" spans="12:19" x14ac:dyDescent="0.3">
      <c r="L1115" s="34" t="str">
        <f t="shared" si="268"/>
        <v/>
      </c>
      <c r="M1115" s="34" t="str">
        <f t="shared" si="261"/>
        <v/>
      </c>
      <c r="N1115" s="34" t="str">
        <f t="shared" si="262"/>
        <v/>
      </c>
      <c r="O1115" s="34" t="str">
        <f t="shared" si="263"/>
        <v/>
      </c>
      <c r="P1115" s="34" t="str">
        <f t="shared" si="264"/>
        <v/>
      </c>
      <c r="Q1115" s="34" t="str">
        <f t="shared" si="265"/>
        <v/>
      </c>
      <c r="R1115" s="34" t="str">
        <f t="shared" si="266"/>
        <v/>
      </c>
      <c r="S1115" s="34" t="str">
        <f t="shared" si="267"/>
        <v/>
      </c>
    </row>
    <row r="1116" spans="12:19" x14ac:dyDescent="0.3">
      <c r="L1116" s="34" t="str">
        <f t="shared" si="268"/>
        <v/>
      </c>
      <c r="M1116" s="34" t="str">
        <f t="shared" si="261"/>
        <v/>
      </c>
      <c r="N1116" s="34" t="str">
        <f t="shared" si="262"/>
        <v/>
      </c>
      <c r="O1116" s="34" t="str">
        <f t="shared" si="263"/>
        <v/>
      </c>
      <c r="P1116" s="34" t="str">
        <f t="shared" si="264"/>
        <v/>
      </c>
      <c r="Q1116" s="34" t="str">
        <f t="shared" si="265"/>
        <v/>
      </c>
      <c r="R1116" s="34" t="str">
        <f t="shared" si="266"/>
        <v/>
      </c>
      <c r="S1116" s="34" t="str">
        <f t="shared" si="267"/>
        <v/>
      </c>
    </row>
    <row r="1117" spans="12:19" x14ac:dyDescent="0.3">
      <c r="L1117" s="34" t="str">
        <f t="shared" si="268"/>
        <v/>
      </c>
      <c r="M1117" s="34" t="str">
        <f t="shared" si="261"/>
        <v/>
      </c>
      <c r="N1117" s="34" t="str">
        <f t="shared" si="262"/>
        <v/>
      </c>
      <c r="O1117" s="34" t="str">
        <f t="shared" si="263"/>
        <v/>
      </c>
      <c r="P1117" s="34" t="str">
        <f t="shared" si="264"/>
        <v/>
      </c>
      <c r="Q1117" s="34" t="str">
        <f t="shared" si="265"/>
        <v/>
      </c>
      <c r="R1117" s="34" t="str">
        <f t="shared" si="266"/>
        <v/>
      </c>
      <c r="S1117" s="34" t="str">
        <f t="shared" si="267"/>
        <v/>
      </c>
    </row>
    <row r="1118" spans="12:19" x14ac:dyDescent="0.3">
      <c r="L1118" s="34" t="str">
        <f t="shared" si="268"/>
        <v/>
      </c>
      <c r="M1118" s="34" t="str">
        <f t="shared" si="261"/>
        <v/>
      </c>
      <c r="N1118" s="34" t="str">
        <f t="shared" si="262"/>
        <v/>
      </c>
      <c r="O1118" s="34" t="str">
        <f t="shared" si="263"/>
        <v/>
      </c>
      <c r="P1118" s="34" t="str">
        <f t="shared" si="264"/>
        <v/>
      </c>
      <c r="Q1118" s="34" t="str">
        <f t="shared" si="265"/>
        <v/>
      </c>
      <c r="R1118" s="34" t="str">
        <f t="shared" si="266"/>
        <v/>
      </c>
      <c r="S1118" s="34" t="str">
        <f t="shared" si="267"/>
        <v/>
      </c>
    </row>
    <row r="1119" spans="12:19" x14ac:dyDescent="0.3">
      <c r="L1119" s="34" t="str">
        <f t="shared" si="268"/>
        <v/>
      </c>
      <c r="M1119" s="34" t="str">
        <f t="shared" si="261"/>
        <v/>
      </c>
      <c r="N1119" s="34" t="str">
        <f t="shared" si="262"/>
        <v/>
      </c>
      <c r="O1119" s="34" t="str">
        <f t="shared" si="263"/>
        <v/>
      </c>
      <c r="P1119" s="34" t="str">
        <f t="shared" si="264"/>
        <v/>
      </c>
      <c r="Q1119" s="34" t="str">
        <f t="shared" si="265"/>
        <v/>
      </c>
      <c r="R1119" s="34" t="str">
        <f t="shared" si="266"/>
        <v/>
      </c>
      <c r="S1119" s="34" t="str">
        <f t="shared" si="267"/>
        <v/>
      </c>
    </row>
    <row r="1120" spans="12:19" x14ac:dyDescent="0.3">
      <c r="L1120" s="34" t="str">
        <f t="shared" si="268"/>
        <v/>
      </c>
      <c r="M1120" s="34" t="str">
        <f t="shared" si="261"/>
        <v/>
      </c>
      <c r="N1120" s="34" t="str">
        <f t="shared" si="262"/>
        <v/>
      </c>
      <c r="O1120" s="34" t="str">
        <f t="shared" si="263"/>
        <v/>
      </c>
      <c r="P1120" s="34" t="str">
        <f t="shared" si="264"/>
        <v/>
      </c>
      <c r="Q1120" s="34" t="str">
        <f t="shared" si="265"/>
        <v/>
      </c>
      <c r="R1120" s="34" t="str">
        <f t="shared" si="266"/>
        <v/>
      </c>
      <c r="S1120" s="34" t="str">
        <f t="shared" si="267"/>
        <v/>
      </c>
    </row>
    <row r="1121" spans="12:19" x14ac:dyDescent="0.3">
      <c r="L1121" s="34" t="str">
        <f t="shared" si="268"/>
        <v/>
      </c>
      <c r="M1121" s="34" t="str">
        <f t="shared" si="261"/>
        <v/>
      </c>
      <c r="N1121" s="34" t="str">
        <f t="shared" si="262"/>
        <v/>
      </c>
      <c r="O1121" s="34" t="str">
        <f t="shared" si="263"/>
        <v/>
      </c>
      <c r="P1121" s="34" t="str">
        <f t="shared" si="264"/>
        <v/>
      </c>
      <c r="Q1121" s="34" t="str">
        <f t="shared" si="265"/>
        <v/>
      </c>
      <c r="R1121" s="34" t="str">
        <f t="shared" si="266"/>
        <v/>
      </c>
      <c r="S1121" s="34" t="str">
        <f t="shared" si="267"/>
        <v/>
      </c>
    </row>
    <row r="1122" spans="12:19" x14ac:dyDescent="0.3">
      <c r="L1122" s="34" t="str">
        <f t="shared" si="268"/>
        <v/>
      </c>
      <c r="M1122" s="34" t="str">
        <f t="shared" si="261"/>
        <v/>
      </c>
      <c r="N1122" s="34" t="str">
        <f t="shared" si="262"/>
        <v/>
      </c>
      <c r="O1122" s="34" t="str">
        <f t="shared" si="263"/>
        <v/>
      </c>
      <c r="P1122" s="34" t="str">
        <f t="shared" si="264"/>
        <v/>
      </c>
      <c r="Q1122" s="34" t="str">
        <f t="shared" si="265"/>
        <v/>
      </c>
      <c r="R1122" s="34" t="str">
        <f t="shared" si="266"/>
        <v/>
      </c>
      <c r="S1122" s="34" t="str">
        <f t="shared" si="267"/>
        <v/>
      </c>
    </row>
    <row r="1123" spans="12:19" x14ac:dyDescent="0.3">
      <c r="M1123" s="34" t="str">
        <f t="shared" si="261"/>
        <v/>
      </c>
      <c r="N1123" s="34" t="str">
        <f t="shared" si="262"/>
        <v/>
      </c>
      <c r="O1123" s="34" t="str">
        <f t="shared" si="263"/>
        <v/>
      </c>
      <c r="P1123" s="34" t="str">
        <f t="shared" si="264"/>
        <v/>
      </c>
      <c r="Q1123" s="34" t="str">
        <f t="shared" si="265"/>
        <v/>
      </c>
      <c r="R1123" s="34" t="str">
        <f t="shared" si="266"/>
        <v/>
      </c>
      <c r="S1123" s="34" t="str">
        <f t="shared" si="267"/>
        <v/>
      </c>
    </row>
    <row r="1124" spans="12:19" x14ac:dyDescent="0.3">
      <c r="M1124" s="34" t="str">
        <f t="shared" si="261"/>
        <v/>
      </c>
      <c r="N1124" s="34" t="str">
        <f t="shared" si="262"/>
        <v/>
      </c>
      <c r="O1124" s="34" t="str">
        <f t="shared" si="263"/>
        <v/>
      </c>
      <c r="P1124" s="34" t="str">
        <f t="shared" si="264"/>
        <v/>
      </c>
      <c r="Q1124" s="34" t="str">
        <f t="shared" si="265"/>
        <v/>
      </c>
      <c r="R1124" s="34" t="str">
        <f t="shared" si="266"/>
        <v/>
      </c>
      <c r="S1124" s="34" t="str">
        <f t="shared" si="267"/>
        <v/>
      </c>
    </row>
    <row r="1125" spans="12:19" x14ac:dyDescent="0.3">
      <c r="L1125" s="34" t="str">
        <f t="shared" ref="L1125" si="271">RIGHT(A1125,5)</f>
        <v/>
      </c>
      <c r="M1125" s="34" t="str">
        <f t="shared" si="261"/>
        <v/>
      </c>
      <c r="N1125" s="34" t="str">
        <f t="shared" si="262"/>
        <v/>
      </c>
      <c r="O1125" s="34" t="str">
        <f t="shared" si="263"/>
        <v/>
      </c>
      <c r="P1125" s="34" t="str">
        <f t="shared" si="264"/>
        <v/>
      </c>
      <c r="Q1125" s="34" t="str">
        <f t="shared" si="265"/>
        <v/>
      </c>
      <c r="R1125" s="34" t="str">
        <f t="shared" si="266"/>
        <v/>
      </c>
      <c r="S1125" s="34" t="str">
        <f t="shared" si="267"/>
        <v/>
      </c>
    </row>
    <row r="1126" spans="12:19" x14ac:dyDescent="0.3">
      <c r="L1126" s="34" t="str">
        <f t="shared" ref="L1126" si="272">L1125</f>
        <v/>
      </c>
      <c r="M1126" s="34" t="str">
        <f t="shared" si="261"/>
        <v/>
      </c>
      <c r="N1126" s="34" t="str">
        <f t="shared" si="262"/>
        <v/>
      </c>
      <c r="O1126" s="34" t="str">
        <f t="shared" si="263"/>
        <v/>
      </c>
      <c r="P1126" s="34" t="str">
        <f t="shared" si="264"/>
        <v/>
      </c>
      <c r="Q1126" s="34" t="str">
        <f t="shared" si="265"/>
        <v/>
      </c>
      <c r="R1126" s="34" t="str">
        <f t="shared" si="266"/>
        <v/>
      </c>
      <c r="S1126" s="34" t="str">
        <f t="shared" si="267"/>
        <v/>
      </c>
    </row>
    <row r="1127" spans="12:19" x14ac:dyDescent="0.3">
      <c r="L1127" s="34" t="str">
        <f t="shared" si="268"/>
        <v/>
      </c>
      <c r="M1127" s="34" t="str">
        <f t="shared" si="261"/>
        <v/>
      </c>
      <c r="N1127" s="34" t="str">
        <f t="shared" si="262"/>
        <v/>
      </c>
      <c r="O1127" s="34" t="str">
        <f t="shared" si="263"/>
        <v/>
      </c>
      <c r="P1127" s="34" t="str">
        <f t="shared" si="264"/>
        <v/>
      </c>
      <c r="Q1127" s="34" t="str">
        <f t="shared" si="265"/>
        <v/>
      </c>
      <c r="R1127" s="34" t="str">
        <f t="shared" si="266"/>
        <v/>
      </c>
      <c r="S1127" s="34" t="str">
        <f t="shared" si="267"/>
        <v/>
      </c>
    </row>
    <row r="1128" spans="12:19" x14ac:dyDescent="0.3">
      <c r="L1128" s="34" t="str">
        <f t="shared" si="268"/>
        <v/>
      </c>
      <c r="M1128" s="34" t="str">
        <f t="shared" si="261"/>
        <v/>
      </c>
      <c r="N1128" s="34" t="str">
        <f t="shared" si="262"/>
        <v/>
      </c>
      <c r="O1128" s="34" t="str">
        <f t="shared" si="263"/>
        <v/>
      </c>
      <c r="P1128" s="34" t="str">
        <f t="shared" si="264"/>
        <v/>
      </c>
      <c r="Q1128" s="34" t="str">
        <f t="shared" si="265"/>
        <v/>
      </c>
      <c r="R1128" s="34" t="str">
        <f t="shared" si="266"/>
        <v/>
      </c>
      <c r="S1128" s="34" t="str">
        <f t="shared" si="267"/>
        <v/>
      </c>
    </row>
    <row r="1129" spans="12:19" x14ac:dyDescent="0.3">
      <c r="L1129" s="34" t="str">
        <f t="shared" si="268"/>
        <v/>
      </c>
      <c r="M1129" s="34" t="str">
        <f t="shared" si="261"/>
        <v/>
      </c>
      <c r="N1129" s="34" t="str">
        <f t="shared" si="262"/>
        <v/>
      </c>
      <c r="O1129" s="34" t="str">
        <f t="shared" si="263"/>
        <v/>
      </c>
      <c r="P1129" s="34" t="str">
        <f t="shared" si="264"/>
        <v/>
      </c>
      <c r="Q1129" s="34" t="str">
        <f t="shared" si="265"/>
        <v/>
      </c>
      <c r="R1129" s="34" t="str">
        <f t="shared" si="266"/>
        <v/>
      </c>
      <c r="S1129" s="34" t="str">
        <f t="shared" si="267"/>
        <v/>
      </c>
    </row>
    <row r="1130" spans="12:19" x14ac:dyDescent="0.3">
      <c r="L1130" s="34" t="str">
        <f t="shared" si="268"/>
        <v/>
      </c>
      <c r="M1130" s="34" t="str">
        <f t="shared" si="261"/>
        <v/>
      </c>
      <c r="N1130" s="34" t="str">
        <f t="shared" si="262"/>
        <v/>
      </c>
      <c r="O1130" s="34" t="str">
        <f t="shared" si="263"/>
        <v/>
      </c>
      <c r="P1130" s="34" t="str">
        <f t="shared" si="264"/>
        <v/>
      </c>
      <c r="Q1130" s="34" t="str">
        <f t="shared" si="265"/>
        <v/>
      </c>
      <c r="R1130" s="34" t="str">
        <f t="shared" si="266"/>
        <v/>
      </c>
      <c r="S1130" s="34" t="str">
        <f t="shared" si="267"/>
        <v/>
      </c>
    </row>
    <row r="1131" spans="12:19" x14ac:dyDescent="0.3">
      <c r="L1131" s="34" t="str">
        <f t="shared" si="268"/>
        <v/>
      </c>
      <c r="M1131" s="34" t="str">
        <f t="shared" si="261"/>
        <v/>
      </c>
      <c r="N1131" s="34" t="str">
        <f t="shared" si="262"/>
        <v/>
      </c>
      <c r="O1131" s="34" t="str">
        <f t="shared" si="263"/>
        <v/>
      </c>
      <c r="P1131" s="34" t="str">
        <f t="shared" si="264"/>
        <v/>
      </c>
      <c r="Q1131" s="34" t="str">
        <f t="shared" si="265"/>
        <v/>
      </c>
      <c r="R1131" s="34" t="str">
        <f t="shared" si="266"/>
        <v/>
      </c>
      <c r="S1131" s="34" t="str">
        <f t="shared" si="267"/>
        <v/>
      </c>
    </row>
    <row r="1132" spans="12:19" x14ac:dyDescent="0.3">
      <c r="L1132" s="34" t="str">
        <f t="shared" si="268"/>
        <v/>
      </c>
      <c r="M1132" s="34" t="str">
        <f t="shared" si="261"/>
        <v/>
      </c>
      <c r="N1132" s="34" t="str">
        <f t="shared" si="262"/>
        <v/>
      </c>
      <c r="O1132" s="34" t="str">
        <f t="shared" si="263"/>
        <v/>
      </c>
      <c r="P1132" s="34" t="str">
        <f t="shared" si="264"/>
        <v/>
      </c>
      <c r="Q1132" s="34" t="str">
        <f t="shared" si="265"/>
        <v/>
      </c>
      <c r="R1132" s="34" t="str">
        <f t="shared" si="266"/>
        <v/>
      </c>
      <c r="S1132" s="34" t="str">
        <f t="shared" si="267"/>
        <v/>
      </c>
    </row>
    <row r="1133" spans="12:19" x14ac:dyDescent="0.3">
      <c r="L1133" s="34" t="str">
        <f t="shared" si="268"/>
        <v/>
      </c>
      <c r="M1133" s="34" t="str">
        <f t="shared" si="261"/>
        <v/>
      </c>
      <c r="N1133" s="34" t="str">
        <f t="shared" si="262"/>
        <v/>
      </c>
      <c r="O1133" s="34" t="str">
        <f t="shared" si="263"/>
        <v/>
      </c>
      <c r="P1133" s="34" t="str">
        <f t="shared" si="264"/>
        <v/>
      </c>
      <c r="Q1133" s="34" t="str">
        <f t="shared" si="265"/>
        <v/>
      </c>
      <c r="R1133" s="34" t="str">
        <f t="shared" si="266"/>
        <v/>
      </c>
      <c r="S1133" s="34" t="str">
        <f t="shared" si="267"/>
        <v/>
      </c>
    </row>
    <row r="1134" spans="12:19" x14ac:dyDescent="0.3">
      <c r="L1134" s="34" t="str">
        <f t="shared" si="268"/>
        <v/>
      </c>
      <c r="M1134" s="34" t="str">
        <f t="shared" si="261"/>
        <v/>
      </c>
      <c r="N1134" s="34" t="str">
        <f t="shared" si="262"/>
        <v/>
      </c>
      <c r="O1134" s="34" t="str">
        <f t="shared" si="263"/>
        <v/>
      </c>
      <c r="P1134" s="34" t="str">
        <f t="shared" si="264"/>
        <v/>
      </c>
      <c r="Q1134" s="34" t="str">
        <f t="shared" si="265"/>
        <v/>
      </c>
      <c r="R1134" s="34" t="str">
        <f t="shared" si="266"/>
        <v/>
      </c>
      <c r="S1134" s="34" t="str">
        <f t="shared" si="267"/>
        <v/>
      </c>
    </row>
    <row r="1135" spans="12:19" x14ac:dyDescent="0.3">
      <c r="L1135" s="34" t="str">
        <f t="shared" si="268"/>
        <v/>
      </c>
      <c r="M1135" s="34" t="str">
        <f t="shared" si="261"/>
        <v/>
      </c>
      <c r="N1135" s="34" t="str">
        <f t="shared" si="262"/>
        <v/>
      </c>
      <c r="O1135" s="34" t="str">
        <f t="shared" si="263"/>
        <v/>
      </c>
      <c r="P1135" s="34" t="str">
        <f t="shared" si="264"/>
        <v/>
      </c>
      <c r="Q1135" s="34" t="str">
        <f t="shared" si="265"/>
        <v/>
      </c>
      <c r="R1135" s="34" t="str">
        <f t="shared" si="266"/>
        <v/>
      </c>
      <c r="S1135" s="34" t="str">
        <f t="shared" si="267"/>
        <v/>
      </c>
    </row>
    <row r="1136" spans="12:19" x14ac:dyDescent="0.3">
      <c r="L1136" s="34" t="str">
        <f t="shared" si="268"/>
        <v/>
      </c>
      <c r="M1136" s="34" t="str">
        <f t="shared" si="261"/>
        <v/>
      </c>
      <c r="N1136" s="34" t="str">
        <f t="shared" si="262"/>
        <v/>
      </c>
      <c r="O1136" s="34" t="str">
        <f t="shared" si="263"/>
        <v/>
      </c>
      <c r="P1136" s="34" t="str">
        <f t="shared" si="264"/>
        <v/>
      </c>
      <c r="Q1136" s="34" t="str">
        <f t="shared" si="265"/>
        <v/>
      </c>
      <c r="R1136" s="34" t="str">
        <f t="shared" si="266"/>
        <v/>
      </c>
      <c r="S1136" s="34" t="str">
        <f t="shared" si="267"/>
        <v/>
      </c>
    </row>
    <row r="1137" spans="12:19" x14ac:dyDescent="0.3">
      <c r="L1137" s="34" t="str">
        <f t="shared" si="268"/>
        <v/>
      </c>
      <c r="M1137" s="34" t="str">
        <f t="shared" si="261"/>
        <v/>
      </c>
      <c r="N1137" s="34" t="str">
        <f t="shared" si="262"/>
        <v/>
      </c>
      <c r="O1137" s="34" t="str">
        <f t="shared" si="263"/>
        <v/>
      </c>
      <c r="P1137" s="34" t="str">
        <f t="shared" si="264"/>
        <v/>
      </c>
      <c r="Q1137" s="34" t="str">
        <f t="shared" si="265"/>
        <v/>
      </c>
      <c r="R1137" s="34" t="str">
        <f t="shared" si="266"/>
        <v/>
      </c>
      <c r="S1137" s="34" t="str">
        <f t="shared" si="267"/>
        <v/>
      </c>
    </row>
    <row r="1138" spans="12:19" x14ac:dyDescent="0.3">
      <c r="L1138" s="34" t="str">
        <f t="shared" si="268"/>
        <v/>
      </c>
      <c r="M1138" s="34" t="str">
        <f t="shared" si="261"/>
        <v/>
      </c>
      <c r="N1138" s="34" t="str">
        <f t="shared" si="262"/>
        <v/>
      </c>
      <c r="O1138" s="34" t="str">
        <f t="shared" si="263"/>
        <v/>
      </c>
      <c r="P1138" s="34" t="str">
        <f t="shared" si="264"/>
        <v/>
      </c>
      <c r="Q1138" s="34" t="str">
        <f t="shared" si="265"/>
        <v/>
      </c>
      <c r="R1138" s="34" t="str">
        <f t="shared" si="266"/>
        <v/>
      </c>
      <c r="S1138" s="34" t="str">
        <f t="shared" si="267"/>
        <v/>
      </c>
    </row>
    <row r="1139" spans="12:19" x14ac:dyDescent="0.3">
      <c r="L1139" s="34" t="str">
        <f t="shared" si="268"/>
        <v/>
      </c>
      <c r="M1139" s="34" t="str">
        <f t="shared" si="261"/>
        <v/>
      </c>
      <c r="N1139" s="34" t="str">
        <f t="shared" si="262"/>
        <v/>
      </c>
      <c r="O1139" s="34" t="str">
        <f t="shared" si="263"/>
        <v/>
      </c>
      <c r="P1139" s="34" t="str">
        <f t="shared" si="264"/>
        <v/>
      </c>
      <c r="Q1139" s="34" t="str">
        <f t="shared" si="265"/>
        <v/>
      </c>
      <c r="R1139" s="34" t="str">
        <f t="shared" si="266"/>
        <v/>
      </c>
      <c r="S1139" s="34" t="str">
        <f t="shared" si="267"/>
        <v/>
      </c>
    </row>
    <row r="1140" spans="12:19" x14ac:dyDescent="0.3">
      <c r="M1140" s="34" t="str">
        <f t="shared" si="261"/>
        <v/>
      </c>
      <c r="N1140" s="34" t="str">
        <f t="shared" si="262"/>
        <v/>
      </c>
      <c r="O1140" s="34" t="str">
        <f t="shared" si="263"/>
        <v/>
      </c>
      <c r="P1140" s="34" t="str">
        <f t="shared" si="264"/>
        <v/>
      </c>
      <c r="Q1140" s="34" t="str">
        <f t="shared" si="265"/>
        <v/>
      </c>
      <c r="R1140" s="34" t="str">
        <f t="shared" si="266"/>
        <v/>
      </c>
      <c r="S1140" s="34" t="str">
        <f t="shared" si="267"/>
        <v/>
      </c>
    </row>
    <row r="1141" spans="12:19" x14ac:dyDescent="0.3">
      <c r="M1141" s="34" t="str">
        <f t="shared" si="261"/>
        <v/>
      </c>
      <c r="N1141" s="34" t="str">
        <f t="shared" si="262"/>
        <v/>
      </c>
      <c r="O1141" s="34" t="str">
        <f t="shared" si="263"/>
        <v/>
      </c>
      <c r="P1141" s="34" t="str">
        <f t="shared" si="264"/>
        <v/>
      </c>
      <c r="Q1141" s="34" t="str">
        <f t="shared" si="265"/>
        <v/>
      </c>
      <c r="R1141" s="34" t="str">
        <f t="shared" si="266"/>
        <v/>
      </c>
      <c r="S1141" s="34" t="str">
        <f t="shared" si="267"/>
        <v/>
      </c>
    </row>
    <row r="1142" spans="12:19" x14ac:dyDescent="0.3">
      <c r="L1142" s="34" t="str">
        <f t="shared" ref="L1142" si="273">RIGHT(A1142,5)</f>
        <v/>
      </c>
      <c r="M1142" s="34" t="str">
        <f t="shared" si="261"/>
        <v/>
      </c>
      <c r="N1142" s="34" t="str">
        <f t="shared" si="262"/>
        <v/>
      </c>
      <c r="O1142" s="34" t="str">
        <f t="shared" si="263"/>
        <v/>
      </c>
      <c r="P1142" s="34" t="str">
        <f t="shared" si="264"/>
        <v/>
      </c>
      <c r="Q1142" s="34" t="str">
        <f t="shared" si="265"/>
        <v/>
      </c>
      <c r="R1142" s="34" t="str">
        <f t="shared" si="266"/>
        <v/>
      </c>
      <c r="S1142" s="34" t="str">
        <f t="shared" si="267"/>
        <v/>
      </c>
    </row>
    <row r="1143" spans="12:19" x14ac:dyDescent="0.3">
      <c r="L1143" s="34" t="str">
        <f t="shared" ref="L1143" si="274">L1142</f>
        <v/>
      </c>
      <c r="M1143" s="34" t="str">
        <f t="shared" si="261"/>
        <v/>
      </c>
      <c r="N1143" s="34" t="str">
        <f t="shared" si="262"/>
        <v/>
      </c>
      <c r="O1143" s="34" t="str">
        <f t="shared" si="263"/>
        <v/>
      </c>
      <c r="P1143" s="34" t="str">
        <f t="shared" si="264"/>
        <v/>
      </c>
      <c r="Q1143" s="34" t="str">
        <f t="shared" si="265"/>
        <v/>
      </c>
      <c r="R1143" s="34" t="str">
        <f t="shared" si="266"/>
        <v/>
      </c>
      <c r="S1143" s="34" t="str">
        <f t="shared" si="267"/>
        <v/>
      </c>
    </row>
    <row r="1144" spans="12:19" x14ac:dyDescent="0.3">
      <c r="L1144" s="34" t="str">
        <f t="shared" si="268"/>
        <v/>
      </c>
      <c r="M1144" s="34" t="str">
        <f t="shared" si="261"/>
        <v/>
      </c>
      <c r="N1144" s="34" t="str">
        <f t="shared" si="262"/>
        <v/>
      </c>
      <c r="O1144" s="34" t="str">
        <f t="shared" si="263"/>
        <v/>
      </c>
      <c r="P1144" s="34" t="str">
        <f t="shared" si="264"/>
        <v/>
      </c>
      <c r="Q1144" s="34" t="str">
        <f t="shared" si="265"/>
        <v/>
      </c>
      <c r="R1144" s="34" t="str">
        <f t="shared" si="266"/>
        <v/>
      </c>
      <c r="S1144" s="34" t="str">
        <f t="shared" si="267"/>
        <v/>
      </c>
    </row>
    <row r="1145" spans="12:19" x14ac:dyDescent="0.3">
      <c r="L1145" s="34" t="str">
        <f t="shared" si="268"/>
        <v/>
      </c>
      <c r="M1145" s="34" t="str">
        <f t="shared" si="261"/>
        <v/>
      </c>
      <c r="N1145" s="34" t="str">
        <f t="shared" si="262"/>
        <v/>
      </c>
      <c r="O1145" s="34" t="str">
        <f t="shared" si="263"/>
        <v/>
      </c>
      <c r="P1145" s="34" t="str">
        <f t="shared" si="264"/>
        <v/>
      </c>
      <c r="Q1145" s="34" t="str">
        <f t="shared" si="265"/>
        <v/>
      </c>
      <c r="R1145" s="34" t="str">
        <f t="shared" si="266"/>
        <v/>
      </c>
      <c r="S1145" s="34" t="str">
        <f t="shared" si="267"/>
        <v/>
      </c>
    </row>
    <row r="1146" spans="12:19" x14ac:dyDescent="0.3">
      <c r="L1146" s="34" t="str">
        <f t="shared" si="268"/>
        <v/>
      </c>
      <c r="M1146" s="34" t="str">
        <f t="shared" si="261"/>
        <v/>
      </c>
      <c r="N1146" s="34" t="str">
        <f t="shared" si="262"/>
        <v/>
      </c>
      <c r="O1146" s="34" t="str">
        <f t="shared" si="263"/>
        <v/>
      </c>
      <c r="P1146" s="34" t="str">
        <f t="shared" si="264"/>
        <v/>
      </c>
      <c r="Q1146" s="34" t="str">
        <f t="shared" si="265"/>
        <v/>
      </c>
      <c r="R1146" s="34" t="str">
        <f t="shared" si="266"/>
        <v/>
      </c>
      <c r="S1146" s="34" t="str">
        <f t="shared" si="267"/>
        <v/>
      </c>
    </row>
    <row r="1147" spans="12:19" x14ac:dyDescent="0.3">
      <c r="L1147" s="34" t="str">
        <f t="shared" si="268"/>
        <v/>
      </c>
      <c r="M1147" s="34" t="str">
        <f t="shared" si="261"/>
        <v/>
      </c>
      <c r="N1147" s="34" t="str">
        <f t="shared" si="262"/>
        <v/>
      </c>
      <c r="O1147" s="34" t="str">
        <f t="shared" si="263"/>
        <v/>
      </c>
      <c r="P1147" s="34" t="str">
        <f t="shared" si="264"/>
        <v/>
      </c>
      <c r="Q1147" s="34" t="str">
        <f t="shared" si="265"/>
        <v/>
      </c>
      <c r="R1147" s="34" t="str">
        <f t="shared" si="266"/>
        <v/>
      </c>
      <c r="S1147" s="34" t="str">
        <f t="shared" si="267"/>
        <v/>
      </c>
    </row>
    <row r="1148" spans="12:19" x14ac:dyDescent="0.3">
      <c r="L1148" s="34" t="str">
        <f t="shared" si="268"/>
        <v/>
      </c>
      <c r="M1148" s="34" t="str">
        <f t="shared" si="261"/>
        <v/>
      </c>
      <c r="N1148" s="34" t="str">
        <f t="shared" si="262"/>
        <v/>
      </c>
      <c r="O1148" s="34" t="str">
        <f t="shared" si="263"/>
        <v/>
      </c>
      <c r="P1148" s="34" t="str">
        <f t="shared" si="264"/>
        <v/>
      </c>
      <c r="Q1148" s="34" t="str">
        <f t="shared" si="265"/>
        <v/>
      </c>
      <c r="R1148" s="34" t="str">
        <f t="shared" si="266"/>
        <v/>
      </c>
      <c r="S1148" s="34" t="str">
        <f t="shared" si="267"/>
        <v/>
      </c>
    </row>
    <row r="1149" spans="12:19" x14ac:dyDescent="0.3">
      <c r="L1149" s="34" t="str">
        <f t="shared" si="268"/>
        <v/>
      </c>
      <c r="M1149" s="34" t="str">
        <f t="shared" si="261"/>
        <v/>
      </c>
      <c r="N1149" s="34" t="str">
        <f t="shared" si="262"/>
        <v/>
      </c>
      <c r="O1149" s="34" t="str">
        <f t="shared" si="263"/>
        <v/>
      </c>
      <c r="P1149" s="34" t="str">
        <f t="shared" si="264"/>
        <v/>
      </c>
      <c r="Q1149" s="34" t="str">
        <f t="shared" si="265"/>
        <v/>
      </c>
      <c r="R1149" s="34" t="str">
        <f t="shared" si="266"/>
        <v/>
      </c>
      <c r="S1149" s="34" t="str">
        <f t="shared" si="267"/>
        <v/>
      </c>
    </row>
    <row r="1150" spans="12:19" x14ac:dyDescent="0.3">
      <c r="L1150" s="34" t="str">
        <f t="shared" si="268"/>
        <v/>
      </c>
      <c r="M1150" s="34" t="str">
        <f t="shared" si="261"/>
        <v/>
      </c>
      <c r="N1150" s="34" t="str">
        <f t="shared" si="262"/>
        <v/>
      </c>
      <c r="O1150" s="34" t="str">
        <f t="shared" si="263"/>
        <v/>
      </c>
      <c r="P1150" s="34" t="str">
        <f t="shared" si="264"/>
        <v/>
      </c>
      <c r="Q1150" s="34" t="str">
        <f t="shared" si="265"/>
        <v/>
      </c>
      <c r="R1150" s="34" t="str">
        <f t="shared" si="266"/>
        <v/>
      </c>
      <c r="S1150" s="34" t="str">
        <f t="shared" si="267"/>
        <v/>
      </c>
    </row>
    <row r="1151" spans="12:19" x14ac:dyDescent="0.3">
      <c r="L1151" s="34" t="str">
        <f t="shared" si="268"/>
        <v/>
      </c>
      <c r="M1151" s="34" t="str">
        <f t="shared" si="261"/>
        <v/>
      </c>
      <c r="N1151" s="34" t="str">
        <f t="shared" si="262"/>
        <v/>
      </c>
      <c r="O1151" s="34" t="str">
        <f t="shared" si="263"/>
        <v/>
      </c>
      <c r="P1151" s="34" t="str">
        <f t="shared" si="264"/>
        <v/>
      </c>
      <c r="Q1151" s="34" t="str">
        <f t="shared" si="265"/>
        <v/>
      </c>
      <c r="R1151" s="34" t="str">
        <f t="shared" si="266"/>
        <v/>
      </c>
      <c r="S1151" s="34" t="str">
        <f t="shared" si="267"/>
        <v/>
      </c>
    </row>
    <row r="1152" spans="12:19" x14ac:dyDescent="0.3">
      <c r="L1152" s="34" t="str">
        <f t="shared" si="268"/>
        <v/>
      </c>
      <c r="M1152" s="34" t="str">
        <f t="shared" si="261"/>
        <v/>
      </c>
      <c r="N1152" s="34" t="str">
        <f t="shared" si="262"/>
        <v/>
      </c>
      <c r="O1152" s="34" t="str">
        <f t="shared" si="263"/>
        <v/>
      </c>
      <c r="P1152" s="34" t="str">
        <f t="shared" si="264"/>
        <v/>
      </c>
      <c r="Q1152" s="34" t="str">
        <f t="shared" si="265"/>
        <v/>
      </c>
      <c r="R1152" s="34" t="str">
        <f t="shared" si="266"/>
        <v/>
      </c>
      <c r="S1152" s="34" t="str">
        <f t="shared" si="267"/>
        <v/>
      </c>
    </row>
    <row r="1153" spans="12:19" x14ac:dyDescent="0.3">
      <c r="L1153" s="34" t="str">
        <f t="shared" si="268"/>
        <v/>
      </c>
      <c r="M1153" s="34" t="str">
        <f t="shared" si="261"/>
        <v/>
      </c>
      <c r="N1153" s="34" t="str">
        <f t="shared" si="262"/>
        <v/>
      </c>
      <c r="O1153" s="34" t="str">
        <f t="shared" si="263"/>
        <v/>
      </c>
      <c r="P1153" s="34" t="str">
        <f t="shared" si="264"/>
        <v/>
      </c>
      <c r="Q1153" s="34" t="str">
        <f t="shared" si="265"/>
        <v/>
      </c>
      <c r="R1153" s="34" t="str">
        <f t="shared" si="266"/>
        <v/>
      </c>
      <c r="S1153" s="34" t="str">
        <f t="shared" si="267"/>
        <v/>
      </c>
    </row>
    <row r="1154" spans="12:19" x14ac:dyDescent="0.3">
      <c r="L1154" s="34" t="str">
        <f t="shared" si="268"/>
        <v/>
      </c>
      <c r="M1154" s="34" t="str">
        <f t="shared" si="261"/>
        <v/>
      </c>
      <c r="N1154" s="34" t="str">
        <f t="shared" si="262"/>
        <v/>
      </c>
      <c r="O1154" s="34" t="str">
        <f t="shared" si="263"/>
        <v/>
      </c>
      <c r="P1154" s="34" t="str">
        <f t="shared" si="264"/>
        <v/>
      </c>
      <c r="Q1154" s="34" t="str">
        <f t="shared" si="265"/>
        <v/>
      </c>
      <c r="R1154" s="34" t="str">
        <f t="shared" si="266"/>
        <v/>
      </c>
      <c r="S1154" s="34" t="str">
        <f t="shared" si="267"/>
        <v/>
      </c>
    </row>
    <row r="1155" spans="12:19" x14ac:dyDescent="0.3">
      <c r="L1155" s="34" t="str">
        <f t="shared" si="268"/>
        <v/>
      </c>
      <c r="M1155" s="34" t="str">
        <f t="shared" si="261"/>
        <v/>
      </c>
      <c r="N1155" s="34" t="str">
        <f t="shared" si="262"/>
        <v/>
      </c>
      <c r="O1155" s="34" t="str">
        <f t="shared" si="263"/>
        <v/>
      </c>
      <c r="P1155" s="34" t="str">
        <f t="shared" si="264"/>
        <v/>
      </c>
      <c r="Q1155" s="34" t="str">
        <f t="shared" si="265"/>
        <v/>
      </c>
      <c r="R1155" s="34" t="str">
        <f t="shared" si="266"/>
        <v/>
      </c>
      <c r="S1155" s="34" t="str">
        <f t="shared" si="267"/>
        <v/>
      </c>
    </row>
    <row r="1156" spans="12:19" x14ac:dyDescent="0.3">
      <c r="L1156" s="34" t="str">
        <f t="shared" si="268"/>
        <v/>
      </c>
      <c r="M1156" s="34" t="str">
        <f t="shared" si="261"/>
        <v/>
      </c>
      <c r="N1156" s="34" t="str">
        <f t="shared" si="262"/>
        <v/>
      </c>
      <c r="O1156" s="34" t="str">
        <f t="shared" si="263"/>
        <v/>
      </c>
      <c r="P1156" s="34" t="str">
        <f t="shared" si="264"/>
        <v/>
      </c>
      <c r="Q1156" s="34" t="str">
        <f t="shared" si="265"/>
        <v/>
      </c>
      <c r="R1156" s="34" t="str">
        <f t="shared" si="266"/>
        <v/>
      </c>
      <c r="S1156" s="34" t="str">
        <f t="shared" si="267"/>
        <v/>
      </c>
    </row>
    <row r="1157" spans="12:19" x14ac:dyDescent="0.3">
      <c r="M1157" s="34" t="str">
        <f t="shared" ref="M1157:M1220" si="275">IF(AND(L1157="s.csv",A1157=1),ABS(1000/12/D1157),"")</f>
        <v/>
      </c>
      <c r="N1157" s="34" t="str">
        <f t="shared" si="262"/>
        <v/>
      </c>
      <c r="O1157" s="34" t="str">
        <f t="shared" si="263"/>
        <v/>
      </c>
      <c r="P1157" s="34" t="str">
        <f t="shared" si="264"/>
        <v/>
      </c>
      <c r="Q1157" s="34" t="str">
        <f t="shared" si="265"/>
        <v/>
      </c>
      <c r="R1157" s="34" t="str">
        <f t="shared" si="266"/>
        <v/>
      </c>
      <c r="S1157" s="34" t="str">
        <f t="shared" si="267"/>
        <v/>
      </c>
    </row>
    <row r="1158" spans="12:19" x14ac:dyDescent="0.3">
      <c r="M1158" s="34" t="str">
        <f t="shared" si="275"/>
        <v/>
      </c>
      <c r="N1158" s="34" t="str">
        <f t="shared" si="262"/>
        <v/>
      </c>
      <c r="O1158" s="34" t="str">
        <f t="shared" si="263"/>
        <v/>
      </c>
      <c r="P1158" s="34" t="str">
        <f t="shared" si="264"/>
        <v/>
      </c>
      <c r="Q1158" s="34" t="str">
        <f t="shared" si="265"/>
        <v/>
      </c>
      <c r="R1158" s="34" t="str">
        <f t="shared" si="266"/>
        <v/>
      </c>
      <c r="S1158" s="34" t="str">
        <f t="shared" si="267"/>
        <v/>
      </c>
    </row>
    <row r="1159" spans="12:19" x14ac:dyDescent="0.3">
      <c r="L1159" s="34" t="str">
        <f t="shared" ref="L1159" si="276">RIGHT(A1159,5)</f>
        <v/>
      </c>
      <c r="M1159" s="34" t="str">
        <f t="shared" si="275"/>
        <v/>
      </c>
      <c r="N1159" s="34" t="str">
        <f t="shared" si="262"/>
        <v/>
      </c>
      <c r="O1159" s="34" t="str">
        <f t="shared" si="263"/>
        <v/>
      </c>
      <c r="P1159" s="34" t="str">
        <f t="shared" si="264"/>
        <v/>
      </c>
      <c r="Q1159" s="34" t="str">
        <f t="shared" si="265"/>
        <v/>
      </c>
      <c r="R1159" s="34" t="str">
        <f t="shared" si="266"/>
        <v/>
      </c>
      <c r="S1159" s="34" t="str">
        <f t="shared" si="267"/>
        <v/>
      </c>
    </row>
    <row r="1160" spans="12:19" x14ac:dyDescent="0.3">
      <c r="L1160" s="34" t="str">
        <f t="shared" ref="L1160" si="277">L1159</f>
        <v/>
      </c>
      <c r="M1160" s="34" t="str">
        <f t="shared" si="275"/>
        <v/>
      </c>
      <c r="N1160" s="34" t="str">
        <f t="shared" si="262"/>
        <v/>
      </c>
      <c r="O1160" s="34" t="str">
        <f t="shared" si="263"/>
        <v/>
      </c>
      <c r="P1160" s="34" t="str">
        <f t="shared" si="264"/>
        <v/>
      </c>
      <c r="Q1160" s="34" t="str">
        <f t="shared" si="265"/>
        <v/>
      </c>
      <c r="R1160" s="34" t="str">
        <f t="shared" si="266"/>
        <v/>
      </c>
      <c r="S1160" s="34" t="str">
        <f t="shared" si="267"/>
        <v/>
      </c>
    </row>
    <row r="1161" spans="12:19" x14ac:dyDescent="0.3">
      <c r="L1161" s="34" t="str">
        <f t="shared" si="268"/>
        <v/>
      </c>
      <c r="M1161" s="34" t="str">
        <f t="shared" si="275"/>
        <v/>
      </c>
      <c r="N1161" s="34" t="str">
        <f t="shared" si="262"/>
        <v/>
      </c>
      <c r="O1161" s="34" t="str">
        <f t="shared" si="263"/>
        <v/>
      </c>
      <c r="P1161" s="34" t="str">
        <f t="shared" si="264"/>
        <v/>
      </c>
      <c r="Q1161" s="34" t="str">
        <f t="shared" si="265"/>
        <v/>
      </c>
      <c r="R1161" s="34" t="str">
        <f t="shared" si="266"/>
        <v/>
      </c>
      <c r="S1161" s="34" t="str">
        <f t="shared" si="267"/>
        <v/>
      </c>
    </row>
    <row r="1162" spans="12:19" x14ac:dyDescent="0.3">
      <c r="L1162" s="34" t="str">
        <f t="shared" si="268"/>
        <v/>
      </c>
      <c r="M1162" s="34" t="str">
        <f t="shared" si="275"/>
        <v/>
      </c>
      <c r="N1162" s="34" t="str">
        <f t="shared" si="262"/>
        <v/>
      </c>
      <c r="O1162" s="34" t="str">
        <f t="shared" si="263"/>
        <v/>
      </c>
      <c r="P1162" s="34" t="str">
        <f t="shared" si="264"/>
        <v/>
      </c>
      <c r="Q1162" s="34" t="str">
        <f t="shared" si="265"/>
        <v/>
      </c>
      <c r="R1162" s="34" t="str">
        <f t="shared" si="266"/>
        <v/>
      </c>
      <c r="S1162" s="34" t="str">
        <f t="shared" si="267"/>
        <v/>
      </c>
    </row>
    <row r="1163" spans="12:19" x14ac:dyDescent="0.3">
      <c r="L1163" s="34" t="str">
        <f t="shared" si="268"/>
        <v/>
      </c>
      <c r="M1163" s="34" t="str">
        <f t="shared" si="275"/>
        <v/>
      </c>
      <c r="N1163" s="34" t="str">
        <f t="shared" si="262"/>
        <v/>
      </c>
      <c r="O1163" s="34" t="str">
        <f t="shared" si="263"/>
        <v/>
      </c>
      <c r="P1163" s="34" t="str">
        <f t="shared" si="264"/>
        <v/>
      </c>
      <c r="Q1163" s="34" t="str">
        <f t="shared" si="265"/>
        <v/>
      </c>
      <c r="R1163" s="34" t="str">
        <f t="shared" si="266"/>
        <v/>
      </c>
      <c r="S1163" s="34" t="str">
        <f t="shared" si="267"/>
        <v/>
      </c>
    </row>
    <row r="1164" spans="12:19" x14ac:dyDescent="0.3">
      <c r="L1164" s="34" t="str">
        <f t="shared" si="268"/>
        <v/>
      </c>
      <c r="M1164" s="34" t="str">
        <f t="shared" si="275"/>
        <v/>
      </c>
      <c r="N1164" s="34" t="str">
        <f t="shared" ref="N1164:N1227" si="278">IF(AND(OR($L1164="l.csv",$L1164="g.csv"),$E1164&gt;4),F1164,"")</f>
        <v/>
      </c>
      <c r="O1164" s="34" t="str">
        <f t="shared" ref="O1164:O1227" si="279">IF(AND(OR($L1164="l.csv",$L1164="g.csv"),$E1164&gt;4),G1164,"")</f>
        <v/>
      </c>
      <c r="P1164" s="34" t="str">
        <f t="shared" ref="P1164:P1227" si="280">IF(AND(OR($L1164="l.csv",$L1164="g.csv"),$E1164&gt;4),H1164,"")</f>
        <v/>
      </c>
      <c r="Q1164" s="34" t="str">
        <f t="shared" ref="Q1164:Q1227" si="281">IF(AND(OR($L1164="l.csv",$L1164="g.csv"),$E1164&gt;4),I1164,"")</f>
        <v/>
      </c>
      <c r="R1164" s="34" t="str">
        <f t="shared" ref="R1164:R1227" si="282">IF(AND(OR($L1164="l.csv",$L1164="g.csv"),$E1164&gt;4),J1164,"")</f>
        <v/>
      </c>
      <c r="S1164" s="34" t="str">
        <f t="shared" ref="S1164:S1227" si="283">IF(AND(OR($L1164="l.csv",$L1164="g.csv"),$E1164&gt;4),K1164,"")</f>
        <v/>
      </c>
    </row>
    <row r="1165" spans="12:19" x14ac:dyDescent="0.3">
      <c r="L1165" s="34" t="str">
        <f t="shared" si="268"/>
        <v/>
      </c>
      <c r="M1165" s="34" t="str">
        <f t="shared" si="275"/>
        <v/>
      </c>
      <c r="N1165" s="34" t="str">
        <f t="shared" si="278"/>
        <v/>
      </c>
      <c r="O1165" s="34" t="str">
        <f t="shared" si="279"/>
        <v/>
      </c>
      <c r="P1165" s="34" t="str">
        <f t="shared" si="280"/>
        <v/>
      </c>
      <c r="Q1165" s="34" t="str">
        <f t="shared" si="281"/>
        <v/>
      </c>
      <c r="R1165" s="34" t="str">
        <f t="shared" si="282"/>
        <v/>
      </c>
      <c r="S1165" s="34" t="str">
        <f t="shared" si="283"/>
        <v/>
      </c>
    </row>
    <row r="1166" spans="12:19" x14ac:dyDescent="0.3">
      <c r="L1166" s="34" t="str">
        <f t="shared" si="268"/>
        <v/>
      </c>
      <c r="M1166" s="34" t="str">
        <f t="shared" si="275"/>
        <v/>
      </c>
      <c r="N1166" s="34" t="str">
        <f t="shared" si="278"/>
        <v/>
      </c>
      <c r="O1166" s="34" t="str">
        <f t="shared" si="279"/>
        <v/>
      </c>
      <c r="P1166" s="34" t="str">
        <f t="shared" si="280"/>
        <v/>
      </c>
      <c r="Q1166" s="34" t="str">
        <f t="shared" si="281"/>
        <v/>
      </c>
      <c r="R1166" s="34" t="str">
        <f t="shared" si="282"/>
        <v/>
      </c>
      <c r="S1166" s="34" t="str">
        <f t="shared" si="283"/>
        <v/>
      </c>
    </row>
    <row r="1167" spans="12:19" x14ac:dyDescent="0.3">
      <c r="L1167" s="34" t="str">
        <f t="shared" si="268"/>
        <v/>
      </c>
      <c r="M1167" s="34" t="str">
        <f t="shared" si="275"/>
        <v/>
      </c>
      <c r="N1167" s="34" t="str">
        <f t="shared" si="278"/>
        <v/>
      </c>
      <c r="O1167" s="34" t="str">
        <f t="shared" si="279"/>
        <v/>
      </c>
      <c r="P1167" s="34" t="str">
        <f t="shared" si="280"/>
        <v/>
      </c>
      <c r="Q1167" s="34" t="str">
        <f t="shared" si="281"/>
        <v/>
      </c>
      <c r="R1167" s="34" t="str">
        <f t="shared" si="282"/>
        <v/>
      </c>
      <c r="S1167" s="34" t="str">
        <f t="shared" si="283"/>
        <v/>
      </c>
    </row>
    <row r="1168" spans="12:19" x14ac:dyDescent="0.3">
      <c r="L1168" s="34" t="str">
        <f t="shared" si="268"/>
        <v/>
      </c>
      <c r="M1168" s="34" t="str">
        <f t="shared" si="275"/>
        <v/>
      </c>
      <c r="N1168" s="34" t="str">
        <f t="shared" si="278"/>
        <v/>
      </c>
      <c r="O1168" s="34" t="str">
        <f t="shared" si="279"/>
        <v/>
      </c>
      <c r="P1168" s="34" t="str">
        <f t="shared" si="280"/>
        <v/>
      </c>
      <c r="Q1168" s="34" t="str">
        <f t="shared" si="281"/>
        <v/>
      </c>
      <c r="R1168" s="34" t="str">
        <f t="shared" si="282"/>
        <v/>
      </c>
      <c r="S1168" s="34" t="str">
        <f t="shared" si="283"/>
        <v/>
      </c>
    </row>
    <row r="1169" spans="12:19" x14ac:dyDescent="0.3">
      <c r="L1169" s="34" t="str">
        <f t="shared" ref="L1169:L1232" si="284">L1168</f>
        <v/>
      </c>
      <c r="M1169" s="34" t="str">
        <f t="shared" si="275"/>
        <v/>
      </c>
      <c r="N1169" s="34" t="str">
        <f t="shared" si="278"/>
        <v/>
      </c>
      <c r="O1169" s="34" t="str">
        <f t="shared" si="279"/>
        <v/>
      </c>
      <c r="P1169" s="34" t="str">
        <f t="shared" si="280"/>
        <v/>
      </c>
      <c r="Q1169" s="34" t="str">
        <f t="shared" si="281"/>
        <v/>
      </c>
      <c r="R1169" s="34" t="str">
        <f t="shared" si="282"/>
        <v/>
      </c>
      <c r="S1169" s="34" t="str">
        <f t="shared" si="283"/>
        <v/>
      </c>
    </row>
    <row r="1170" spans="12:19" x14ac:dyDescent="0.3">
      <c r="L1170" s="34" t="str">
        <f t="shared" si="284"/>
        <v/>
      </c>
      <c r="M1170" s="34" t="str">
        <f t="shared" si="275"/>
        <v/>
      </c>
      <c r="N1170" s="34" t="str">
        <f t="shared" si="278"/>
        <v/>
      </c>
      <c r="O1170" s="34" t="str">
        <f t="shared" si="279"/>
        <v/>
      </c>
      <c r="P1170" s="34" t="str">
        <f t="shared" si="280"/>
        <v/>
      </c>
      <c r="Q1170" s="34" t="str">
        <f t="shared" si="281"/>
        <v/>
      </c>
      <c r="R1170" s="34" t="str">
        <f t="shared" si="282"/>
        <v/>
      </c>
      <c r="S1170" s="34" t="str">
        <f t="shared" si="283"/>
        <v/>
      </c>
    </row>
    <row r="1171" spans="12:19" x14ac:dyDescent="0.3">
      <c r="L1171" s="34" t="str">
        <f t="shared" si="284"/>
        <v/>
      </c>
      <c r="M1171" s="34" t="str">
        <f t="shared" si="275"/>
        <v/>
      </c>
      <c r="N1171" s="34" t="str">
        <f t="shared" si="278"/>
        <v/>
      </c>
      <c r="O1171" s="34" t="str">
        <f t="shared" si="279"/>
        <v/>
      </c>
      <c r="P1171" s="34" t="str">
        <f t="shared" si="280"/>
        <v/>
      </c>
      <c r="Q1171" s="34" t="str">
        <f t="shared" si="281"/>
        <v/>
      </c>
      <c r="R1171" s="34" t="str">
        <f t="shared" si="282"/>
        <v/>
      </c>
      <c r="S1171" s="34" t="str">
        <f t="shared" si="283"/>
        <v/>
      </c>
    </row>
    <row r="1172" spans="12:19" x14ac:dyDescent="0.3">
      <c r="L1172" s="34" t="str">
        <f t="shared" si="284"/>
        <v/>
      </c>
      <c r="M1172" s="34" t="str">
        <f t="shared" si="275"/>
        <v/>
      </c>
      <c r="N1172" s="34" t="str">
        <f t="shared" si="278"/>
        <v/>
      </c>
      <c r="O1172" s="34" t="str">
        <f t="shared" si="279"/>
        <v/>
      </c>
      <c r="P1172" s="34" t="str">
        <f t="shared" si="280"/>
        <v/>
      </c>
      <c r="Q1172" s="34" t="str">
        <f t="shared" si="281"/>
        <v/>
      </c>
      <c r="R1172" s="34" t="str">
        <f t="shared" si="282"/>
        <v/>
      </c>
      <c r="S1172" s="34" t="str">
        <f t="shared" si="283"/>
        <v/>
      </c>
    </row>
    <row r="1173" spans="12:19" x14ac:dyDescent="0.3">
      <c r="L1173" s="34" t="str">
        <f t="shared" si="284"/>
        <v/>
      </c>
      <c r="M1173" s="34" t="str">
        <f t="shared" si="275"/>
        <v/>
      </c>
      <c r="N1173" s="34" t="str">
        <f t="shared" si="278"/>
        <v/>
      </c>
      <c r="O1173" s="34" t="str">
        <f t="shared" si="279"/>
        <v/>
      </c>
      <c r="P1173" s="34" t="str">
        <f t="shared" si="280"/>
        <v/>
      </c>
      <c r="Q1173" s="34" t="str">
        <f t="shared" si="281"/>
        <v/>
      </c>
      <c r="R1173" s="34" t="str">
        <f t="shared" si="282"/>
        <v/>
      </c>
      <c r="S1173" s="34" t="str">
        <f t="shared" si="283"/>
        <v/>
      </c>
    </row>
    <row r="1174" spans="12:19" x14ac:dyDescent="0.3">
      <c r="M1174" s="34" t="str">
        <f t="shared" si="275"/>
        <v/>
      </c>
      <c r="N1174" s="34" t="str">
        <f t="shared" si="278"/>
        <v/>
      </c>
      <c r="O1174" s="34" t="str">
        <f t="shared" si="279"/>
        <v/>
      </c>
      <c r="P1174" s="34" t="str">
        <f t="shared" si="280"/>
        <v/>
      </c>
      <c r="Q1174" s="34" t="str">
        <f t="shared" si="281"/>
        <v/>
      </c>
      <c r="R1174" s="34" t="str">
        <f t="shared" si="282"/>
        <v/>
      </c>
      <c r="S1174" s="34" t="str">
        <f t="shared" si="283"/>
        <v/>
      </c>
    </row>
    <row r="1175" spans="12:19" x14ac:dyDescent="0.3">
      <c r="M1175" s="34" t="str">
        <f t="shared" si="275"/>
        <v/>
      </c>
      <c r="N1175" s="34" t="str">
        <f t="shared" si="278"/>
        <v/>
      </c>
      <c r="O1175" s="34" t="str">
        <f t="shared" si="279"/>
        <v/>
      </c>
      <c r="P1175" s="34" t="str">
        <f t="shared" si="280"/>
        <v/>
      </c>
      <c r="Q1175" s="34" t="str">
        <f t="shared" si="281"/>
        <v/>
      </c>
      <c r="R1175" s="34" t="str">
        <f t="shared" si="282"/>
        <v/>
      </c>
      <c r="S1175" s="34" t="str">
        <f t="shared" si="283"/>
        <v/>
      </c>
    </row>
    <row r="1176" spans="12:19" x14ac:dyDescent="0.3">
      <c r="L1176" s="34" t="str">
        <f t="shared" ref="L1176" si="285">RIGHT(A1176,5)</f>
        <v/>
      </c>
      <c r="M1176" s="34" t="str">
        <f t="shared" si="275"/>
        <v/>
      </c>
      <c r="N1176" s="34" t="str">
        <f t="shared" si="278"/>
        <v/>
      </c>
      <c r="O1176" s="34" t="str">
        <f t="shared" si="279"/>
        <v/>
      </c>
      <c r="P1176" s="34" t="str">
        <f t="shared" si="280"/>
        <v/>
      </c>
      <c r="Q1176" s="34" t="str">
        <f t="shared" si="281"/>
        <v/>
      </c>
      <c r="R1176" s="34" t="str">
        <f t="shared" si="282"/>
        <v/>
      </c>
      <c r="S1176" s="34" t="str">
        <f t="shared" si="283"/>
        <v/>
      </c>
    </row>
    <row r="1177" spans="12:19" x14ac:dyDescent="0.3">
      <c r="L1177" s="34" t="str">
        <f t="shared" ref="L1177" si="286">L1176</f>
        <v/>
      </c>
      <c r="M1177" s="34" t="str">
        <f t="shared" si="275"/>
        <v/>
      </c>
      <c r="N1177" s="34" t="str">
        <f t="shared" si="278"/>
        <v/>
      </c>
      <c r="O1177" s="34" t="str">
        <f t="shared" si="279"/>
        <v/>
      </c>
      <c r="P1177" s="34" t="str">
        <f t="shared" si="280"/>
        <v/>
      </c>
      <c r="Q1177" s="34" t="str">
        <f t="shared" si="281"/>
        <v/>
      </c>
      <c r="R1177" s="34" t="str">
        <f t="shared" si="282"/>
        <v/>
      </c>
      <c r="S1177" s="34" t="str">
        <f t="shared" si="283"/>
        <v/>
      </c>
    </row>
    <row r="1178" spans="12:19" x14ac:dyDescent="0.3">
      <c r="L1178" s="34" t="str">
        <f t="shared" si="284"/>
        <v/>
      </c>
      <c r="M1178" s="34" t="str">
        <f t="shared" si="275"/>
        <v/>
      </c>
      <c r="N1178" s="34" t="str">
        <f t="shared" si="278"/>
        <v/>
      </c>
      <c r="O1178" s="34" t="str">
        <f t="shared" si="279"/>
        <v/>
      </c>
      <c r="P1178" s="34" t="str">
        <f t="shared" si="280"/>
        <v/>
      </c>
      <c r="Q1178" s="34" t="str">
        <f t="shared" si="281"/>
        <v/>
      </c>
      <c r="R1178" s="34" t="str">
        <f t="shared" si="282"/>
        <v/>
      </c>
      <c r="S1178" s="34" t="str">
        <f t="shared" si="283"/>
        <v/>
      </c>
    </row>
    <row r="1179" spans="12:19" x14ac:dyDescent="0.3">
      <c r="L1179" s="34" t="str">
        <f t="shared" si="284"/>
        <v/>
      </c>
      <c r="M1179" s="34" t="str">
        <f t="shared" si="275"/>
        <v/>
      </c>
      <c r="N1179" s="34" t="str">
        <f t="shared" si="278"/>
        <v/>
      </c>
      <c r="O1179" s="34" t="str">
        <f t="shared" si="279"/>
        <v/>
      </c>
      <c r="P1179" s="34" t="str">
        <f t="shared" si="280"/>
        <v/>
      </c>
      <c r="Q1179" s="34" t="str">
        <f t="shared" si="281"/>
        <v/>
      </c>
      <c r="R1179" s="34" t="str">
        <f t="shared" si="282"/>
        <v/>
      </c>
      <c r="S1179" s="34" t="str">
        <f t="shared" si="283"/>
        <v/>
      </c>
    </row>
    <row r="1180" spans="12:19" x14ac:dyDescent="0.3">
      <c r="L1180" s="34" t="str">
        <f t="shared" si="284"/>
        <v/>
      </c>
      <c r="M1180" s="34" t="str">
        <f t="shared" si="275"/>
        <v/>
      </c>
      <c r="N1180" s="34" t="str">
        <f t="shared" si="278"/>
        <v/>
      </c>
      <c r="O1180" s="34" t="str">
        <f t="shared" si="279"/>
        <v/>
      </c>
      <c r="P1180" s="34" t="str">
        <f t="shared" si="280"/>
        <v/>
      </c>
      <c r="Q1180" s="34" t="str">
        <f t="shared" si="281"/>
        <v/>
      </c>
      <c r="R1180" s="34" t="str">
        <f t="shared" si="282"/>
        <v/>
      </c>
      <c r="S1180" s="34" t="str">
        <f t="shared" si="283"/>
        <v/>
      </c>
    </row>
    <row r="1181" spans="12:19" x14ac:dyDescent="0.3">
      <c r="L1181" s="34" t="str">
        <f t="shared" si="284"/>
        <v/>
      </c>
      <c r="M1181" s="34" t="str">
        <f t="shared" si="275"/>
        <v/>
      </c>
      <c r="N1181" s="34" t="str">
        <f t="shared" si="278"/>
        <v/>
      </c>
      <c r="O1181" s="34" t="str">
        <f t="shared" si="279"/>
        <v/>
      </c>
      <c r="P1181" s="34" t="str">
        <f t="shared" si="280"/>
        <v/>
      </c>
      <c r="Q1181" s="34" t="str">
        <f t="shared" si="281"/>
        <v/>
      </c>
      <c r="R1181" s="34" t="str">
        <f t="shared" si="282"/>
        <v/>
      </c>
      <c r="S1181" s="34" t="str">
        <f t="shared" si="283"/>
        <v/>
      </c>
    </row>
    <row r="1182" spans="12:19" x14ac:dyDescent="0.3">
      <c r="L1182" s="34" t="str">
        <f t="shared" si="284"/>
        <v/>
      </c>
      <c r="M1182" s="34" t="str">
        <f t="shared" si="275"/>
        <v/>
      </c>
      <c r="N1182" s="34" t="str">
        <f t="shared" si="278"/>
        <v/>
      </c>
      <c r="O1182" s="34" t="str">
        <f t="shared" si="279"/>
        <v/>
      </c>
      <c r="P1182" s="34" t="str">
        <f t="shared" si="280"/>
        <v/>
      </c>
      <c r="Q1182" s="34" t="str">
        <f t="shared" si="281"/>
        <v/>
      </c>
      <c r="R1182" s="34" t="str">
        <f t="shared" si="282"/>
        <v/>
      </c>
      <c r="S1182" s="34" t="str">
        <f t="shared" si="283"/>
        <v/>
      </c>
    </row>
    <row r="1183" spans="12:19" x14ac:dyDescent="0.3">
      <c r="L1183" s="34" t="str">
        <f t="shared" si="284"/>
        <v/>
      </c>
      <c r="M1183" s="34" t="str">
        <f t="shared" si="275"/>
        <v/>
      </c>
      <c r="N1183" s="34" t="str">
        <f t="shared" si="278"/>
        <v/>
      </c>
      <c r="O1183" s="34" t="str">
        <f t="shared" si="279"/>
        <v/>
      </c>
      <c r="P1183" s="34" t="str">
        <f t="shared" si="280"/>
        <v/>
      </c>
      <c r="Q1183" s="34" t="str">
        <f t="shared" si="281"/>
        <v/>
      </c>
      <c r="R1183" s="34" t="str">
        <f t="shared" si="282"/>
        <v/>
      </c>
      <c r="S1183" s="34" t="str">
        <f t="shared" si="283"/>
        <v/>
      </c>
    </row>
    <row r="1184" spans="12:19" x14ac:dyDescent="0.3">
      <c r="L1184" s="34" t="str">
        <f t="shared" si="284"/>
        <v/>
      </c>
      <c r="M1184" s="34" t="str">
        <f t="shared" si="275"/>
        <v/>
      </c>
      <c r="N1184" s="34" t="str">
        <f t="shared" si="278"/>
        <v/>
      </c>
      <c r="O1184" s="34" t="str">
        <f t="shared" si="279"/>
        <v/>
      </c>
      <c r="P1184" s="34" t="str">
        <f t="shared" si="280"/>
        <v/>
      </c>
      <c r="Q1184" s="34" t="str">
        <f t="shared" si="281"/>
        <v/>
      </c>
      <c r="R1184" s="34" t="str">
        <f t="shared" si="282"/>
        <v/>
      </c>
      <c r="S1184" s="34" t="str">
        <f t="shared" si="283"/>
        <v/>
      </c>
    </row>
    <row r="1185" spans="12:19" x14ac:dyDescent="0.3">
      <c r="L1185" s="34" t="str">
        <f t="shared" si="284"/>
        <v/>
      </c>
      <c r="M1185" s="34" t="str">
        <f t="shared" si="275"/>
        <v/>
      </c>
      <c r="N1185" s="34" t="str">
        <f t="shared" si="278"/>
        <v/>
      </c>
      <c r="O1185" s="34" t="str">
        <f t="shared" si="279"/>
        <v/>
      </c>
      <c r="P1185" s="34" t="str">
        <f t="shared" si="280"/>
        <v/>
      </c>
      <c r="Q1185" s="34" t="str">
        <f t="shared" si="281"/>
        <v/>
      </c>
      <c r="R1185" s="34" t="str">
        <f t="shared" si="282"/>
        <v/>
      </c>
      <c r="S1185" s="34" t="str">
        <f t="shared" si="283"/>
        <v/>
      </c>
    </row>
    <row r="1186" spans="12:19" x14ac:dyDescent="0.3">
      <c r="L1186" s="34" t="str">
        <f t="shared" si="284"/>
        <v/>
      </c>
      <c r="M1186" s="34" t="str">
        <f t="shared" si="275"/>
        <v/>
      </c>
      <c r="N1186" s="34" t="str">
        <f t="shared" si="278"/>
        <v/>
      </c>
      <c r="O1186" s="34" t="str">
        <f t="shared" si="279"/>
        <v/>
      </c>
      <c r="P1186" s="34" t="str">
        <f t="shared" si="280"/>
        <v/>
      </c>
      <c r="Q1186" s="34" t="str">
        <f t="shared" si="281"/>
        <v/>
      </c>
      <c r="R1186" s="34" t="str">
        <f t="shared" si="282"/>
        <v/>
      </c>
      <c r="S1186" s="34" t="str">
        <f t="shared" si="283"/>
        <v/>
      </c>
    </row>
    <row r="1187" spans="12:19" x14ac:dyDescent="0.3">
      <c r="L1187" s="34" t="str">
        <f t="shared" si="284"/>
        <v/>
      </c>
      <c r="M1187" s="34" t="str">
        <f t="shared" si="275"/>
        <v/>
      </c>
      <c r="N1187" s="34" t="str">
        <f t="shared" si="278"/>
        <v/>
      </c>
      <c r="O1187" s="34" t="str">
        <f t="shared" si="279"/>
        <v/>
      </c>
      <c r="P1187" s="34" t="str">
        <f t="shared" si="280"/>
        <v/>
      </c>
      <c r="Q1187" s="34" t="str">
        <f t="shared" si="281"/>
        <v/>
      </c>
      <c r="R1187" s="34" t="str">
        <f t="shared" si="282"/>
        <v/>
      </c>
      <c r="S1187" s="34" t="str">
        <f t="shared" si="283"/>
        <v/>
      </c>
    </row>
    <row r="1188" spans="12:19" x14ac:dyDescent="0.3">
      <c r="L1188" s="34" t="str">
        <f t="shared" si="284"/>
        <v/>
      </c>
      <c r="M1188" s="34" t="str">
        <f t="shared" si="275"/>
        <v/>
      </c>
      <c r="N1188" s="34" t="str">
        <f t="shared" si="278"/>
        <v/>
      </c>
      <c r="O1188" s="34" t="str">
        <f t="shared" si="279"/>
        <v/>
      </c>
      <c r="P1188" s="34" t="str">
        <f t="shared" si="280"/>
        <v/>
      </c>
      <c r="Q1188" s="34" t="str">
        <f t="shared" si="281"/>
        <v/>
      </c>
      <c r="R1188" s="34" t="str">
        <f t="shared" si="282"/>
        <v/>
      </c>
      <c r="S1188" s="34" t="str">
        <f t="shared" si="283"/>
        <v/>
      </c>
    </row>
    <row r="1189" spans="12:19" x14ac:dyDescent="0.3">
      <c r="L1189" s="34" t="str">
        <f t="shared" si="284"/>
        <v/>
      </c>
      <c r="M1189" s="34" t="str">
        <f t="shared" si="275"/>
        <v/>
      </c>
      <c r="N1189" s="34" t="str">
        <f t="shared" si="278"/>
        <v/>
      </c>
      <c r="O1189" s="34" t="str">
        <f t="shared" si="279"/>
        <v/>
      </c>
      <c r="P1189" s="34" t="str">
        <f t="shared" si="280"/>
        <v/>
      </c>
      <c r="Q1189" s="34" t="str">
        <f t="shared" si="281"/>
        <v/>
      </c>
      <c r="R1189" s="34" t="str">
        <f t="shared" si="282"/>
        <v/>
      </c>
      <c r="S1189" s="34" t="str">
        <f t="shared" si="283"/>
        <v/>
      </c>
    </row>
    <row r="1190" spans="12:19" x14ac:dyDescent="0.3">
      <c r="L1190" s="34" t="str">
        <f t="shared" si="284"/>
        <v/>
      </c>
      <c r="M1190" s="34" t="str">
        <f t="shared" si="275"/>
        <v/>
      </c>
      <c r="N1190" s="34" t="str">
        <f t="shared" si="278"/>
        <v/>
      </c>
      <c r="O1190" s="34" t="str">
        <f t="shared" si="279"/>
        <v/>
      </c>
      <c r="P1190" s="34" t="str">
        <f t="shared" si="280"/>
        <v/>
      </c>
      <c r="Q1190" s="34" t="str">
        <f t="shared" si="281"/>
        <v/>
      </c>
      <c r="R1190" s="34" t="str">
        <f t="shared" si="282"/>
        <v/>
      </c>
      <c r="S1190" s="34" t="str">
        <f t="shared" si="283"/>
        <v/>
      </c>
    </row>
    <row r="1191" spans="12:19" x14ac:dyDescent="0.3">
      <c r="M1191" s="34" t="str">
        <f t="shared" si="275"/>
        <v/>
      </c>
      <c r="N1191" s="34" t="str">
        <f t="shared" si="278"/>
        <v/>
      </c>
      <c r="O1191" s="34" t="str">
        <f t="shared" si="279"/>
        <v/>
      </c>
      <c r="P1191" s="34" t="str">
        <f t="shared" si="280"/>
        <v/>
      </c>
      <c r="Q1191" s="34" t="str">
        <f t="shared" si="281"/>
        <v/>
      </c>
      <c r="R1191" s="34" t="str">
        <f t="shared" si="282"/>
        <v/>
      </c>
      <c r="S1191" s="34" t="str">
        <f t="shared" si="283"/>
        <v/>
      </c>
    </row>
    <row r="1192" spans="12:19" x14ac:dyDescent="0.3">
      <c r="M1192" s="34" t="str">
        <f t="shared" si="275"/>
        <v/>
      </c>
      <c r="N1192" s="34" t="str">
        <f t="shared" si="278"/>
        <v/>
      </c>
      <c r="O1192" s="34" t="str">
        <f t="shared" si="279"/>
        <v/>
      </c>
      <c r="P1192" s="34" t="str">
        <f t="shared" si="280"/>
        <v/>
      </c>
      <c r="Q1192" s="34" t="str">
        <f t="shared" si="281"/>
        <v/>
      </c>
      <c r="R1192" s="34" t="str">
        <f t="shared" si="282"/>
        <v/>
      </c>
      <c r="S1192" s="34" t="str">
        <f t="shared" si="283"/>
        <v/>
      </c>
    </row>
    <row r="1193" spans="12:19" x14ac:dyDescent="0.3">
      <c r="L1193" s="34" t="str">
        <f t="shared" ref="L1193" si="287">RIGHT(A1193,5)</f>
        <v/>
      </c>
      <c r="M1193" s="34" t="str">
        <f t="shared" si="275"/>
        <v/>
      </c>
      <c r="N1193" s="34" t="str">
        <f t="shared" si="278"/>
        <v/>
      </c>
      <c r="O1193" s="34" t="str">
        <f t="shared" si="279"/>
        <v/>
      </c>
      <c r="P1193" s="34" t="str">
        <f t="shared" si="280"/>
        <v/>
      </c>
      <c r="Q1193" s="34" t="str">
        <f t="shared" si="281"/>
        <v/>
      </c>
      <c r="R1193" s="34" t="str">
        <f t="shared" si="282"/>
        <v/>
      </c>
      <c r="S1193" s="34" t="str">
        <f t="shared" si="283"/>
        <v/>
      </c>
    </row>
    <row r="1194" spans="12:19" x14ac:dyDescent="0.3">
      <c r="L1194" s="34" t="str">
        <f t="shared" ref="L1194" si="288">L1193</f>
        <v/>
      </c>
      <c r="M1194" s="34" t="str">
        <f t="shared" si="275"/>
        <v/>
      </c>
      <c r="N1194" s="34" t="str">
        <f t="shared" si="278"/>
        <v/>
      </c>
      <c r="O1194" s="34" t="str">
        <f t="shared" si="279"/>
        <v/>
      </c>
      <c r="P1194" s="34" t="str">
        <f t="shared" si="280"/>
        <v/>
      </c>
      <c r="Q1194" s="34" t="str">
        <f t="shared" si="281"/>
        <v/>
      </c>
      <c r="R1194" s="34" t="str">
        <f t="shared" si="282"/>
        <v/>
      </c>
      <c r="S1194" s="34" t="str">
        <f t="shared" si="283"/>
        <v/>
      </c>
    </row>
    <row r="1195" spans="12:19" x14ac:dyDescent="0.3">
      <c r="L1195" s="34" t="str">
        <f t="shared" si="284"/>
        <v/>
      </c>
      <c r="M1195" s="34" t="str">
        <f t="shared" si="275"/>
        <v/>
      </c>
      <c r="N1195" s="34" t="str">
        <f t="shared" si="278"/>
        <v/>
      </c>
      <c r="O1195" s="34" t="str">
        <f t="shared" si="279"/>
        <v/>
      </c>
      <c r="P1195" s="34" t="str">
        <f t="shared" si="280"/>
        <v/>
      </c>
      <c r="Q1195" s="34" t="str">
        <f t="shared" si="281"/>
        <v/>
      </c>
      <c r="R1195" s="34" t="str">
        <f t="shared" si="282"/>
        <v/>
      </c>
      <c r="S1195" s="34" t="str">
        <f t="shared" si="283"/>
        <v/>
      </c>
    </row>
    <row r="1196" spans="12:19" x14ac:dyDescent="0.3">
      <c r="L1196" s="34" t="str">
        <f t="shared" si="284"/>
        <v/>
      </c>
      <c r="M1196" s="34" t="str">
        <f t="shared" si="275"/>
        <v/>
      </c>
      <c r="N1196" s="34" t="str">
        <f t="shared" si="278"/>
        <v/>
      </c>
      <c r="O1196" s="34" t="str">
        <f t="shared" si="279"/>
        <v/>
      </c>
      <c r="P1196" s="34" t="str">
        <f t="shared" si="280"/>
        <v/>
      </c>
      <c r="Q1196" s="34" t="str">
        <f t="shared" si="281"/>
        <v/>
      </c>
      <c r="R1196" s="34" t="str">
        <f t="shared" si="282"/>
        <v/>
      </c>
      <c r="S1196" s="34" t="str">
        <f t="shared" si="283"/>
        <v/>
      </c>
    </row>
    <row r="1197" spans="12:19" x14ac:dyDescent="0.3">
      <c r="L1197" s="34" t="str">
        <f t="shared" si="284"/>
        <v/>
      </c>
      <c r="M1197" s="34" t="str">
        <f t="shared" si="275"/>
        <v/>
      </c>
      <c r="N1197" s="34" t="str">
        <f t="shared" si="278"/>
        <v/>
      </c>
      <c r="O1197" s="34" t="str">
        <f t="shared" si="279"/>
        <v/>
      </c>
      <c r="P1197" s="34" t="str">
        <f t="shared" si="280"/>
        <v/>
      </c>
      <c r="Q1197" s="34" t="str">
        <f t="shared" si="281"/>
        <v/>
      </c>
      <c r="R1197" s="34" t="str">
        <f t="shared" si="282"/>
        <v/>
      </c>
      <c r="S1197" s="34" t="str">
        <f t="shared" si="283"/>
        <v/>
      </c>
    </row>
    <row r="1198" spans="12:19" x14ac:dyDescent="0.3">
      <c r="L1198" s="34" t="str">
        <f t="shared" si="284"/>
        <v/>
      </c>
      <c r="M1198" s="34" t="str">
        <f t="shared" si="275"/>
        <v/>
      </c>
      <c r="N1198" s="34" t="str">
        <f t="shared" si="278"/>
        <v/>
      </c>
      <c r="O1198" s="34" t="str">
        <f t="shared" si="279"/>
        <v/>
      </c>
      <c r="P1198" s="34" t="str">
        <f t="shared" si="280"/>
        <v/>
      </c>
      <c r="Q1198" s="34" t="str">
        <f t="shared" si="281"/>
        <v/>
      </c>
      <c r="R1198" s="34" t="str">
        <f t="shared" si="282"/>
        <v/>
      </c>
      <c r="S1198" s="34" t="str">
        <f t="shared" si="283"/>
        <v/>
      </c>
    </row>
    <row r="1199" spans="12:19" x14ac:dyDescent="0.3">
      <c r="L1199" s="34" t="str">
        <f t="shared" si="284"/>
        <v/>
      </c>
      <c r="M1199" s="34" t="str">
        <f t="shared" si="275"/>
        <v/>
      </c>
      <c r="N1199" s="34" t="str">
        <f t="shared" si="278"/>
        <v/>
      </c>
      <c r="O1199" s="34" t="str">
        <f t="shared" si="279"/>
        <v/>
      </c>
      <c r="P1199" s="34" t="str">
        <f t="shared" si="280"/>
        <v/>
      </c>
      <c r="Q1199" s="34" t="str">
        <f t="shared" si="281"/>
        <v/>
      </c>
      <c r="R1199" s="34" t="str">
        <f t="shared" si="282"/>
        <v/>
      </c>
      <c r="S1199" s="34" t="str">
        <f t="shared" si="283"/>
        <v/>
      </c>
    </row>
    <row r="1200" spans="12:19" x14ac:dyDescent="0.3">
      <c r="L1200" s="34" t="str">
        <f t="shared" si="284"/>
        <v/>
      </c>
      <c r="M1200" s="34" t="str">
        <f t="shared" si="275"/>
        <v/>
      </c>
      <c r="N1200" s="34" t="str">
        <f t="shared" si="278"/>
        <v/>
      </c>
      <c r="O1200" s="34" t="str">
        <f t="shared" si="279"/>
        <v/>
      </c>
      <c r="P1200" s="34" t="str">
        <f t="shared" si="280"/>
        <v/>
      </c>
      <c r="Q1200" s="34" t="str">
        <f t="shared" si="281"/>
        <v/>
      </c>
      <c r="R1200" s="34" t="str">
        <f t="shared" si="282"/>
        <v/>
      </c>
      <c r="S1200" s="34" t="str">
        <f t="shared" si="283"/>
        <v/>
      </c>
    </row>
    <row r="1201" spans="12:19" x14ac:dyDescent="0.3">
      <c r="L1201" s="34" t="str">
        <f t="shared" si="284"/>
        <v/>
      </c>
      <c r="M1201" s="34" t="str">
        <f t="shared" si="275"/>
        <v/>
      </c>
      <c r="N1201" s="34" t="str">
        <f t="shared" si="278"/>
        <v/>
      </c>
      <c r="O1201" s="34" t="str">
        <f t="shared" si="279"/>
        <v/>
      </c>
      <c r="P1201" s="34" t="str">
        <f t="shared" si="280"/>
        <v/>
      </c>
      <c r="Q1201" s="34" t="str">
        <f t="shared" si="281"/>
        <v/>
      </c>
      <c r="R1201" s="34" t="str">
        <f t="shared" si="282"/>
        <v/>
      </c>
      <c r="S1201" s="34" t="str">
        <f t="shared" si="283"/>
        <v/>
      </c>
    </row>
    <row r="1202" spans="12:19" x14ac:dyDescent="0.3">
      <c r="L1202" s="34" t="str">
        <f t="shared" si="284"/>
        <v/>
      </c>
      <c r="M1202" s="34" t="str">
        <f t="shared" si="275"/>
        <v/>
      </c>
      <c r="N1202" s="34" t="str">
        <f t="shared" si="278"/>
        <v/>
      </c>
      <c r="O1202" s="34" t="str">
        <f t="shared" si="279"/>
        <v/>
      </c>
      <c r="P1202" s="34" t="str">
        <f t="shared" si="280"/>
        <v/>
      </c>
      <c r="Q1202" s="34" t="str">
        <f t="shared" si="281"/>
        <v/>
      </c>
      <c r="R1202" s="34" t="str">
        <f t="shared" si="282"/>
        <v/>
      </c>
      <c r="S1202" s="34" t="str">
        <f t="shared" si="283"/>
        <v/>
      </c>
    </row>
    <row r="1203" spans="12:19" x14ac:dyDescent="0.3">
      <c r="L1203" s="34" t="str">
        <f t="shared" si="284"/>
        <v/>
      </c>
      <c r="M1203" s="34" t="str">
        <f t="shared" si="275"/>
        <v/>
      </c>
      <c r="N1203" s="34" t="str">
        <f t="shared" si="278"/>
        <v/>
      </c>
      <c r="O1203" s="34" t="str">
        <f t="shared" si="279"/>
        <v/>
      </c>
      <c r="P1203" s="34" t="str">
        <f t="shared" si="280"/>
        <v/>
      </c>
      <c r="Q1203" s="34" t="str">
        <f t="shared" si="281"/>
        <v/>
      </c>
      <c r="R1203" s="34" t="str">
        <f t="shared" si="282"/>
        <v/>
      </c>
      <c r="S1203" s="34" t="str">
        <f t="shared" si="283"/>
        <v/>
      </c>
    </row>
    <row r="1204" spans="12:19" x14ac:dyDescent="0.3">
      <c r="L1204" s="34" t="str">
        <f t="shared" si="284"/>
        <v/>
      </c>
      <c r="M1204" s="34" t="str">
        <f t="shared" si="275"/>
        <v/>
      </c>
      <c r="N1204" s="34" t="str">
        <f t="shared" si="278"/>
        <v/>
      </c>
      <c r="O1204" s="34" t="str">
        <f t="shared" si="279"/>
        <v/>
      </c>
      <c r="P1204" s="34" t="str">
        <f t="shared" si="280"/>
        <v/>
      </c>
      <c r="Q1204" s="34" t="str">
        <f t="shared" si="281"/>
        <v/>
      </c>
      <c r="R1204" s="34" t="str">
        <f t="shared" si="282"/>
        <v/>
      </c>
      <c r="S1204" s="34" t="str">
        <f t="shared" si="283"/>
        <v/>
      </c>
    </row>
    <row r="1205" spans="12:19" x14ac:dyDescent="0.3">
      <c r="L1205" s="34" t="str">
        <f t="shared" si="284"/>
        <v/>
      </c>
      <c r="M1205" s="34" t="str">
        <f t="shared" si="275"/>
        <v/>
      </c>
      <c r="N1205" s="34" t="str">
        <f t="shared" si="278"/>
        <v/>
      </c>
      <c r="O1205" s="34" t="str">
        <f t="shared" si="279"/>
        <v/>
      </c>
      <c r="P1205" s="34" t="str">
        <f t="shared" si="280"/>
        <v/>
      </c>
      <c r="Q1205" s="34" t="str">
        <f t="shared" si="281"/>
        <v/>
      </c>
      <c r="R1205" s="34" t="str">
        <f t="shared" si="282"/>
        <v/>
      </c>
      <c r="S1205" s="34" t="str">
        <f t="shared" si="283"/>
        <v/>
      </c>
    </row>
    <row r="1206" spans="12:19" x14ac:dyDescent="0.3">
      <c r="L1206" s="34" t="str">
        <f t="shared" si="284"/>
        <v/>
      </c>
      <c r="M1206" s="34" t="str">
        <f t="shared" si="275"/>
        <v/>
      </c>
      <c r="N1206" s="34" t="str">
        <f t="shared" si="278"/>
        <v/>
      </c>
      <c r="O1206" s="34" t="str">
        <f t="shared" si="279"/>
        <v/>
      </c>
      <c r="P1206" s="34" t="str">
        <f t="shared" si="280"/>
        <v/>
      </c>
      <c r="Q1206" s="34" t="str">
        <f t="shared" si="281"/>
        <v/>
      </c>
      <c r="R1206" s="34" t="str">
        <f t="shared" si="282"/>
        <v/>
      </c>
      <c r="S1206" s="34" t="str">
        <f t="shared" si="283"/>
        <v/>
      </c>
    </row>
    <row r="1207" spans="12:19" x14ac:dyDescent="0.3">
      <c r="L1207" s="34" t="str">
        <f t="shared" si="284"/>
        <v/>
      </c>
      <c r="M1207" s="34" t="str">
        <f t="shared" si="275"/>
        <v/>
      </c>
      <c r="N1207" s="34" t="str">
        <f t="shared" si="278"/>
        <v/>
      </c>
      <c r="O1207" s="34" t="str">
        <f t="shared" si="279"/>
        <v/>
      </c>
      <c r="P1207" s="34" t="str">
        <f t="shared" si="280"/>
        <v/>
      </c>
      <c r="Q1207" s="34" t="str">
        <f t="shared" si="281"/>
        <v/>
      </c>
      <c r="R1207" s="34" t="str">
        <f t="shared" si="282"/>
        <v/>
      </c>
      <c r="S1207" s="34" t="str">
        <f t="shared" si="283"/>
        <v/>
      </c>
    </row>
    <row r="1208" spans="12:19" x14ac:dyDescent="0.3">
      <c r="M1208" s="34" t="str">
        <f t="shared" si="275"/>
        <v/>
      </c>
      <c r="N1208" s="34" t="str">
        <f t="shared" si="278"/>
        <v/>
      </c>
      <c r="O1208" s="34" t="str">
        <f t="shared" si="279"/>
        <v/>
      </c>
      <c r="P1208" s="34" t="str">
        <f t="shared" si="280"/>
        <v/>
      </c>
      <c r="Q1208" s="34" t="str">
        <f t="shared" si="281"/>
        <v/>
      </c>
      <c r="R1208" s="34" t="str">
        <f t="shared" si="282"/>
        <v/>
      </c>
      <c r="S1208" s="34" t="str">
        <f t="shared" si="283"/>
        <v/>
      </c>
    </row>
    <row r="1209" spans="12:19" x14ac:dyDescent="0.3">
      <c r="M1209" s="34" t="str">
        <f t="shared" si="275"/>
        <v/>
      </c>
      <c r="N1209" s="34" t="str">
        <f t="shared" si="278"/>
        <v/>
      </c>
      <c r="O1209" s="34" t="str">
        <f t="shared" si="279"/>
        <v/>
      </c>
      <c r="P1209" s="34" t="str">
        <f t="shared" si="280"/>
        <v/>
      </c>
      <c r="Q1209" s="34" t="str">
        <f t="shared" si="281"/>
        <v/>
      </c>
      <c r="R1209" s="34" t="str">
        <f t="shared" si="282"/>
        <v/>
      </c>
      <c r="S1209" s="34" t="str">
        <f t="shared" si="283"/>
        <v/>
      </c>
    </row>
    <row r="1210" spans="12:19" x14ac:dyDescent="0.3">
      <c r="L1210" s="34" t="str">
        <f t="shared" ref="L1210" si="289">RIGHT(A1210,5)</f>
        <v/>
      </c>
      <c r="M1210" s="34" t="str">
        <f t="shared" si="275"/>
        <v/>
      </c>
      <c r="N1210" s="34" t="str">
        <f t="shared" si="278"/>
        <v/>
      </c>
      <c r="O1210" s="34" t="str">
        <f t="shared" si="279"/>
        <v/>
      </c>
      <c r="P1210" s="34" t="str">
        <f t="shared" si="280"/>
        <v/>
      </c>
      <c r="Q1210" s="34" t="str">
        <f t="shared" si="281"/>
        <v/>
      </c>
      <c r="R1210" s="34" t="str">
        <f t="shared" si="282"/>
        <v/>
      </c>
      <c r="S1210" s="34" t="str">
        <f t="shared" si="283"/>
        <v/>
      </c>
    </row>
    <row r="1211" spans="12:19" x14ac:dyDescent="0.3">
      <c r="L1211" s="34" t="str">
        <f t="shared" ref="L1211" si="290">L1210</f>
        <v/>
      </c>
      <c r="M1211" s="34" t="str">
        <f t="shared" si="275"/>
        <v/>
      </c>
      <c r="N1211" s="34" t="str">
        <f t="shared" si="278"/>
        <v/>
      </c>
      <c r="O1211" s="34" t="str">
        <f t="shared" si="279"/>
        <v/>
      </c>
      <c r="P1211" s="34" t="str">
        <f t="shared" si="280"/>
        <v/>
      </c>
      <c r="Q1211" s="34" t="str">
        <f t="shared" si="281"/>
        <v/>
      </c>
      <c r="R1211" s="34" t="str">
        <f t="shared" si="282"/>
        <v/>
      </c>
      <c r="S1211" s="34" t="str">
        <f t="shared" si="283"/>
        <v/>
      </c>
    </row>
    <row r="1212" spans="12:19" x14ac:dyDescent="0.3">
      <c r="L1212" s="34" t="str">
        <f t="shared" si="284"/>
        <v/>
      </c>
      <c r="M1212" s="34" t="str">
        <f t="shared" si="275"/>
        <v/>
      </c>
      <c r="N1212" s="34" t="str">
        <f t="shared" si="278"/>
        <v/>
      </c>
      <c r="O1212" s="34" t="str">
        <f t="shared" si="279"/>
        <v/>
      </c>
      <c r="P1212" s="34" t="str">
        <f t="shared" si="280"/>
        <v/>
      </c>
      <c r="Q1212" s="34" t="str">
        <f t="shared" si="281"/>
        <v/>
      </c>
      <c r="R1212" s="34" t="str">
        <f t="shared" si="282"/>
        <v/>
      </c>
      <c r="S1212" s="34" t="str">
        <f t="shared" si="283"/>
        <v/>
      </c>
    </row>
    <row r="1213" spans="12:19" x14ac:dyDescent="0.3">
      <c r="L1213" s="34" t="str">
        <f t="shared" si="284"/>
        <v/>
      </c>
      <c r="M1213" s="34" t="str">
        <f t="shared" si="275"/>
        <v/>
      </c>
      <c r="N1213" s="34" t="str">
        <f t="shared" si="278"/>
        <v/>
      </c>
      <c r="O1213" s="34" t="str">
        <f t="shared" si="279"/>
        <v/>
      </c>
      <c r="P1213" s="34" t="str">
        <f t="shared" si="280"/>
        <v/>
      </c>
      <c r="Q1213" s="34" t="str">
        <f t="shared" si="281"/>
        <v/>
      </c>
      <c r="R1213" s="34" t="str">
        <f t="shared" si="282"/>
        <v/>
      </c>
      <c r="S1213" s="34" t="str">
        <f t="shared" si="283"/>
        <v/>
      </c>
    </row>
    <row r="1214" spans="12:19" x14ac:dyDescent="0.3">
      <c r="L1214" s="34" t="str">
        <f t="shared" si="284"/>
        <v/>
      </c>
      <c r="M1214" s="34" t="str">
        <f t="shared" si="275"/>
        <v/>
      </c>
      <c r="N1214" s="34" t="str">
        <f t="shared" si="278"/>
        <v/>
      </c>
      <c r="O1214" s="34" t="str">
        <f t="shared" si="279"/>
        <v/>
      </c>
      <c r="P1214" s="34" t="str">
        <f t="shared" si="280"/>
        <v/>
      </c>
      <c r="Q1214" s="34" t="str">
        <f t="shared" si="281"/>
        <v/>
      </c>
      <c r="R1214" s="34" t="str">
        <f t="shared" si="282"/>
        <v/>
      </c>
      <c r="S1214" s="34" t="str">
        <f t="shared" si="283"/>
        <v/>
      </c>
    </row>
    <row r="1215" spans="12:19" x14ac:dyDescent="0.3">
      <c r="L1215" s="34" t="str">
        <f t="shared" si="284"/>
        <v/>
      </c>
      <c r="M1215" s="34" t="str">
        <f t="shared" si="275"/>
        <v/>
      </c>
      <c r="N1215" s="34" t="str">
        <f t="shared" si="278"/>
        <v/>
      </c>
      <c r="O1215" s="34" t="str">
        <f t="shared" si="279"/>
        <v/>
      </c>
      <c r="P1215" s="34" t="str">
        <f t="shared" si="280"/>
        <v/>
      </c>
      <c r="Q1215" s="34" t="str">
        <f t="shared" si="281"/>
        <v/>
      </c>
      <c r="R1215" s="34" t="str">
        <f t="shared" si="282"/>
        <v/>
      </c>
      <c r="S1215" s="34" t="str">
        <f t="shared" si="283"/>
        <v/>
      </c>
    </row>
    <row r="1216" spans="12:19" x14ac:dyDescent="0.3">
      <c r="L1216" s="34" t="str">
        <f t="shared" si="284"/>
        <v/>
      </c>
      <c r="M1216" s="34" t="str">
        <f t="shared" si="275"/>
        <v/>
      </c>
      <c r="N1216" s="34" t="str">
        <f t="shared" si="278"/>
        <v/>
      </c>
      <c r="O1216" s="34" t="str">
        <f t="shared" si="279"/>
        <v/>
      </c>
      <c r="P1216" s="34" t="str">
        <f t="shared" si="280"/>
        <v/>
      </c>
      <c r="Q1216" s="34" t="str">
        <f t="shared" si="281"/>
        <v/>
      </c>
      <c r="R1216" s="34" t="str">
        <f t="shared" si="282"/>
        <v/>
      </c>
      <c r="S1216" s="34" t="str">
        <f t="shared" si="283"/>
        <v/>
      </c>
    </row>
    <row r="1217" spans="12:19" x14ac:dyDescent="0.3">
      <c r="L1217" s="34" t="str">
        <f t="shared" si="284"/>
        <v/>
      </c>
      <c r="M1217" s="34" t="str">
        <f t="shared" si="275"/>
        <v/>
      </c>
      <c r="N1217" s="34" t="str">
        <f t="shared" si="278"/>
        <v/>
      </c>
      <c r="O1217" s="34" t="str">
        <f t="shared" si="279"/>
        <v/>
      </c>
      <c r="P1217" s="34" t="str">
        <f t="shared" si="280"/>
        <v/>
      </c>
      <c r="Q1217" s="34" t="str">
        <f t="shared" si="281"/>
        <v/>
      </c>
      <c r="R1217" s="34" t="str">
        <f t="shared" si="282"/>
        <v/>
      </c>
      <c r="S1217" s="34" t="str">
        <f t="shared" si="283"/>
        <v/>
      </c>
    </row>
    <row r="1218" spans="12:19" x14ac:dyDescent="0.3">
      <c r="L1218" s="34" t="str">
        <f t="shared" si="284"/>
        <v/>
      </c>
      <c r="M1218" s="34" t="str">
        <f t="shared" si="275"/>
        <v/>
      </c>
      <c r="N1218" s="34" t="str">
        <f t="shared" si="278"/>
        <v/>
      </c>
      <c r="O1218" s="34" t="str">
        <f t="shared" si="279"/>
        <v/>
      </c>
      <c r="P1218" s="34" t="str">
        <f t="shared" si="280"/>
        <v/>
      </c>
      <c r="Q1218" s="34" t="str">
        <f t="shared" si="281"/>
        <v/>
      </c>
      <c r="R1218" s="34" t="str">
        <f t="shared" si="282"/>
        <v/>
      </c>
      <c r="S1218" s="34" t="str">
        <f t="shared" si="283"/>
        <v/>
      </c>
    </row>
    <row r="1219" spans="12:19" x14ac:dyDescent="0.3">
      <c r="L1219" s="34" t="str">
        <f t="shared" si="284"/>
        <v/>
      </c>
      <c r="M1219" s="34" t="str">
        <f t="shared" si="275"/>
        <v/>
      </c>
      <c r="N1219" s="34" t="str">
        <f t="shared" si="278"/>
        <v/>
      </c>
      <c r="O1219" s="34" t="str">
        <f t="shared" si="279"/>
        <v/>
      </c>
      <c r="P1219" s="34" t="str">
        <f t="shared" si="280"/>
        <v/>
      </c>
      <c r="Q1219" s="34" t="str">
        <f t="shared" si="281"/>
        <v/>
      </c>
      <c r="R1219" s="34" t="str">
        <f t="shared" si="282"/>
        <v/>
      </c>
      <c r="S1219" s="34" t="str">
        <f t="shared" si="283"/>
        <v/>
      </c>
    </row>
    <row r="1220" spans="12:19" x14ac:dyDescent="0.3">
      <c r="L1220" s="34" t="str">
        <f t="shared" si="284"/>
        <v/>
      </c>
      <c r="M1220" s="34" t="str">
        <f t="shared" si="275"/>
        <v/>
      </c>
      <c r="N1220" s="34" t="str">
        <f t="shared" si="278"/>
        <v/>
      </c>
      <c r="O1220" s="34" t="str">
        <f t="shared" si="279"/>
        <v/>
      </c>
      <c r="P1220" s="34" t="str">
        <f t="shared" si="280"/>
        <v/>
      </c>
      <c r="Q1220" s="34" t="str">
        <f t="shared" si="281"/>
        <v/>
      </c>
      <c r="R1220" s="34" t="str">
        <f t="shared" si="282"/>
        <v/>
      </c>
      <c r="S1220" s="34" t="str">
        <f t="shared" si="283"/>
        <v/>
      </c>
    </row>
    <row r="1221" spans="12:19" x14ac:dyDescent="0.3">
      <c r="L1221" s="34" t="str">
        <f t="shared" si="284"/>
        <v/>
      </c>
      <c r="M1221" s="34" t="str">
        <f t="shared" ref="M1221:M1284" si="291">IF(AND(L1221="s.csv",A1221=1),ABS(1000/12/D1221),"")</f>
        <v/>
      </c>
      <c r="N1221" s="34" t="str">
        <f t="shared" si="278"/>
        <v/>
      </c>
      <c r="O1221" s="34" t="str">
        <f t="shared" si="279"/>
        <v/>
      </c>
      <c r="P1221" s="34" t="str">
        <f t="shared" si="280"/>
        <v/>
      </c>
      <c r="Q1221" s="34" t="str">
        <f t="shared" si="281"/>
        <v/>
      </c>
      <c r="R1221" s="34" t="str">
        <f t="shared" si="282"/>
        <v/>
      </c>
      <c r="S1221" s="34" t="str">
        <f t="shared" si="283"/>
        <v/>
      </c>
    </row>
    <row r="1222" spans="12:19" x14ac:dyDescent="0.3">
      <c r="L1222" s="34" t="str">
        <f t="shared" si="284"/>
        <v/>
      </c>
      <c r="M1222" s="34" t="str">
        <f t="shared" si="291"/>
        <v/>
      </c>
      <c r="N1222" s="34" t="str">
        <f t="shared" si="278"/>
        <v/>
      </c>
      <c r="O1222" s="34" t="str">
        <f t="shared" si="279"/>
        <v/>
      </c>
      <c r="P1222" s="34" t="str">
        <f t="shared" si="280"/>
        <v/>
      </c>
      <c r="Q1222" s="34" t="str">
        <f t="shared" si="281"/>
        <v/>
      </c>
      <c r="R1222" s="34" t="str">
        <f t="shared" si="282"/>
        <v/>
      </c>
      <c r="S1222" s="34" t="str">
        <f t="shared" si="283"/>
        <v/>
      </c>
    </row>
    <row r="1223" spans="12:19" x14ac:dyDescent="0.3">
      <c r="L1223" s="34" t="str">
        <f t="shared" si="284"/>
        <v/>
      </c>
      <c r="M1223" s="34" t="str">
        <f t="shared" si="291"/>
        <v/>
      </c>
      <c r="N1223" s="34" t="str">
        <f t="shared" si="278"/>
        <v/>
      </c>
      <c r="O1223" s="34" t="str">
        <f t="shared" si="279"/>
        <v/>
      </c>
      <c r="P1223" s="34" t="str">
        <f t="shared" si="280"/>
        <v/>
      </c>
      <c r="Q1223" s="34" t="str">
        <f t="shared" si="281"/>
        <v/>
      </c>
      <c r="R1223" s="34" t="str">
        <f t="shared" si="282"/>
        <v/>
      </c>
      <c r="S1223" s="34" t="str">
        <f t="shared" si="283"/>
        <v/>
      </c>
    </row>
    <row r="1224" spans="12:19" x14ac:dyDescent="0.3">
      <c r="L1224" s="34" t="str">
        <f t="shared" si="284"/>
        <v/>
      </c>
      <c r="M1224" s="34" t="str">
        <f t="shared" si="291"/>
        <v/>
      </c>
      <c r="N1224" s="34" t="str">
        <f t="shared" si="278"/>
        <v/>
      </c>
      <c r="O1224" s="34" t="str">
        <f t="shared" si="279"/>
        <v/>
      </c>
      <c r="P1224" s="34" t="str">
        <f t="shared" si="280"/>
        <v/>
      </c>
      <c r="Q1224" s="34" t="str">
        <f t="shared" si="281"/>
        <v/>
      </c>
      <c r="R1224" s="34" t="str">
        <f t="shared" si="282"/>
        <v/>
      </c>
      <c r="S1224" s="34" t="str">
        <f t="shared" si="283"/>
        <v/>
      </c>
    </row>
    <row r="1225" spans="12:19" x14ac:dyDescent="0.3">
      <c r="M1225" s="34" t="str">
        <f t="shared" si="291"/>
        <v/>
      </c>
      <c r="N1225" s="34" t="str">
        <f t="shared" si="278"/>
        <v/>
      </c>
      <c r="O1225" s="34" t="str">
        <f t="shared" si="279"/>
        <v/>
      </c>
      <c r="P1225" s="34" t="str">
        <f t="shared" si="280"/>
        <v/>
      </c>
      <c r="Q1225" s="34" t="str">
        <f t="shared" si="281"/>
        <v/>
      </c>
      <c r="R1225" s="34" t="str">
        <f t="shared" si="282"/>
        <v/>
      </c>
      <c r="S1225" s="34" t="str">
        <f t="shared" si="283"/>
        <v/>
      </c>
    </row>
    <row r="1226" spans="12:19" x14ac:dyDescent="0.3">
      <c r="M1226" s="34" t="str">
        <f t="shared" si="291"/>
        <v/>
      </c>
      <c r="N1226" s="34" t="str">
        <f t="shared" si="278"/>
        <v/>
      </c>
      <c r="O1226" s="34" t="str">
        <f t="shared" si="279"/>
        <v/>
      </c>
      <c r="P1226" s="34" t="str">
        <f t="shared" si="280"/>
        <v/>
      </c>
      <c r="Q1226" s="34" t="str">
        <f t="shared" si="281"/>
        <v/>
      </c>
      <c r="R1226" s="34" t="str">
        <f t="shared" si="282"/>
        <v/>
      </c>
      <c r="S1226" s="34" t="str">
        <f t="shared" si="283"/>
        <v/>
      </c>
    </row>
    <row r="1227" spans="12:19" x14ac:dyDescent="0.3">
      <c r="L1227" s="34" t="str">
        <f t="shared" ref="L1227" si="292">RIGHT(A1227,5)</f>
        <v/>
      </c>
      <c r="M1227" s="34" t="str">
        <f t="shared" si="291"/>
        <v/>
      </c>
      <c r="N1227" s="34" t="str">
        <f t="shared" si="278"/>
        <v/>
      </c>
      <c r="O1227" s="34" t="str">
        <f t="shared" si="279"/>
        <v/>
      </c>
      <c r="P1227" s="34" t="str">
        <f t="shared" si="280"/>
        <v/>
      </c>
      <c r="Q1227" s="34" t="str">
        <f t="shared" si="281"/>
        <v/>
      </c>
      <c r="R1227" s="34" t="str">
        <f t="shared" si="282"/>
        <v/>
      </c>
      <c r="S1227" s="34" t="str">
        <f t="shared" si="283"/>
        <v/>
      </c>
    </row>
    <row r="1228" spans="12:19" x14ac:dyDescent="0.3">
      <c r="L1228" s="34" t="str">
        <f t="shared" ref="L1228" si="293">L1227</f>
        <v/>
      </c>
      <c r="M1228" s="34" t="str">
        <f t="shared" si="291"/>
        <v/>
      </c>
      <c r="N1228" s="34" t="str">
        <f t="shared" ref="N1228:N1291" si="294">IF(AND(OR($L1228="l.csv",$L1228="g.csv"),$E1228&gt;4),F1228,"")</f>
        <v/>
      </c>
      <c r="O1228" s="34" t="str">
        <f t="shared" ref="O1228:O1291" si="295">IF(AND(OR($L1228="l.csv",$L1228="g.csv"),$E1228&gt;4),G1228,"")</f>
        <v/>
      </c>
      <c r="P1228" s="34" t="str">
        <f t="shared" ref="P1228:P1291" si="296">IF(AND(OR($L1228="l.csv",$L1228="g.csv"),$E1228&gt;4),H1228,"")</f>
        <v/>
      </c>
      <c r="Q1228" s="34" t="str">
        <f t="shared" ref="Q1228:Q1291" si="297">IF(AND(OR($L1228="l.csv",$L1228="g.csv"),$E1228&gt;4),I1228,"")</f>
        <v/>
      </c>
      <c r="R1228" s="34" t="str">
        <f t="shared" ref="R1228:R1291" si="298">IF(AND(OR($L1228="l.csv",$L1228="g.csv"),$E1228&gt;4),J1228,"")</f>
        <v/>
      </c>
      <c r="S1228" s="34" t="str">
        <f t="shared" ref="S1228:S1291" si="299">IF(AND(OR($L1228="l.csv",$L1228="g.csv"),$E1228&gt;4),K1228,"")</f>
        <v/>
      </c>
    </row>
    <row r="1229" spans="12:19" x14ac:dyDescent="0.3">
      <c r="L1229" s="34" t="str">
        <f t="shared" si="284"/>
        <v/>
      </c>
      <c r="M1229" s="34" t="str">
        <f t="shared" si="291"/>
        <v/>
      </c>
      <c r="N1229" s="34" t="str">
        <f t="shared" si="294"/>
        <v/>
      </c>
      <c r="O1229" s="34" t="str">
        <f t="shared" si="295"/>
        <v/>
      </c>
      <c r="P1229" s="34" t="str">
        <f t="shared" si="296"/>
        <v/>
      </c>
      <c r="Q1229" s="34" t="str">
        <f t="shared" si="297"/>
        <v/>
      </c>
      <c r="R1229" s="34" t="str">
        <f t="shared" si="298"/>
        <v/>
      </c>
      <c r="S1229" s="34" t="str">
        <f t="shared" si="299"/>
        <v/>
      </c>
    </row>
    <row r="1230" spans="12:19" x14ac:dyDescent="0.3">
      <c r="L1230" s="34" t="str">
        <f t="shared" si="284"/>
        <v/>
      </c>
      <c r="M1230" s="34" t="str">
        <f t="shared" si="291"/>
        <v/>
      </c>
      <c r="N1230" s="34" t="str">
        <f t="shared" si="294"/>
        <v/>
      </c>
      <c r="O1230" s="34" t="str">
        <f t="shared" si="295"/>
        <v/>
      </c>
      <c r="P1230" s="34" t="str">
        <f t="shared" si="296"/>
        <v/>
      </c>
      <c r="Q1230" s="34" t="str">
        <f t="shared" si="297"/>
        <v/>
      </c>
      <c r="R1230" s="34" t="str">
        <f t="shared" si="298"/>
        <v/>
      </c>
      <c r="S1230" s="34" t="str">
        <f t="shared" si="299"/>
        <v/>
      </c>
    </row>
    <row r="1231" spans="12:19" x14ac:dyDescent="0.3">
      <c r="L1231" s="34" t="str">
        <f t="shared" si="284"/>
        <v/>
      </c>
      <c r="M1231" s="34" t="str">
        <f t="shared" si="291"/>
        <v/>
      </c>
      <c r="N1231" s="34" t="str">
        <f t="shared" si="294"/>
        <v/>
      </c>
      <c r="O1231" s="34" t="str">
        <f t="shared" si="295"/>
        <v/>
      </c>
      <c r="P1231" s="34" t="str">
        <f t="shared" si="296"/>
        <v/>
      </c>
      <c r="Q1231" s="34" t="str">
        <f t="shared" si="297"/>
        <v/>
      </c>
      <c r="R1231" s="34" t="str">
        <f t="shared" si="298"/>
        <v/>
      </c>
      <c r="S1231" s="34" t="str">
        <f t="shared" si="299"/>
        <v/>
      </c>
    </row>
    <row r="1232" spans="12:19" x14ac:dyDescent="0.3">
      <c r="L1232" s="34" t="str">
        <f t="shared" si="284"/>
        <v/>
      </c>
      <c r="M1232" s="34" t="str">
        <f t="shared" si="291"/>
        <v/>
      </c>
      <c r="N1232" s="34" t="str">
        <f t="shared" si="294"/>
        <v/>
      </c>
      <c r="O1232" s="34" t="str">
        <f t="shared" si="295"/>
        <v/>
      </c>
      <c r="P1232" s="34" t="str">
        <f t="shared" si="296"/>
        <v/>
      </c>
      <c r="Q1232" s="34" t="str">
        <f t="shared" si="297"/>
        <v/>
      </c>
      <c r="R1232" s="34" t="str">
        <f t="shared" si="298"/>
        <v/>
      </c>
      <c r="S1232" s="34" t="str">
        <f t="shared" si="299"/>
        <v/>
      </c>
    </row>
    <row r="1233" spans="12:19" x14ac:dyDescent="0.3">
      <c r="L1233" s="34" t="str">
        <f t="shared" ref="L1233:L1292" si="300">L1232</f>
        <v/>
      </c>
      <c r="M1233" s="34" t="str">
        <f t="shared" si="291"/>
        <v/>
      </c>
      <c r="N1233" s="34" t="str">
        <f t="shared" si="294"/>
        <v/>
      </c>
      <c r="O1233" s="34" t="str">
        <f t="shared" si="295"/>
        <v/>
      </c>
      <c r="P1233" s="34" t="str">
        <f t="shared" si="296"/>
        <v/>
      </c>
      <c r="Q1233" s="34" t="str">
        <f t="shared" si="297"/>
        <v/>
      </c>
      <c r="R1233" s="34" t="str">
        <f t="shared" si="298"/>
        <v/>
      </c>
      <c r="S1233" s="34" t="str">
        <f t="shared" si="299"/>
        <v/>
      </c>
    </row>
    <row r="1234" spans="12:19" x14ac:dyDescent="0.3">
      <c r="L1234" s="34" t="str">
        <f t="shared" si="300"/>
        <v/>
      </c>
      <c r="M1234" s="34" t="str">
        <f t="shared" si="291"/>
        <v/>
      </c>
      <c r="N1234" s="34" t="str">
        <f t="shared" si="294"/>
        <v/>
      </c>
      <c r="O1234" s="34" t="str">
        <f t="shared" si="295"/>
        <v/>
      </c>
      <c r="P1234" s="34" t="str">
        <f t="shared" si="296"/>
        <v/>
      </c>
      <c r="Q1234" s="34" t="str">
        <f t="shared" si="297"/>
        <v/>
      </c>
      <c r="R1234" s="34" t="str">
        <f t="shared" si="298"/>
        <v/>
      </c>
      <c r="S1234" s="34" t="str">
        <f t="shared" si="299"/>
        <v/>
      </c>
    </row>
    <row r="1235" spans="12:19" x14ac:dyDescent="0.3">
      <c r="L1235" s="34" t="str">
        <f t="shared" si="300"/>
        <v/>
      </c>
      <c r="M1235" s="34" t="str">
        <f t="shared" si="291"/>
        <v/>
      </c>
      <c r="N1235" s="34" t="str">
        <f t="shared" si="294"/>
        <v/>
      </c>
      <c r="O1235" s="34" t="str">
        <f t="shared" si="295"/>
        <v/>
      </c>
      <c r="P1235" s="34" t="str">
        <f t="shared" si="296"/>
        <v/>
      </c>
      <c r="Q1235" s="34" t="str">
        <f t="shared" si="297"/>
        <v/>
      </c>
      <c r="R1235" s="34" t="str">
        <f t="shared" si="298"/>
        <v/>
      </c>
      <c r="S1235" s="34" t="str">
        <f t="shared" si="299"/>
        <v/>
      </c>
    </row>
    <row r="1236" spans="12:19" x14ac:dyDescent="0.3">
      <c r="L1236" s="34" t="str">
        <f t="shared" si="300"/>
        <v/>
      </c>
      <c r="M1236" s="34" t="str">
        <f t="shared" si="291"/>
        <v/>
      </c>
      <c r="N1236" s="34" t="str">
        <f t="shared" si="294"/>
        <v/>
      </c>
      <c r="O1236" s="34" t="str">
        <f t="shared" si="295"/>
        <v/>
      </c>
      <c r="P1236" s="34" t="str">
        <f t="shared" si="296"/>
        <v/>
      </c>
      <c r="Q1236" s="34" t="str">
        <f t="shared" si="297"/>
        <v/>
      </c>
      <c r="R1236" s="34" t="str">
        <f t="shared" si="298"/>
        <v/>
      </c>
      <c r="S1236" s="34" t="str">
        <f t="shared" si="299"/>
        <v/>
      </c>
    </row>
    <row r="1237" spans="12:19" x14ac:dyDescent="0.3">
      <c r="L1237" s="34" t="str">
        <f t="shared" si="300"/>
        <v/>
      </c>
      <c r="M1237" s="34" t="str">
        <f t="shared" si="291"/>
        <v/>
      </c>
      <c r="N1237" s="34" t="str">
        <f t="shared" si="294"/>
        <v/>
      </c>
      <c r="O1237" s="34" t="str">
        <f t="shared" si="295"/>
        <v/>
      </c>
      <c r="P1237" s="34" t="str">
        <f t="shared" si="296"/>
        <v/>
      </c>
      <c r="Q1237" s="34" t="str">
        <f t="shared" si="297"/>
        <v/>
      </c>
      <c r="R1237" s="34" t="str">
        <f t="shared" si="298"/>
        <v/>
      </c>
      <c r="S1237" s="34" t="str">
        <f t="shared" si="299"/>
        <v/>
      </c>
    </row>
    <row r="1238" spans="12:19" x14ac:dyDescent="0.3">
      <c r="L1238" s="34" t="str">
        <f t="shared" si="300"/>
        <v/>
      </c>
      <c r="M1238" s="34" t="str">
        <f t="shared" si="291"/>
        <v/>
      </c>
      <c r="N1238" s="34" t="str">
        <f t="shared" si="294"/>
        <v/>
      </c>
      <c r="O1238" s="34" t="str">
        <f t="shared" si="295"/>
        <v/>
      </c>
      <c r="P1238" s="34" t="str">
        <f t="shared" si="296"/>
        <v/>
      </c>
      <c r="Q1238" s="34" t="str">
        <f t="shared" si="297"/>
        <v/>
      </c>
      <c r="R1238" s="34" t="str">
        <f t="shared" si="298"/>
        <v/>
      </c>
      <c r="S1238" s="34" t="str">
        <f t="shared" si="299"/>
        <v/>
      </c>
    </row>
    <row r="1239" spans="12:19" x14ac:dyDescent="0.3">
      <c r="L1239" s="34" t="str">
        <f t="shared" si="300"/>
        <v/>
      </c>
      <c r="M1239" s="34" t="str">
        <f t="shared" si="291"/>
        <v/>
      </c>
      <c r="N1239" s="34" t="str">
        <f t="shared" si="294"/>
        <v/>
      </c>
      <c r="O1239" s="34" t="str">
        <f t="shared" si="295"/>
        <v/>
      </c>
      <c r="P1239" s="34" t="str">
        <f t="shared" si="296"/>
        <v/>
      </c>
      <c r="Q1239" s="34" t="str">
        <f t="shared" si="297"/>
        <v/>
      </c>
      <c r="R1239" s="34" t="str">
        <f t="shared" si="298"/>
        <v/>
      </c>
      <c r="S1239" s="34" t="str">
        <f t="shared" si="299"/>
        <v/>
      </c>
    </row>
    <row r="1240" spans="12:19" x14ac:dyDescent="0.3">
      <c r="L1240" s="34" t="str">
        <f t="shared" si="300"/>
        <v/>
      </c>
      <c r="M1240" s="34" t="str">
        <f t="shared" si="291"/>
        <v/>
      </c>
      <c r="N1240" s="34" t="str">
        <f t="shared" si="294"/>
        <v/>
      </c>
      <c r="O1240" s="34" t="str">
        <f t="shared" si="295"/>
        <v/>
      </c>
      <c r="P1240" s="34" t="str">
        <f t="shared" si="296"/>
        <v/>
      </c>
      <c r="Q1240" s="34" t="str">
        <f t="shared" si="297"/>
        <v/>
      </c>
      <c r="R1240" s="34" t="str">
        <f t="shared" si="298"/>
        <v/>
      </c>
      <c r="S1240" s="34" t="str">
        <f t="shared" si="299"/>
        <v/>
      </c>
    </row>
    <row r="1241" spans="12:19" x14ac:dyDescent="0.3">
      <c r="L1241" s="34" t="str">
        <f t="shared" si="300"/>
        <v/>
      </c>
      <c r="M1241" s="34" t="str">
        <f t="shared" si="291"/>
        <v/>
      </c>
      <c r="N1241" s="34" t="str">
        <f t="shared" si="294"/>
        <v/>
      </c>
      <c r="O1241" s="34" t="str">
        <f t="shared" si="295"/>
        <v/>
      </c>
      <c r="P1241" s="34" t="str">
        <f t="shared" si="296"/>
        <v/>
      </c>
      <c r="Q1241" s="34" t="str">
        <f t="shared" si="297"/>
        <v/>
      </c>
      <c r="R1241" s="34" t="str">
        <f t="shared" si="298"/>
        <v/>
      </c>
      <c r="S1241" s="34" t="str">
        <f t="shared" si="299"/>
        <v/>
      </c>
    </row>
    <row r="1242" spans="12:19" x14ac:dyDescent="0.3">
      <c r="M1242" s="34" t="str">
        <f t="shared" si="291"/>
        <v/>
      </c>
      <c r="N1242" s="34" t="str">
        <f t="shared" si="294"/>
        <v/>
      </c>
      <c r="O1242" s="34" t="str">
        <f t="shared" si="295"/>
        <v/>
      </c>
      <c r="P1242" s="34" t="str">
        <f t="shared" si="296"/>
        <v/>
      </c>
      <c r="Q1242" s="34" t="str">
        <f t="shared" si="297"/>
        <v/>
      </c>
      <c r="R1242" s="34" t="str">
        <f t="shared" si="298"/>
        <v/>
      </c>
      <c r="S1242" s="34" t="str">
        <f t="shared" si="299"/>
        <v/>
      </c>
    </row>
    <row r="1243" spans="12:19" x14ac:dyDescent="0.3">
      <c r="M1243" s="34" t="str">
        <f t="shared" si="291"/>
        <v/>
      </c>
      <c r="N1243" s="34" t="str">
        <f t="shared" si="294"/>
        <v/>
      </c>
      <c r="O1243" s="34" t="str">
        <f t="shared" si="295"/>
        <v/>
      </c>
      <c r="P1243" s="34" t="str">
        <f t="shared" si="296"/>
        <v/>
      </c>
      <c r="Q1243" s="34" t="str">
        <f t="shared" si="297"/>
        <v/>
      </c>
      <c r="R1243" s="34" t="str">
        <f t="shared" si="298"/>
        <v/>
      </c>
      <c r="S1243" s="34" t="str">
        <f t="shared" si="299"/>
        <v/>
      </c>
    </row>
    <row r="1244" spans="12:19" x14ac:dyDescent="0.3">
      <c r="L1244" s="34" t="str">
        <f t="shared" ref="L1244" si="301">RIGHT(A1244,5)</f>
        <v/>
      </c>
      <c r="M1244" s="34" t="str">
        <f t="shared" si="291"/>
        <v/>
      </c>
      <c r="N1244" s="34" t="str">
        <f t="shared" si="294"/>
        <v/>
      </c>
      <c r="O1244" s="34" t="str">
        <f t="shared" si="295"/>
        <v/>
      </c>
      <c r="P1244" s="34" t="str">
        <f t="shared" si="296"/>
        <v/>
      </c>
      <c r="Q1244" s="34" t="str">
        <f t="shared" si="297"/>
        <v/>
      </c>
      <c r="R1244" s="34" t="str">
        <f t="shared" si="298"/>
        <v/>
      </c>
      <c r="S1244" s="34" t="str">
        <f t="shared" si="299"/>
        <v/>
      </c>
    </row>
    <row r="1245" spans="12:19" x14ac:dyDescent="0.3">
      <c r="L1245" s="34" t="str">
        <f t="shared" ref="L1245" si="302">L1244</f>
        <v/>
      </c>
      <c r="M1245" s="34" t="str">
        <f t="shared" si="291"/>
        <v/>
      </c>
      <c r="N1245" s="34" t="str">
        <f t="shared" si="294"/>
        <v/>
      </c>
      <c r="O1245" s="34" t="str">
        <f t="shared" si="295"/>
        <v/>
      </c>
      <c r="P1245" s="34" t="str">
        <f t="shared" si="296"/>
        <v/>
      </c>
      <c r="Q1245" s="34" t="str">
        <f t="shared" si="297"/>
        <v/>
      </c>
      <c r="R1245" s="34" t="str">
        <f t="shared" si="298"/>
        <v/>
      </c>
      <c r="S1245" s="34" t="str">
        <f t="shared" si="299"/>
        <v/>
      </c>
    </row>
    <row r="1246" spans="12:19" x14ac:dyDescent="0.3">
      <c r="L1246" s="34" t="str">
        <f t="shared" si="300"/>
        <v/>
      </c>
      <c r="M1246" s="34" t="str">
        <f t="shared" si="291"/>
        <v/>
      </c>
      <c r="N1246" s="34" t="str">
        <f t="shared" si="294"/>
        <v/>
      </c>
      <c r="O1246" s="34" t="str">
        <f t="shared" si="295"/>
        <v/>
      </c>
      <c r="P1246" s="34" t="str">
        <f t="shared" si="296"/>
        <v/>
      </c>
      <c r="Q1246" s="34" t="str">
        <f t="shared" si="297"/>
        <v/>
      </c>
      <c r="R1246" s="34" t="str">
        <f t="shared" si="298"/>
        <v/>
      </c>
      <c r="S1246" s="34" t="str">
        <f t="shared" si="299"/>
        <v/>
      </c>
    </row>
    <row r="1247" spans="12:19" x14ac:dyDescent="0.3">
      <c r="L1247" s="34" t="str">
        <f t="shared" si="300"/>
        <v/>
      </c>
      <c r="M1247" s="34" t="str">
        <f t="shared" si="291"/>
        <v/>
      </c>
      <c r="N1247" s="34" t="str">
        <f t="shared" si="294"/>
        <v/>
      </c>
      <c r="O1247" s="34" t="str">
        <f t="shared" si="295"/>
        <v/>
      </c>
      <c r="P1247" s="34" t="str">
        <f t="shared" si="296"/>
        <v/>
      </c>
      <c r="Q1247" s="34" t="str">
        <f t="shared" si="297"/>
        <v/>
      </c>
      <c r="R1247" s="34" t="str">
        <f t="shared" si="298"/>
        <v/>
      </c>
      <c r="S1247" s="34" t="str">
        <f t="shared" si="299"/>
        <v/>
      </c>
    </row>
    <row r="1248" spans="12:19" x14ac:dyDescent="0.3">
      <c r="L1248" s="34" t="str">
        <f t="shared" si="300"/>
        <v/>
      </c>
      <c r="M1248" s="34" t="str">
        <f t="shared" si="291"/>
        <v/>
      </c>
      <c r="N1248" s="34" t="str">
        <f t="shared" si="294"/>
        <v/>
      </c>
      <c r="O1248" s="34" t="str">
        <f t="shared" si="295"/>
        <v/>
      </c>
      <c r="P1248" s="34" t="str">
        <f t="shared" si="296"/>
        <v/>
      </c>
      <c r="Q1248" s="34" t="str">
        <f t="shared" si="297"/>
        <v/>
      </c>
      <c r="R1248" s="34" t="str">
        <f t="shared" si="298"/>
        <v/>
      </c>
      <c r="S1248" s="34" t="str">
        <f t="shared" si="299"/>
        <v/>
      </c>
    </row>
    <row r="1249" spans="12:19" x14ac:dyDescent="0.3">
      <c r="L1249" s="34" t="str">
        <f t="shared" si="300"/>
        <v/>
      </c>
      <c r="M1249" s="34" t="str">
        <f t="shared" si="291"/>
        <v/>
      </c>
      <c r="N1249" s="34" t="str">
        <f t="shared" si="294"/>
        <v/>
      </c>
      <c r="O1249" s="34" t="str">
        <f t="shared" si="295"/>
        <v/>
      </c>
      <c r="P1249" s="34" t="str">
        <f t="shared" si="296"/>
        <v/>
      </c>
      <c r="Q1249" s="34" t="str">
        <f t="shared" si="297"/>
        <v/>
      </c>
      <c r="R1249" s="34" t="str">
        <f t="shared" si="298"/>
        <v/>
      </c>
      <c r="S1249" s="34" t="str">
        <f t="shared" si="299"/>
        <v/>
      </c>
    </row>
    <row r="1250" spans="12:19" x14ac:dyDescent="0.3">
      <c r="L1250" s="34" t="str">
        <f t="shared" si="300"/>
        <v/>
      </c>
      <c r="M1250" s="34" t="str">
        <f t="shared" si="291"/>
        <v/>
      </c>
      <c r="N1250" s="34" t="str">
        <f t="shared" si="294"/>
        <v/>
      </c>
      <c r="O1250" s="34" t="str">
        <f t="shared" si="295"/>
        <v/>
      </c>
      <c r="P1250" s="34" t="str">
        <f t="shared" si="296"/>
        <v/>
      </c>
      <c r="Q1250" s="34" t="str">
        <f t="shared" si="297"/>
        <v/>
      </c>
      <c r="R1250" s="34" t="str">
        <f t="shared" si="298"/>
        <v/>
      </c>
      <c r="S1250" s="34" t="str">
        <f t="shared" si="299"/>
        <v/>
      </c>
    </row>
    <row r="1251" spans="12:19" x14ac:dyDescent="0.3">
      <c r="L1251" s="34" t="str">
        <f t="shared" si="300"/>
        <v/>
      </c>
      <c r="M1251" s="34" t="str">
        <f t="shared" si="291"/>
        <v/>
      </c>
      <c r="N1251" s="34" t="str">
        <f t="shared" si="294"/>
        <v/>
      </c>
      <c r="O1251" s="34" t="str">
        <f t="shared" si="295"/>
        <v/>
      </c>
      <c r="P1251" s="34" t="str">
        <f t="shared" si="296"/>
        <v/>
      </c>
      <c r="Q1251" s="34" t="str">
        <f t="shared" si="297"/>
        <v/>
      </c>
      <c r="R1251" s="34" t="str">
        <f t="shared" si="298"/>
        <v/>
      </c>
      <c r="S1251" s="34" t="str">
        <f t="shared" si="299"/>
        <v/>
      </c>
    </row>
    <row r="1252" spans="12:19" x14ac:dyDescent="0.3">
      <c r="L1252" s="34" t="str">
        <f t="shared" si="300"/>
        <v/>
      </c>
      <c r="M1252" s="34" t="str">
        <f t="shared" si="291"/>
        <v/>
      </c>
      <c r="N1252" s="34" t="str">
        <f t="shared" si="294"/>
        <v/>
      </c>
      <c r="O1252" s="34" t="str">
        <f t="shared" si="295"/>
        <v/>
      </c>
      <c r="P1252" s="34" t="str">
        <f t="shared" si="296"/>
        <v/>
      </c>
      <c r="Q1252" s="34" t="str">
        <f t="shared" si="297"/>
        <v/>
      </c>
      <c r="R1252" s="34" t="str">
        <f t="shared" si="298"/>
        <v/>
      </c>
      <c r="S1252" s="34" t="str">
        <f t="shared" si="299"/>
        <v/>
      </c>
    </row>
    <row r="1253" spans="12:19" x14ac:dyDescent="0.3">
      <c r="L1253" s="34" t="str">
        <f t="shared" si="300"/>
        <v/>
      </c>
      <c r="M1253" s="34" t="str">
        <f t="shared" si="291"/>
        <v/>
      </c>
      <c r="N1253" s="34" t="str">
        <f t="shared" si="294"/>
        <v/>
      </c>
      <c r="O1253" s="34" t="str">
        <f t="shared" si="295"/>
        <v/>
      </c>
      <c r="P1253" s="34" t="str">
        <f t="shared" si="296"/>
        <v/>
      </c>
      <c r="Q1253" s="34" t="str">
        <f t="shared" si="297"/>
        <v/>
      </c>
      <c r="R1253" s="34" t="str">
        <f t="shared" si="298"/>
        <v/>
      </c>
      <c r="S1253" s="34" t="str">
        <f t="shared" si="299"/>
        <v/>
      </c>
    </row>
    <row r="1254" spans="12:19" x14ac:dyDescent="0.3">
      <c r="L1254" s="34" t="str">
        <f t="shared" si="300"/>
        <v/>
      </c>
      <c r="M1254" s="34" t="str">
        <f t="shared" si="291"/>
        <v/>
      </c>
      <c r="N1254" s="34" t="str">
        <f t="shared" si="294"/>
        <v/>
      </c>
      <c r="O1254" s="34" t="str">
        <f t="shared" si="295"/>
        <v/>
      </c>
      <c r="P1254" s="34" t="str">
        <f t="shared" si="296"/>
        <v/>
      </c>
      <c r="Q1254" s="34" t="str">
        <f t="shared" si="297"/>
        <v/>
      </c>
      <c r="R1254" s="34" t="str">
        <f t="shared" si="298"/>
        <v/>
      </c>
      <c r="S1254" s="34" t="str">
        <f t="shared" si="299"/>
        <v/>
      </c>
    </row>
    <row r="1255" spans="12:19" x14ac:dyDescent="0.3">
      <c r="L1255" s="34" t="str">
        <f t="shared" si="300"/>
        <v/>
      </c>
      <c r="M1255" s="34" t="str">
        <f t="shared" si="291"/>
        <v/>
      </c>
      <c r="N1255" s="34" t="str">
        <f t="shared" si="294"/>
        <v/>
      </c>
      <c r="O1255" s="34" t="str">
        <f t="shared" si="295"/>
        <v/>
      </c>
      <c r="P1255" s="34" t="str">
        <f t="shared" si="296"/>
        <v/>
      </c>
      <c r="Q1255" s="34" t="str">
        <f t="shared" si="297"/>
        <v/>
      </c>
      <c r="R1255" s="34" t="str">
        <f t="shared" si="298"/>
        <v/>
      </c>
      <c r="S1255" s="34" t="str">
        <f t="shared" si="299"/>
        <v/>
      </c>
    </row>
    <row r="1256" spans="12:19" x14ac:dyDescent="0.3">
      <c r="L1256" s="34" t="str">
        <f t="shared" si="300"/>
        <v/>
      </c>
      <c r="M1256" s="34" t="str">
        <f t="shared" si="291"/>
        <v/>
      </c>
      <c r="N1256" s="34" t="str">
        <f t="shared" si="294"/>
        <v/>
      </c>
      <c r="O1256" s="34" t="str">
        <f t="shared" si="295"/>
        <v/>
      </c>
      <c r="P1256" s="34" t="str">
        <f t="shared" si="296"/>
        <v/>
      </c>
      <c r="Q1256" s="34" t="str">
        <f t="shared" si="297"/>
        <v/>
      </c>
      <c r="R1256" s="34" t="str">
        <f t="shared" si="298"/>
        <v/>
      </c>
      <c r="S1256" s="34" t="str">
        <f t="shared" si="299"/>
        <v/>
      </c>
    </row>
    <row r="1257" spans="12:19" x14ac:dyDescent="0.3">
      <c r="L1257" s="34" t="str">
        <f t="shared" si="300"/>
        <v/>
      </c>
      <c r="M1257" s="34" t="str">
        <f t="shared" si="291"/>
        <v/>
      </c>
      <c r="N1257" s="34" t="str">
        <f t="shared" si="294"/>
        <v/>
      </c>
      <c r="O1257" s="34" t="str">
        <f t="shared" si="295"/>
        <v/>
      </c>
      <c r="P1257" s="34" t="str">
        <f t="shared" si="296"/>
        <v/>
      </c>
      <c r="Q1257" s="34" t="str">
        <f t="shared" si="297"/>
        <v/>
      </c>
      <c r="R1257" s="34" t="str">
        <f t="shared" si="298"/>
        <v/>
      </c>
      <c r="S1257" s="34" t="str">
        <f t="shared" si="299"/>
        <v/>
      </c>
    </row>
    <row r="1258" spans="12:19" x14ac:dyDescent="0.3">
      <c r="L1258" s="34" t="str">
        <f t="shared" si="300"/>
        <v/>
      </c>
      <c r="M1258" s="34" t="str">
        <f t="shared" si="291"/>
        <v/>
      </c>
      <c r="N1258" s="34" t="str">
        <f t="shared" si="294"/>
        <v/>
      </c>
      <c r="O1258" s="34" t="str">
        <f t="shared" si="295"/>
        <v/>
      </c>
      <c r="P1258" s="34" t="str">
        <f t="shared" si="296"/>
        <v/>
      </c>
      <c r="Q1258" s="34" t="str">
        <f t="shared" si="297"/>
        <v/>
      </c>
      <c r="R1258" s="34" t="str">
        <f t="shared" si="298"/>
        <v/>
      </c>
      <c r="S1258" s="34" t="str">
        <f t="shared" si="299"/>
        <v/>
      </c>
    </row>
    <row r="1259" spans="12:19" x14ac:dyDescent="0.3">
      <c r="M1259" s="34" t="str">
        <f t="shared" si="291"/>
        <v/>
      </c>
      <c r="N1259" s="34" t="str">
        <f t="shared" si="294"/>
        <v/>
      </c>
      <c r="O1259" s="34" t="str">
        <f t="shared" si="295"/>
        <v/>
      </c>
      <c r="P1259" s="34" t="str">
        <f t="shared" si="296"/>
        <v/>
      </c>
      <c r="Q1259" s="34" t="str">
        <f t="shared" si="297"/>
        <v/>
      </c>
      <c r="R1259" s="34" t="str">
        <f t="shared" si="298"/>
        <v/>
      </c>
      <c r="S1259" s="34" t="str">
        <f t="shared" si="299"/>
        <v/>
      </c>
    </row>
    <row r="1260" spans="12:19" x14ac:dyDescent="0.3">
      <c r="M1260" s="34" t="str">
        <f t="shared" si="291"/>
        <v/>
      </c>
      <c r="N1260" s="34" t="str">
        <f t="shared" si="294"/>
        <v/>
      </c>
      <c r="O1260" s="34" t="str">
        <f t="shared" si="295"/>
        <v/>
      </c>
      <c r="P1260" s="34" t="str">
        <f t="shared" si="296"/>
        <v/>
      </c>
      <c r="Q1260" s="34" t="str">
        <f t="shared" si="297"/>
        <v/>
      </c>
      <c r="R1260" s="34" t="str">
        <f t="shared" si="298"/>
        <v/>
      </c>
      <c r="S1260" s="34" t="str">
        <f t="shared" si="299"/>
        <v/>
      </c>
    </row>
    <row r="1261" spans="12:19" x14ac:dyDescent="0.3">
      <c r="L1261" s="34" t="str">
        <f t="shared" ref="L1261" si="303">RIGHT(A1261,5)</f>
        <v/>
      </c>
      <c r="M1261" s="34" t="str">
        <f t="shared" si="291"/>
        <v/>
      </c>
      <c r="N1261" s="34" t="str">
        <f t="shared" si="294"/>
        <v/>
      </c>
      <c r="O1261" s="34" t="str">
        <f t="shared" si="295"/>
        <v/>
      </c>
      <c r="P1261" s="34" t="str">
        <f t="shared" si="296"/>
        <v/>
      </c>
      <c r="Q1261" s="34" t="str">
        <f t="shared" si="297"/>
        <v/>
      </c>
      <c r="R1261" s="34" t="str">
        <f t="shared" si="298"/>
        <v/>
      </c>
      <c r="S1261" s="34" t="str">
        <f t="shared" si="299"/>
        <v/>
      </c>
    </row>
    <row r="1262" spans="12:19" x14ac:dyDescent="0.3">
      <c r="L1262" s="34" t="str">
        <f t="shared" ref="L1262" si="304">L1261</f>
        <v/>
      </c>
      <c r="M1262" s="34" t="str">
        <f t="shared" si="291"/>
        <v/>
      </c>
      <c r="N1262" s="34" t="str">
        <f t="shared" si="294"/>
        <v/>
      </c>
      <c r="O1262" s="34" t="str">
        <f t="shared" si="295"/>
        <v/>
      </c>
      <c r="P1262" s="34" t="str">
        <f t="shared" si="296"/>
        <v/>
      </c>
      <c r="Q1262" s="34" t="str">
        <f t="shared" si="297"/>
        <v/>
      </c>
      <c r="R1262" s="34" t="str">
        <f t="shared" si="298"/>
        <v/>
      </c>
      <c r="S1262" s="34" t="str">
        <f t="shared" si="299"/>
        <v/>
      </c>
    </row>
    <row r="1263" spans="12:19" x14ac:dyDescent="0.3">
      <c r="L1263" s="34" t="str">
        <f t="shared" si="300"/>
        <v/>
      </c>
      <c r="M1263" s="34" t="str">
        <f t="shared" si="291"/>
        <v/>
      </c>
      <c r="N1263" s="34" t="str">
        <f t="shared" si="294"/>
        <v/>
      </c>
      <c r="O1263" s="34" t="str">
        <f t="shared" si="295"/>
        <v/>
      </c>
      <c r="P1263" s="34" t="str">
        <f t="shared" si="296"/>
        <v/>
      </c>
      <c r="Q1263" s="34" t="str">
        <f t="shared" si="297"/>
        <v/>
      </c>
      <c r="R1263" s="34" t="str">
        <f t="shared" si="298"/>
        <v/>
      </c>
      <c r="S1263" s="34" t="str">
        <f t="shared" si="299"/>
        <v/>
      </c>
    </row>
    <row r="1264" spans="12:19" x14ac:dyDescent="0.3">
      <c r="L1264" s="34" t="str">
        <f t="shared" si="300"/>
        <v/>
      </c>
      <c r="M1264" s="34" t="str">
        <f t="shared" si="291"/>
        <v/>
      </c>
      <c r="N1264" s="34" t="str">
        <f t="shared" si="294"/>
        <v/>
      </c>
      <c r="O1264" s="34" t="str">
        <f t="shared" si="295"/>
        <v/>
      </c>
      <c r="P1264" s="34" t="str">
        <f t="shared" si="296"/>
        <v/>
      </c>
      <c r="Q1264" s="34" t="str">
        <f t="shared" si="297"/>
        <v/>
      </c>
      <c r="R1264" s="34" t="str">
        <f t="shared" si="298"/>
        <v/>
      </c>
      <c r="S1264" s="34" t="str">
        <f t="shared" si="299"/>
        <v/>
      </c>
    </row>
    <row r="1265" spans="12:19" x14ac:dyDescent="0.3">
      <c r="L1265" s="34" t="str">
        <f t="shared" si="300"/>
        <v/>
      </c>
      <c r="M1265" s="34" t="str">
        <f t="shared" si="291"/>
        <v/>
      </c>
      <c r="N1265" s="34" t="str">
        <f t="shared" si="294"/>
        <v/>
      </c>
      <c r="O1265" s="34" t="str">
        <f t="shared" si="295"/>
        <v/>
      </c>
      <c r="P1265" s="34" t="str">
        <f t="shared" si="296"/>
        <v/>
      </c>
      <c r="Q1265" s="34" t="str">
        <f t="shared" si="297"/>
        <v/>
      </c>
      <c r="R1265" s="34" t="str">
        <f t="shared" si="298"/>
        <v/>
      </c>
      <c r="S1265" s="34" t="str">
        <f t="shared" si="299"/>
        <v/>
      </c>
    </row>
    <row r="1266" spans="12:19" x14ac:dyDescent="0.3">
      <c r="L1266" s="34" t="str">
        <f t="shared" si="300"/>
        <v/>
      </c>
      <c r="M1266" s="34" t="str">
        <f t="shared" si="291"/>
        <v/>
      </c>
      <c r="N1266" s="34" t="str">
        <f t="shared" si="294"/>
        <v/>
      </c>
      <c r="O1266" s="34" t="str">
        <f t="shared" si="295"/>
        <v/>
      </c>
      <c r="P1266" s="34" t="str">
        <f t="shared" si="296"/>
        <v/>
      </c>
      <c r="Q1266" s="34" t="str">
        <f t="shared" si="297"/>
        <v/>
      </c>
      <c r="R1266" s="34" t="str">
        <f t="shared" si="298"/>
        <v/>
      </c>
      <c r="S1266" s="34" t="str">
        <f t="shared" si="299"/>
        <v/>
      </c>
    </row>
    <row r="1267" spans="12:19" x14ac:dyDescent="0.3">
      <c r="L1267" s="34" t="str">
        <f t="shared" si="300"/>
        <v/>
      </c>
      <c r="M1267" s="34" t="str">
        <f t="shared" si="291"/>
        <v/>
      </c>
      <c r="N1267" s="34" t="str">
        <f t="shared" si="294"/>
        <v/>
      </c>
      <c r="O1267" s="34" t="str">
        <f t="shared" si="295"/>
        <v/>
      </c>
      <c r="P1267" s="34" t="str">
        <f t="shared" si="296"/>
        <v/>
      </c>
      <c r="Q1267" s="34" t="str">
        <f t="shared" si="297"/>
        <v/>
      </c>
      <c r="R1267" s="34" t="str">
        <f t="shared" si="298"/>
        <v/>
      </c>
      <c r="S1267" s="34" t="str">
        <f t="shared" si="299"/>
        <v/>
      </c>
    </row>
    <row r="1268" spans="12:19" x14ac:dyDescent="0.3">
      <c r="L1268" s="34" t="str">
        <f t="shared" si="300"/>
        <v/>
      </c>
      <c r="M1268" s="34" t="str">
        <f t="shared" si="291"/>
        <v/>
      </c>
      <c r="N1268" s="34" t="str">
        <f t="shared" si="294"/>
        <v/>
      </c>
      <c r="O1268" s="34" t="str">
        <f t="shared" si="295"/>
        <v/>
      </c>
      <c r="P1268" s="34" t="str">
        <f t="shared" si="296"/>
        <v/>
      </c>
      <c r="Q1268" s="34" t="str">
        <f t="shared" si="297"/>
        <v/>
      </c>
      <c r="R1268" s="34" t="str">
        <f t="shared" si="298"/>
        <v/>
      </c>
      <c r="S1268" s="34" t="str">
        <f t="shared" si="299"/>
        <v/>
      </c>
    </row>
    <row r="1269" spans="12:19" x14ac:dyDescent="0.3">
      <c r="L1269" s="34" t="str">
        <f t="shared" si="300"/>
        <v/>
      </c>
      <c r="M1269" s="34" t="str">
        <f t="shared" si="291"/>
        <v/>
      </c>
      <c r="N1269" s="34" t="str">
        <f t="shared" si="294"/>
        <v/>
      </c>
      <c r="O1269" s="34" t="str">
        <f t="shared" si="295"/>
        <v/>
      </c>
      <c r="P1269" s="34" t="str">
        <f t="shared" si="296"/>
        <v/>
      </c>
      <c r="Q1269" s="34" t="str">
        <f t="shared" si="297"/>
        <v/>
      </c>
      <c r="R1269" s="34" t="str">
        <f t="shared" si="298"/>
        <v/>
      </c>
      <c r="S1269" s="34" t="str">
        <f t="shared" si="299"/>
        <v/>
      </c>
    </row>
    <row r="1270" spans="12:19" x14ac:dyDescent="0.3">
      <c r="L1270" s="34" t="str">
        <f t="shared" si="300"/>
        <v/>
      </c>
      <c r="M1270" s="34" t="str">
        <f t="shared" si="291"/>
        <v/>
      </c>
      <c r="N1270" s="34" t="str">
        <f t="shared" si="294"/>
        <v/>
      </c>
      <c r="O1270" s="34" t="str">
        <f t="shared" si="295"/>
        <v/>
      </c>
      <c r="P1270" s="34" t="str">
        <f t="shared" si="296"/>
        <v/>
      </c>
      <c r="Q1270" s="34" t="str">
        <f t="shared" si="297"/>
        <v/>
      </c>
      <c r="R1270" s="34" t="str">
        <f t="shared" si="298"/>
        <v/>
      </c>
      <c r="S1270" s="34" t="str">
        <f t="shared" si="299"/>
        <v/>
      </c>
    </row>
    <row r="1271" spans="12:19" x14ac:dyDescent="0.3">
      <c r="L1271" s="34" t="str">
        <f t="shared" si="300"/>
        <v/>
      </c>
      <c r="M1271" s="34" t="str">
        <f t="shared" si="291"/>
        <v/>
      </c>
      <c r="N1271" s="34" t="str">
        <f t="shared" si="294"/>
        <v/>
      </c>
      <c r="O1271" s="34" t="str">
        <f t="shared" si="295"/>
        <v/>
      </c>
      <c r="P1271" s="34" t="str">
        <f t="shared" si="296"/>
        <v/>
      </c>
      <c r="Q1271" s="34" t="str">
        <f t="shared" si="297"/>
        <v/>
      </c>
      <c r="R1271" s="34" t="str">
        <f t="shared" si="298"/>
        <v/>
      </c>
      <c r="S1271" s="34" t="str">
        <f t="shared" si="299"/>
        <v/>
      </c>
    </row>
    <row r="1272" spans="12:19" x14ac:dyDescent="0.3">
      <c r="L1272" s="34" t="str">
        <f t="shared" si="300"/>
        <v/>
      </c>
      <c r="M1272" s="34" t="str">
        <f t="shared" si="291"/>
        <v/>
      </c>
      <c r="N1272" s="34" t="str">
        <f t="shared" si="294"/>
        <v/>
      </c>
      <c r="O1272" s="34" t="str">
        <f t="shared" si="295"/>
        <v/>
      </c>
      <c r="P1272" s="34" t="str">
        <f t="shared" si="296"/>
        <v/>
      </c>
      <c r="Q1272" s="34" t="str">
        <f t="shared" si="297"/>
        <v/>
      </c>
      <c r="R1272" s="34" t="str">
        <f t="shared" si="298"/>
        <v/>
      </c>
      <c r="S1272" s="34" t="str">
        <f t="shared" si="299"/>
        <v/>
      </c>
    </row>
    <row r="1273" spans="12:19" x14ac:dyDescent="0.3">
      <c r="L1273" s="34" t="str">
        <f t="shared" si="300"/>
        <v/>
      </c>
      <c r="M1273" s="34" t="str">
        <f t="shared" si="291"/>
        <v/>
      </c>
      <c r="N1273" s="34" t="str">
        <f t="shared" si="294"/>
        <v/>
      </c>
      <c r="O1273" s="34" t="str">
        <f t="shared" si="295"/>
        <v/>
      </c>
      <c r="P1273" s="34" t="str">
        <f t="shared" si="296"/>
        <v/>
      </c>
      <c r="Q1273" s="34" t="str">
        <f t="shared" si="297"/>
        <v/>
      </c>
      <c r="R1273" s="34" t="str">
        <f t="shared" si="298"/>
        <v/>
      </c>
      <c r="S1273" s="34" t="str">
        <f t="shared" si="299"/>
        <v/>
      </c>
    </row>
    <row r="1274" spans="12:19" x14ac:dyDescent="0.3">
      <c r="L1274" s="34" t="str">
        <f t="shared" si="300"/>
        <v/>
      </c>
      <c r="M1274" s="34" t="str">
        <f t="shared" si="291"/>
        <v/>
      </c>
      <c r="N1274" s="34" t="str">
        <f t="shared" si="294"/>
        <v/>
      </c>
      <c r="O1274" s="34" t="str">
        <f t="shared" si="295"/>
        <v/>
      </c>
      <c r="P1274" s="34" t="str">
        <f t="shared" si="296"/>
        <v/>
      </c>
      <c r="Q1274" s="34" t="str">
        <f t="shared" si="297"/>
        <v/>
      </c>
      <c r="R1274" s="34" t="str">
        <f t="shared" si="298"/>
        <v/>
      </c>
      <c r="S1274" s="34" t="str">
        <f t="shared" si="299"/>
        <v/>
      </c>
    </row>
    <row r="1275" spans="12:19" x14ac:dyDescent="0.3">
      <c r="L1275" s="34" t="str">
        <f t="shared" si="300"/>
        <v/>
      </c>
      <c r="M1275" s="34" t="str">
        <f t="shared" si="291"/>
        <v/>
      </c>
      <c r="N1275" s="34" t="str">
        <f t="shared" si="294"/>
        <v/>
      </c>
      <c r="O1275" s="34" t="str">
        <f t="shared" si="295"/>
        <v/>
      </c>
      <c r="P1275" s="34" t="str">
        <f t="shared" si="296"/>
        <v/>
      </c>
      <c r="Q1275" s="34" t="str">
        <f t="shared" si="297"/>
        <v/>
      </c>
      <c r="R1275" s="34" t="str">
        <f t="shared" si="298"/>
        <v/>
      </c>
      <c r="S1275" s="34" t="str">
        <f t="shared" si="299"/>
        <v/>
      </c>
    </row>
    <row r="1276" spans="12:19" x14ac:dyDescent="0.3">
      <c r="M1276" s="34" t="str">
        <f t="shared" si="291"/>
        <v/>
      </c>
      <c r="N1276" s="34" t="str">
        <f t="shared" si="294"/>
        <v/>
      </c>
      <c r="O1276" s="34" t="str">
        <f t="shared" si="295"/>
        <v/>
      </c>
      <c r="P1276" s="34" t="str">
        <f t="shared" si="296"/>
        <v/>
      </c>
      <c r="Q1276" s="34" t="str">
        <f t="shared" si="297"/>
        <v/>
      </c>
      <c r="R1276" s="34" t="str">
        <f t="shared" si="298"/>
        <v/>
      </c>
      <c r="S1276" s="34" t="str">
        <f t="shared" si="299"/>
        <v/>
      </c>
    </row>
    <row r="1277" spans="12:19" x14ac:dyDescent="0.3">
      <c r="M1277" s="34" t="str">
        <f t="shared" si="291"/>
        <v/>
      </c>
      <c r="N1277" s="34" t="str">
        <f t="shared" si="294"/>
        <v/>
      </c>
      <c r="O1277" s="34" t="str">
        <f t="shared" si="295"/>
        <v/>
      </c>
      <c r="P1277" s="34" t="str">
        <f t="shared" si="296"/>
        <v/>
      </c>
      <c r="Q1277" s="34" t="str">
        <f t="shared" si="297"/>
        <v/>
      </c>
      <c r="R1277" s="34" t="str">
        <f t="shared" si="298"/>
        <v/>
      </c>
      <c r="S1277" s="34" t="str">
        <f t="shared" si="299"/>
        <v/>
      </c>
    </row>
    <row r="1278" spans="12:19" x14ac:dyDescent="0.3">
      <c r="L1278" s="34" t="str">
        <f t="shared" ref="L1278" si="305">RIGHT(A1278,5)</f>
        <v/>
      </c>
      <c r="M1278" s="34" t="str">
        <f t="shared" si="291"/>
        <v/>
      </c>
      <c r="N1278" s="34" t="str">
        <f t="shared" si="294"/>
        <v/>
      </c>
      <c r="O1278" s="34" t="str">
        <f t="shared" si="295"/>
        <v/>
      </c>
      <c r="P1278" s="34" t="str">
        <f t="shared" si="296"/>
        <v/>
      </c>
      <c r="Q1278" s="34" t="str">
        <f t="shared" si="297"/>
        <v/>
      </c>
      <c r="R1278" s="34" t="str">
        <f t="shared" si="298"/>
        <v/>
      </c>
      <c r="S1278" s="34" t="str">
        <f t="shared" si="299"/>
        <v/>
      </c>
    </row>
    <row r="1279" spans="12:19" x14ac:dyDescent="0.3">
      <c r="L1279" s="34" t="str">
        <f t="shared" ref="L1279" si="306">L1278</f>
        <v/>
      </c>
      <c r="M1279" s="34" t="str">
        <f t="shared" si="291"/>
        <v/>
      </c>
      <c r="N1279" s="34" t="str">
        <f t="shared" si="294"/>
        <v/>
      </c>
      <c r="O1279" s="34" t="str">
        <f t="shared" si="295"/>
        <v/>
      </c>
      <c r="P1279" s="34" t="str">
        <f t="shared" si="296"/>
        <v/>
      </c>
      <c r="Q1279" s="34" t="str">
        <f t="shared" si="297"/>
        <v/>
      </c>
      <c r="R1279" s="34" t="str">
        <f t="shared" si="298"/>
        <v/>
      </c>
      <c r="S1279" s="34" t="str">
        <f t="shared" si="299"/>
        <v/>
      </c>
    </row>
    <row r="1280" spans="12:19" x14ac:dyDescent="0.3">
      <c r="L1280" s="34" t="str">
        <f t="shared" si="300"/>
        <v/>
      </c>
      <c r="M1280" s="34" t="str">
        <f t="shared" si="291"/>
        <v/>
      </c>
      <c r="N1280" s="34" t="str">
        <f t="shared" si="294"/>
        <v/>
      </c>
      <c r="O1280" s="34" t="str">
        <f t="shared" si="295"/>
        <v/>
      </c>
      <c r="P1280" s="34" t="str">
        <f t="shared" si="296"/>
        <v/>
      </c>
      <c r="Q1280" s="34" t="str">
        <f t="shared" si="297"/>
        <v/>
      </c>
      <c r="R1280" s="34" t="str">
        <f t="shared" si="298"/>
        <v/>
      </c>
      <c r="S1280" s="34" t="str">
        <f t="shared" si="299"/>
        <v/>
      </c>
    </row>
    <row r="1281" spans="12:19" x14ac:dyDescent="0.3">
      <c r="L1281" s="34" t="str">
        <f t="shared" si="300"/>
        <v/>
      </c>
      <c r="M1281" s="34" t="str">
        <f t="shared" si="291"/>
        <v/>
      </c>
      <c r="N1281" s="34" t="str">
        <f t="shared" si="294"/>
        <v/>
      </c>
      <c r="O1281" s="34" t="str">
        <f t="shared" si="295"/>
        <v/>
      </c>
      <c r="P1281" s="34" t="str">
        <f t="shared" si="296"/>
        <v/>
      </c>
      <c r="Q1281" s="34" t="str">
        <f t="shared" si="297"/>
        <v/>
      </c>
      <c r="R1281" s="34" t="str">
        <f t="shared" si="298"/>
        <v/>
      </c>
      <c r="S1281" s="34" t="str">
        <f t="shared" si="299"/>
        <v/>
      </c>
    </row>
    <row r="1282" spans="12:19" x14ac:dyDescent="0.3">
      <c r="L1282" s="34" t="str">
        <f t="shared" si="300"/>
        <v/>
      </c>
      <c r="M1282" s="34" t="str">
        <f t="shared" si="291"/>
        <v/>
      </c>
      <c r="N1282" s="34" t="str">
        <f t="shared" si="294"/>
        <v/>
      </c>
      <c r="O1282" s="34" t="str">
        <f t="shared" si="295"/>
        <v/>
      </c>
      <c r="P1282" s="34" t="str">
        <f t="shared" si="296"/>
        <v/>
      </c>
      <c r="Q1282" s="34" t="str">
        <f t="shared" si="297"/>
        <v/>
      </c>
      <c r="R1282" s="34" t="str">
        <f t="shared" si="298"/>
        <v/>
      </c>
      <c r="S1282" s="34" t="str">
        <f t="shared" si="299"/>
        <v/>
      </c>
    </row>
    <row r="1283" spans="12:19" x14ac:dyDescent="0.3">
      <c r="L1283" s="34" t="str">
        <f t="shared" si="300"/>
        <v/>
      </c>
      <c r="M1283" s="34" t="str">
        <f t="shared" si="291"/>
        <v/>
      </c>
      <c r="N1283" s="34" t="str">
        <f t="shared" si="294"/>
        <v/>
      </c>
      <c r="O1283" s="34" t="str">
        <f t="shared" si="295"/>
        <v/>
      </c>
      <c r="P1283" s="34" t="str">
        <f t="shared" si="296"/>
        <v/>
      </c>
      <c r="Q1283" s="34" t="str">
        <f t="shared" si="297"/>
        <v/>
      </c>
      <c r="R1283" s="34" t="str">
        <f t="shared" si="298"/>
        <v/>
      </c>
      <c r="S1283" s="34" t="str">
        <f t="shared" si="299"/>
        <v/>
      </c>
    </row>
    <row r="1284" spans="12:19" x14ac:dyDescent="0.3">
      <c r="L1284" s="34" t="str">
        <f t="shared" si="300"/>
        <v/>
      </c>
      <c r="M1284" s="34" t="str">
        <f t="shared" si="291"/>
        <v/>
      </c>
      <c r="N1284" s="34" t="str">
        <f t="shared" si="294"/>
        <v/>
      </c>
      <c r="O1284" s="34" t="str">
        <f t="shared" si="295"/>
        <v/>
      </c>
      <c r="P1284" s="34" t="str">
        <f t="shared" si="296"/>
        <v/>
      </c>
      <c r="Q1284" s="34" t="str">
        <f t="shared" si="297"/>
        <v/>
      </c>
      <c r="R1284" s="34" t="str">
        <f t="shared" si="298"/>
        <v/>
      </c>
      <c r="S1284" s="34" t="str">
        <f t="shared" si="299"/>
        <v/>
      </c>
    </row>
    <row r="1285" spans="12:19" x14ac:dyDescent="0.3">
      <c r="L1285" s="34" t="str">
        <f t="shared" si="300"/>
        <v/>
      </c>
      <c r="M1285" s="34" t="str">
        <f t="shared" ref="M1285:M1348" si="307">IF(AND(L1285="s.csv",A1285=1),ABS(1000/12/D1285),"")</f>
        <v/>
      </c>
      <c r="N1285" s="34" t="str">
        <f t="shared" si="294"/>
        <v/>
      </c>
      <c r="O1285" s="34" t="str">
        <f t="shared" si="295"/>
        <v/>
      </c>
      <c r="P1285" s="34" t="str">
        <f t="shared" si="296"/>
        <v/>
      </c>
      <c r="Q1285" s="34" t="str">
        <f t="shared" si="297"/>
        <v/>
      </c>
      <c r="R1285" s="34" t="str">
        <f t="shared" si="298"/>
        <v/>
      </c>
      <c r="S1285" s="34" t="str">
        <f t="shared" si="299"/>
        <v/>
      </c>
    </row>
    <row r="1286" spans="12:19" x14ac:dyDescent="0.3">
      <c r="L1286" s="34" t="str">
        <f t="shared" si="300"/>
        <v/>
      </c>
      <c r="M1286" s="34" t="str">
        <f t="shared" si="307"/>
        <v/>
      </c>
      <c r="N1286" s="34" t="str">
        <f t="shared" si="294"/>
        <v/>
      </c>
      <c r="O1286" s="34" t="str">
        <f t="shared" si="295"/>
        <v/>
      </c>
      <c r="P1286" s="34" t="str">
        <f t="shared" si="296"/>
        <v/>
      </c>
      <c r="Q1286" s="34" t="str">
        <f t="shared" si="297"/>
        <v/>
      </c>
      <c r="R1286" s="34" t="str">
        <f t="shared" si="298"/>
        <v/>
      </c>
      <c r="S1286" s="34" t="str">
        <f t="shared" si="299"/>
        <v/>
      </c>
    </row>
    <row r="1287" spans="12:19" x14ac:dyDescent="0.3">
      <c r="L1287" s="34" t="str">
        <f t="shared" si="300"/>
        <v/>
      </c>
      <c r="M1287" s="34" t="str">
        <f t="shared" si="307"/>
        <v/>
      </c>
      <c r="N1287" s="34" t="str">
        <f t="shared" si="294"/>
        <v/>
      </c>
      <c r="O1287" s="34" t="str">
        <f t="shared" si="295"/>
        <v/>
      </c>
      <c r="P1287" s="34" t="str">
        <f t="shared" si="296"/>
        <v/>
      </c>
      <c r="Q1287" s="34" t="str">
        <f t="shared" si="297"/>
        <v/>
      </c>
      <c r="R1287" s="34" t="str">
        <f t="shared" si="298"/>
        <v/>
      </c>
      <c r="S1287" s="34" t="str">
        <f t="shared" si="299"/>
        <v/>
      </c>
    </row>
    <row r="1288" spans="12:19" x14ac:dyDescent="0.3">
      <c r="L1288" s="34" t="str">
        <f t="shared" si="300"/>
        <v/>
      </c>
      <c r="M1288" s="34" t="str">
        <f t="shared" si="307"/>
        <v/>
      </c>
      <c r="N1288" s="34" t="str">
        <f t="shared" si="294"/>
        <v/>
      </c>
      <c r="O1288" s="34" t="str">
        <f t="shared" si="295"/>
        <v/>
      </c>
      <c r="P1288" s="34" t="str">
        <f t="shared" si="296"/>
        <v/>
      </c>
      <c r="Q1288" s="34" t="str">
        <f t="shared" si="297"/>
        <v/>
      </c>
      <c r="R1288" s="34" t="str">
        <f t="shared" si="298"/>
        <v/>
      </c>
      <c r="S1288" s="34" t="str">
        <f t="shared" si="299"/>
        <v/>
      </c>
    </row>
    <row r="1289" spans="12:19" x14ac:dyDescent="0.3">
      <c r="L1289" s="34" t="str">
        <f t="shared" si="300"/>
        <v/>
      </c>
      <c r="M1289" s="34" t="str">
        <f t="shared" si="307"/>
        <v/>
      </c>
      <c r="N1289" s="34" t="str">
        <f t="shared" si="294"/>
        <v/>
      </c>
      <c r="O1289" s="34" t="str">
        <f t="shared" si="295"/>
        <v/>
      </c>
      <c r="P1289" s="34" t="str">
        <f t="shared" si="296"/>
        <v/>
      </c>
      <c r="Q1289" s="34" t="str">
        <f t="shared" si="297"/>
        <v/>
      </c>
      <c r="R1289" s="34" t="str">
        <f t="shared" si="298"/>
        <v/>
      </c>
      <c r="S1289" s="34" t="str">
        <f t="shared" si="299"/>
        <v/>
      </c>
    </row>
    <row r="1290" spans="12:19" x14ac:dyDescent="0.3">
      <c r="L1290" s="34" t="str">
        <f t="shared" si="300"/>
        <v/>
      </c>
      <c r="M1290" s="34" t="str">
        <f t="shared" si="307"/>
        <v/>
      </c>
      <c r="N1290" s="34" t="str">
        <f t="shared" si="294"/>
        <v/>
      </c>
      <c r="O1290" s="34" t="str">
        <f t="shared" si="295"/>
        <v/>
      </c>
      <c r="P1290" s="34" t="str">
        <f t="shared" si="296"/>
        <v/>
      </c>
      <c r="Q1290" s="34" t="str">
        <f t="shared" si="297"/>
        <v/>
      </c>
      <c r="R1290" s="34" t="str">
        <f t="shared" si="298"/>
        <v/>
      </c>
      <c r="S1290" s="34" t="str">
        <f t="shared" si="299"/>
        <v/>
      </c>
    </row>
    <row r="1291" spans="12:19" x14ac:dyDescent="0.3">
      <c r="L1291" s="34" t="str">
        <f t="shared" si="300"/>
        <v/>
      </c>
      <c r="M1291" s="34" t="str">
        <f t="shared" si="307"/>
        <v/>
      </c>
      <c r="N1291" s="34" t="str">
        <f t="shared" si="294"/>
        <v/>
      </c>
      <c r="O1291" s="34" t="str">
        <f t="shared" si="295"/>
        <v/>
      </c>
      <c r="P1291" s="34" t="str">
        <f t="shared" si="296"/>
        <v/>
      </c>
      <c r="Q1291" s="34" t="str">
        <f t="shared" si="297"/>
        <v/>
      </c>
      <c r="R1291" s="34" t="str">
        <f t="shared" si="298"/>
        <v/>
      </c>
      <c r="S1291" s="34" t="str">
        <f t="shared" si="299"/>
        <v/>
      </c>
    </row>
    <row r="1292" spans="12:19" x14ac:dyDescent="0.3">
      <c r="L1292" s="34" t="str">
        <f t="shared" si="300"/>
        <v/>
      </c>
      <c r="M1292" s="34" t="str">
        <f t="shared" si="307"/>
        <v/>
      </c>
      <c r="N1292" s="34" t="str">
        <f t="shared" ref="N1292:N1355" si="308">IF(AND(OR($L1292="l.csv",$L1292="g.csv"),$E1292&gt;4),F1292,"")</f>
        <v/>
      </c>
      <c r="O1292" s="34" t="str">
        <f t="shared" ref="O1292:O1355" si="309">IF(AND(OR($L1292="l.csv",$L1292="g.csv"),$E1292&gt;4),G1292,"")</f>
        <v/>
      </c>
      <c r="P1292" s="34" t="str">
        <f t="shared" ref="P1292:P1355" si="310">IF(AND(OR($L1292="l.csv",$L1292="g.csv"),$E1292&gt;4),H1292,"")</f>
        <v/>
      </c>
      <c r="Q1292" s="34" t="str">
        <f t="shared" ref="Q1292:Q1355" si="311">IF(AND(OR($L1292="l.csv",$L1292="g.csv"),$E1292&gt;4),I1292,"")</f>
        <v/>
      </c>
      <c r="R1292" s="34" t="str">
        <f t="shared" ref="R1292:R1355" si="312">IF(AND(OR($L1292="l.csv",$L1292="g.csv"),$E1292&gt;4),J1292,"")</f>
        <v/>
      </c>
      <c r="S1292" s="34" t="str">
        <f t="shared" ref="S1292:S1355" si="313">IF(AND(OR($L1292="l.csv",$L1292="g.csv"),$E1292&gt;4),K1292,"")</f>
        <v/>
      </c>
    </row>
    <row r="1293" spans="12:19" x14ac:dyDescent="0.3">
      <c r="M1293" s="34" t="str">
        <f t="shared" si="307"/>
        <v/>
      </c>
      <c r="N1293" s="34" t="str">
        <f t="shared" si="308"/>
        <v/>
      </c>
      <c r="O1293" s="34" t="str">
        <f t="shared" si="309"/>
        <v/>
      </c>
      <c r="P1293" s="34" t="str">
        <f t="shared" si="310"/>
        <v/>
      </c>
      <c r="Q1293" s="34" t="str">
        <f t="shared" si="311"/>
        <v/>
      </c>
      <c r="R1293" s="34" t="str">
        <f t="shared" si="312"/>
        <v/>
      </c>
      <c r="S1293" s="34" t="str">
        <f t="shared" si="313"/>
        <v/>
      </c>
    </row>
    <row r="1294" spans="12:19" x14ac:dyDescent="0.3">
      <c r="M1294" s="34" t="str">
        <f t="shared" si="307"/>
        <v/>
      </c>
      <c r="N1294" s="34" t="str">
        <f t="shared" si="308"/>
        <v/>
      </c>
      <c r="O1294" s="34" t="str">
        <f t="shared" si="309"/>
        <v/>
      </c>
      <c r="P1294" s="34" t="str">
        <f t="shared" si="310"/>
        <v/>
      </c>
      <c r="Q1294" s="34" t="str">
        <f t="shared" si="311"/>
        <v/>
      </c>
      <c r="R1294" s="34" t="str">
        <f t="shared" si="312"/>
        <v/>
      </c>
      <c r="S1294" s="34" t="str">
        <f t="shared" si="313"/>
        <v/>
      </c>
    </row>
    <row r="1295" spans="12:19" x14ac:dyDescent="0.3">
      <c r="L1295" s="34" t="str">
        <f t="shared" ref="L1295" si="314">RIGHT(A1295,5)</f>
        <v/>
      </c>
      <c r="M1295" s="34" t="str">
        <f t="shared" si="307"/>
        <v/>
      </c>
      <c r="N1295" s="34" t="str">
        <f t="shared" si="308"/>
        <v/>
      </c>
      <c r="O1295" s="34" t="str">
        <f t="shared" si="309"/>
        <v/>
      </c>
      <c r="P1295" s="34" t="str">
        <f t="shared" si="310"/>
        <v/>
      </c>
      <c r="Q1295" s="34" t="str">
        <f t="shared" si="311"/>
        <v/>
      </c>
      <c r="R1295" s="34" t="str">
        <f t="shared" si="312"/>
        <v/>
      </c>
      <c r="S1295" s="34" t="str">
        <f t="shared" si="313"/>
        <v/>
      </c>
    </row>
    <row r="1296" spans="12:19" x14ac:dyDescent="0.3">
      <c r="L1296" s="34" t="str">
        <f t="shared" ref="L1296:L1349" si="315">L1295</f>
        <v/>
      </c>
      <c r="M1296" s="34" t="str">
        <f t="shared" si="307"/>
        <v/>
      </c>
      <c r="N1296" s="34" t="str">
        <f t="shared" si="308"/>
        <v/>
      </c>
      <c r="O1296" s="34" t="str">
        <f t="shared" si="309"/>
        <v/>
      </c>
      <c r="P1296" s="34" t="str">
        <f t="shared" si="310"/>
        <v/>
      </c>
      <c r="Q1296" s="34" t="str">
        <f t="shared" si="311"/>
        <v/>
      </c>
      <c r="R1296" s="34" t="str">
        <f t="shared" si="312"/>
        <v/>
      </c>
      <c r="S1296" s="34" t="str">
        <f t="shared" si="313"/>
        <v/>
      </c>
    </row>
    <row r="1297" spans="12:19" x14ac:dyDescent="0.3">
      <c r="L1297" s="34" t="str">
        <f t="shared" si="315"/>
        <v/>
      </c>
      <c r="M1297" s="34" t="str">
        <f t="shared" si="307"/>
        <v/>
      </c>
      <c r="N1297" s="34" t="str">
        <f t="shared" si="308"/>
        <v/>
      </c>
      <c r="O1297" s="34" t="str">
        <f t="shared" si="309"/>
        <v/>
      </c>
      <c r="P1297" s="34" t="str">
        <f t="shared" si="310"/>
        <v/>
      </c>
      <c r="Q1297" s="34" t="str">
        <f t="shared" si="311"/>
        <v/>
      </c>
      <c r="R1297" s="34" t="str">
        <f t="shared" si="312"/>
        <v/>
      </c>
      <c r="S1297" s="34" t="str">
        <f t="shared" si="313"/>
        <v/>
      </c>
    </row>
    <row r="1298" spans="12:19" x14ac:dyDescent="0.3">
      <c r="L1298" s="34" t="str">
        <f t="shared" si="315"/>
        <v/>
      </c>
      <c r="M1298" s="34" t="str">
        <f t="shared" si="307"/>
        <v/>
      </c>
      <c r="N1298" s="34" t="str">
        <f t="shared" si="308"/>
        <v/>
      </c>
      <c r="O1298" s="34" t="str">
        <f t="shared" si="309"/>
        <v/>
      </c>
      <c r="P1298" s="34" t="str">
        <f t="shared" si="310"/>
        <v/>
      </c>
      <c r="Q1298" s="34" t="str">
        <f t="shared" si="311"/>
        <v/>
      </c>
      <c r="R1298" s="34" t="str">
        <f t="shared" si="312"/>
        <v/>
      </c>
      <c r="S1298" s="34" t="str">
        <f t="shared" si="313"/>
        <v/>
      </c>
    </row>
    <row r="1299" spans="12:19" x14ac:dyDescent="0.3">
      <c r="L1299" s="34" t="str">
        <f t="shared" si="315"/>
        <v/>
      </c>
      <c r="M1299" s="34" t="str">
        <f t="shared" si="307"/>
        <v/>
      </c>
      <c r="N1299" s="34" t="str">
        <f t="shared" si="308"/>
        <v/>
      </c>
      <c r="O1299" s="34" t="str">
        <f t="shared" si="309"/>
        <v/>
      </c>
      <c r="P1299" s="34" t="str">
        <f t="shared" si="310"/>
        <v/>
      </c>
      <c r="Q1299" s="34" t="str">
        <f t="shared" si="311"/>
        <v/>
      </c>
      <c r="R1299" s="34" t="str">
        <f t="shared" si="312"/>
        <v/>
      </c>
      <c r="S1299" s="34" t="str">
        <f t="shared" si="313"/>
        <v/>
      </c>
    </row>
    <row r="1300" spans="12:19" x14ac:dyDescent="0.3">
      <c r="L1300" s="34" t="str">
        <f t="shared" si="315"/>
        <v/>
      </c>
      <c r="M1300" s="34" t="str">
        <f t="shared" si="307"/>
        <v/>
      </c>
      <c r="N1300" s="34" t="str">
        <f t="shared" si="308"/>
        <v/>
      </c>
      <c r="O1300" s="34" t="str">
        <f t="shared" si="309"/>
        <v/>
      </c>
      <c r="P1300" s="34" t="str">
        <f t="shared" si="310"/>
        <v/>
      </c>
      <c r="Q1300" s="34" t="str">
        <f t="shared" si="311"/>
        <v/>
      </c>
      <c r="R1300" s="34" t="str">
        <f t="shared" si="312"/>
        <v/>
      </c>
      <c r="S1300" s="34" t="str">
        <f t="shared" si="313"/>
        <v/>
      </c>
    </row>
    <row r="1301" spans="12:19" x14ac:dyDescent="0.3">
      <c r="L1301" s="34" t="str">
        <f t="shared" si="315"/>
        <v/>
      </c>
      <c r="M1301" s="34" t="str">
        <f t="shared" si="307"/>
        <v/>
      </c>
      <c r="N1301" s="34" t="str">
        <f t="shared" si="308"/>
        <v/>
      </c>
      <c r="O1301" s="34" t="str">
        <f t="shared" si="309"/>
        <v/>
      </c>
      <c r="P1301" s="34" t="str">
        <f t="shared" si="310"/>
        <v/>
      </c>
      <c r="Q1301" s="34" t="str">
        <f t="shared" si="311"/>
        <v/>
      </c>
      <c r="R1301" s="34" t="str">
        <f t="shared" si="312"/>
        <v/>
      </c>
      <c r="S1301" s="34" t="str">
        <f t="shared" si="313"/>
        <v/>
      </c>
    </row>
    <row r="1302" spans="12:19" x14ac:dyDescent="0.3">
      <c r="L1302" s="34" t="str">
        <f t="shared" si="315"/>
        <v/>
      </c>
      <c r="M1302" s="34" t="str">
        <f t="shared" si="307"/>
        <v/>
      </c>
      <c r="N1302" s="34" t="str">
        <f t="shared" si="308"/>
        <v/>
      </c>
      <c r="O1302" s="34" t="str">
        <f t="shared" si="309"/>
        <v/>
      </c>
      <c r="P1302" s="34" t="str">
        <f t="shared" si="310"/>
        <v/>
      </c>
      <c r="Q1302" s="34" t="str">
        <f t="shared" si="311"/>
        <v/>
      </c>
      <c r="R1302" s="34" t="str">
        <f t="shared" si="312"/>
        <v/>
      </c>
      <c r="S1302" s="34" t="str">
        <f t="shared" si="313"/>
        <v/>
      </c>
    </row>
    <row r="1303" spans="12:19" x14ac:dyDescent="0.3">
      <c r="L1303" s="34" t="str">
        <f t="shared" si="315"/>
        <v/>
      </c>
      <c r="M1303" s="34" t="str">
        <f t="shared" si="307"/>
        <v/>
      </c>
      <c r="N1303" s="34" t="str">
        <f t="shared" si="308"/>
        <v/>
      </c>
      <c r="O1303" s="34" t="str">
        <f t="shared" si="309"/>
        <v/>
      </c>
      <c r="P1303" s="34" t="str">
        <f t="shared" si="310"/>
        <v/>
      </c>
      <c r="Q1303" s="34" t="str">
        <f t="shared" si="311"/>
        <v/>
      </c>
      <c r="R1303" s="34" t="str">
        <f t="shared" si="312"/>
        <v/>
      </c>
      <c r="S1303" s="34" t="str">
        <f t="shared" si="313"/>
        <v/>
      </c>
    </row>
    <row r="1304" spans="12:19" x14ac:dyDescent="0.3">
      <c r="L1304" s="34" t="str">
        <f t="shared" si="315"/>
        <v/>
      </c>
      <c r="M1304" s="34" t="str">
        <f t="shared" si="307"/>
        <v/>
      </c>
      <c r="N1304" s="34" t="str">
        <f t="shared" si="308"/>
        <v/>
      </c>
      <c r="O1304" s="34" t="str">
        <f t="shared" si="309"/>
        <v/>
      </c>
      <c r="P1304" s="34" t="str">
        <f t="shared" si="310"/>
        <v/>
      </c>
      <c r="Q1304" s="34" t="str">
        <f t="shared" si="311"/>
        <v/>
      </c>
      <c r="R1304" s="34" t="str">
        <f t="shared" si="312"/>
        <v/>
      </c>
      <c r="S1304" s="34" t="str">
        <f t="shared" si="313"/>
        <v/>
      </c>
    </row>
    <row r="1305" spans="12:19" x14ac:dyDescent="0.3">
      <c r="L1305" s="34" t="str">
        <f t="shared" si="315"/>
        <v/>
      </c>
      <c r="M1305" s="34" t="str">
        <f t="shared" si="307"/>
        <v/>
      </c>
      <c r="N1305" s="34" t="str">
        <f t="shared" si="308"/>
        <v/>
      </c>
      <c r="O1305" s="34" t="str">
        <f t="shared" si="309"/>
        <v/>
      </c>
      <c r="P1305" s="34" t="str">
        <f t="shared" si="310"/>
        <v/>
      </c>
      <c r="Q1305" s="34" t="str">
        <f t="shared" si="311"/>
        <v/>
      </c>
      <c r="R1305" s="34" t="str">
        <f t="shared" si="312"/>
        <v/>
      </c>
      <c r="S1305" s="34" t="str">
        <f t="shared" si="313"/>
        <v/>
      </c>
    </row>
    <row r="1306" spans="12:19" x14ac:dyDescent="0.3">
      <c r="L1306" s="34" t="str">
        <f t="shared" si="315"/>
        <v/>
      </c>
      <c r="M1306" s="34" t="str">
        <f t="shared" si="307"/>
        <v/>
      </c>
      <c r="N1306" s="34" t="str">
        <f t="shared" si="308"/>
        <v/>
      </c>
      <c r="O1306" s="34" t="str">
        <f t="shared" si="309"/>
        <v/>
      </c>
      <c r="P1306" s="34" t="str">
        <f t="shared" si="310"/>
        <v/>
      </c>
      <c r="Q1306" s="34" t="str">
        <f t="shared" si="311"/>
        <v/>
      </c>
      <c r="R1306" s="34" t="str">
        <f t="shared" si="312"/>
        <v/>
      </c>
      <c r="S1306" s="34" t="str">
        <f t="shared" si="313"/>
        <v/>
      </c>
    </row>
    <row r="1307" spans="12:19" x14ac:dyDescent="0.3">
      <c r="L1307" s="34" t="str">
        <f t="shared" si="315"/>
        <v/>
      </c>
      <c r="M1307" s="34" t="str">
        <f t="shared" si="307"/>
        <v/>
      </c>
      <c r="N1307" s="34" t="str">
        <f t="shared" si="308"/>
        <v/>
      </c>
      <c r="O1307" s="34" t="str">
        <f t="shared" si="309"/>
        <v/>
      </c>
      <c r="P1307" s="34" t="str">
        <f t="shared" si="310"/>
        <v/>
      </c>
      <c r="Q1307" s="34" t="str">
        <f t="shared" si="311"/>
        <v/>
      </c>
      <c r="R1307" s="34" t="str">
        <f t="shared" si="312"/>
        <v/>
      </c>
      <c r="S1307" s="34" t="str">
        <f t="shared" si="313"/>
        <v/>
      </c>
    </row>
    <row r="1308" spans="12:19" x14ac:dyDescent="0.3">
      <c r="L1308" s="34" t="str">
        <f t="shared" si="315"/>
        <v/>
      </c>
      <c r="M1308" s="34" t="str">
        <f t="shared" si="307"/>
        <v/>
      </c>
      <c r="N1308" s="34" t="str">
        <f t="shared" si="308"/>
        <v/>
      </c>
      <c r="O1308" s="34" t="str">
        <f t="shared" si="309"/>
        <v/>
      </c>
      <c r="P1308" s="34" t="str">
        <f t="shared" si="310"/>
        <v/>
      </c>
      <c r="Q1308" s="34" t="str">
        <f t="shared" si="311"/>
        <v/>
      </c>
      <c r="R1308" s="34" t="str">
        <f t="shared" si="312"/>
        <v/>
      </c>
      <c r="S1308" s="34" t="str">
        <f t="shared" si="313"/>
        <v/>
      </c>
    </row>
    <row r="1309" spans="12:19" x14ac:dyDescent="0.3">
      <c r="L1309" s="34" t="str">
        <f t="shared" si="315"/>
        <v/>
      </c>
      <c r="M1309" s="34" t="str">
        <f t="shared" si="307"/>
        <v/>
      </c>
      <c r="N1309" s="34" t="str">
        <f t="shared" si="308"/>
        <v/>
      </c>
      <c r="O1309" s="34" t="str">
        <f t="shared" si="309"/>
        <v/>
      </c>
      <c r="P1309" s="34" t="str">
        <f t="shared" si="310"/>
        <v/>
      </c>
      <c r="Q1309" s="34" t="str">
        <f t="shared" si="311"/>
        <v/>
      </c>
      <c r="R1309" s="34" t="str">
        <f t="shared" si="312"/>
        <v/>
      </c>
      <c r="S1309" s="34" t="str">
        <f t="shared" si="313"/>
        <v/>
      </c>
    </row>
    <row r="1310" spans="12:19" x14ac:dyDescent="0.3">
      <c r="M1310" s="34" t="str">
        <f t="shared" si="307"/>
        <v/>
      </c>
      <c r="N1310" s="34" t="str">
        <f t="shared" si="308"/>
        <v/>
      </c>
      <c r="O1310" s="34" t="str">
        <f t="shared" si="309"/>
        <v/>
      </c>
      <c r="P1310" s="34" t="str">
        <f t="shared" si="310"/>
        <v/>
      </c>
      <c r="Q1310" s="34" t="str">
        <f t="shared" si="311"/>
        <v/>
      </c>
      <c r="R1310" s="34" t="str">
        <f t="shared" si="312"/>
        <v/>
      </c>
      <c r="S1310" s="34" t="str">
        <f t="shared" si="313"/>
        <v/>
      </c>
    </row>
    <row r="1311" spans="12:19" x14ac:dyDescent="0.3">
      <c r="M1311" s="34" t="str">
        <f t="shared" si="307"/>
        <v/>
      </c>
      <c r="N1311" s="34" t="str">
        <f t="shared" si="308"/>
        <v/>
      </c>
      <c r="O1311" s="34" t="str">
        <f t="shared" si="309"/>
        <v/>
      </c>
      <c r="P1311" s="34" t="str">
        <f t="shared" si="310"/>
        <v/>
      </c>
      <c r="Q1311" s="34" t="str">
        <f t="shared" si="311"/>
        <v/>
      </c>
      <c r="R1311" s="34" t="str">
        <f t="shared" si="312"/>
        <v/>
      </c>
      <c r="S1311" s="34" t="str">
        <f t="shared" si="313"/>
        <v/>
      </c>
    </row>
    <row r="1312" spans="12:19" x14ac:dyDescent="0.3">
      <c r="L1312" s="34" t="str">
        <f t="shared" ref="L1312" si="316">RIGHT(A1312,5)</f>
        <v/>
      </c>
      <c r="M1312" s="34" t="str">
        <f t="shared" si="307"/>
        <v/>
      </c>
      <c r="N1312" s="34" t="str">
        <f t="shared" si="308"/>
        <v/>
      </c>
      <c r="O1312" s="34" t="str">
        <f t="shared" si="309"/>
        <v/>
      </c>
      <c r="P1312" s="34" t="str">
        <f t="shared" si="310"/>
        <v/>
      </c>
      <c r="Q1312" s="34" t="str">
        <f t="shared" si="311"/>
        <v/>
      </c>
      <c r="R1312" s="34" t="str">
        <f t="shared" si="312"/>
        <v/>
      </c>
      <c r="S1312" s="34" t="str">
        <f t="shared" si="313"/>
        <v/>
      </c>
    </row>
    <row r="1313" spans="12:19" x14ac:dyDescent="0.3">
      <c r="L1313" s="34" t="str">
        <f t="shared" ref="L1313" si="317">L1312</f>
        <v/>
      </c>
      <c r="M1313" s="34" t="str">
        <f t="shared" si="307"/>
        <v/>
      </c>
      <c r="N1313" s="34" t="str">
        <f t="shared" si="308"/>
        <v/>
      </c>
      <c r="O1313" s="34" t="str">
        <f t="shared" si="309"/>
        <v/>
      </c>
      <c r="P1313" s="34" t="str">
        <f t="shared" si="310"/>
        <v/>
      </c>
      <c r="Q1313" s="34" t="str">
        <f t="shared" si="311"/>
        <v/>
      </c>
      <c r="R1313" s="34" t="str">
        <f t="shared" si="312"/>
        <v/>
      </c>
      <c r="S1313" s="34" t="str">
        <f t="shared" si="313"/>
        <v/>
      </c>
    </row>
    <row r="1314" spans="12:19" x14ac:dyDescent="0.3">
      <c r="L1314" s="34" t="str">
        <f t="shared" si="315"/>
        <v/>
      </c>
      <c r="M1314" s="34" t="str">
        <f t="shared" si="307"/>
        <v/>
      </c>
      <c r="N1314" s="34" t="str">
        <f t="shared" si="308"/>
        <v/>
      </c>
      <c r="O1314" s="34" t="str">
        <f t="shared" si="309"/>
        <v/>
      </c>
      <c r="P1314" s="34" t="str">
        <f t="shared" si="310"/>
        <v/>
      </c>
      <c r="Q1314" s="34" t="str">
        <f t="shared" si="311"/>
        <v/>
      </c>
      <c r="R1314" s="34" t="str">
        <f t="shared" si="312"/>
        <v/>
      </c>
      <c r="S1314" s="34" t="str">
        <f t="shared" si="313"/>
        <v/>
      </c>
    </row>
    <row r="1315" spans="12:19" x14ac:dyDescent="0.3">
      <c r="L1315" s="34" t="str">
        <f t="shared" si="315"/>
        <v/>
      </c>
      <c r="M1315" s="34" t="str">
        <f t="shared" si="307"/>
        <v/>
      </c>
      <c r="N1315" s="34" t="str">
        <f t="shared" si="308"/>
        <v/>
      </c>
      <c r="O1315" s="34" t="str">
        <f t="shared" si="309"/>
        <v/>
      </c>
      <c r="P1315" s="34" t="str">
        <f t="shared" si="310"/>
        <v/>
      </c>
      <c r="Q1315" s="34" t="str">
        <f t="shared" si="311"/>
        <v/>
      </c>
      <c r="R1315" s="34" t="str">
        <f t="shared" si="312"/>
        <v/>
      </c>
      <c r="S1315" s="34" t="str">
        <f t="shared" si="313"/>
        <v/>
      </c>
    </row>
    <row r="1316" spans="12:19" x14ac:dyDescent="0.3">
      <c r="L1316" s="34" t="str">
        <f t="shared" si="315"/>
        <v/>
      </c>
      <c r="M1316" s="34" t="str">
        <f t="shared" si="307"/>
        <v/>
      </c>
      <c r="N1316" s="34" t="str">
        <f t="shared" si="308"/>
        <v/>
      </c>
      <c r="O1316" s="34" t="str">
        <f t="shared" si="309"/>
        <v/>
      </c>
      <c r="P1316" s="34" t="str">
        <f t="shared" si="310"/>
        <v/>
      </c>
      <c r="Q1316" s="34" t="str">
        <f t="shared" si="311"/>
        <v/>
      </c>
      <c r="R1316" s="34" t="str">
        <f t="shared" si="312"/>
        <v/>
      </c>
      <c r="S1316" s="34" t="str">
        <f t="shared" si="313"/>
        <v/>
      </c>
    </row>
    <row r="1317" spans="12:19" x14ac:dyDescent="0.3">
      <c r="L1317" s="34" t="str">
        <f t="shared" si="315"/>
        <v/>
      </c>
      <c r="M1317" s="34" t="str">
        <f t="shared" si="307"/>
        <v/>
      </c>
      <c r="N1317" s="34" t="str">
        <f t="shared" si="308"/>
        <v/>
      </c>
      <c r="O1317" s="34" t="str">
        <f t="shared" si="309"/>
        <v/>
      </c>
      <c r="P1317" s="34" t="str">
        <f t="shared" si="310"/>
        <v/>
      </c>
      <c r="Q1317" s="34" t="str">
        <f t="shared" si="311"/>
        <v/>
      </c>
      <c r="R1317" s="34" t="str">
        <f t="shared" si="312"/>
        <v/>
      </c>
      <c r="S1317" s="34" t="str">
        <f t="shared" si="313"/>
        <v/>
      </c>
    </row>
    <row r="1318" spans="12:19" x14ac:dyDescent="0.3">
      <c r="L1318" s="34" t="str">
        <f t="shared" si="315"/>
        <v/>
      </c>
      <c r="M1318" s="34" t="str">
        <f t="shared" si="307"/>
        <v/>
      </c>
      <c r="N1318" s="34" t="str">
        <f t="shared" si="308"/>
        <v/>
      </c>
      <c r="O1318" s="34" t="str">
        <f t="shared" si="309"/>
        <v/>
      </c>
      <c r="P1318" s="34" t="str">
        <f t="shared" si="310"/>
        <v/>
      </c>
      <c r="Q1318" s="34" t="str">
        <f t="shared" si="311"/>
        <v/>
      </c>
      <c r="R1318" s="34" t="str">
        <f t="shared" si="312"/>
        <v/>
      </c>
      <c r="S1318" s="34" t="str">
        <f t="shared" si="313"/>
        <v/>
      </c>
    </row>
    <row r="1319" spans="12:19" x14ac:dyDescent="0.3">
      <c r="L1319" s="34" t="str">
        <f t="shared" si="315"/>
        <v/>
      </c>
      <c r="M1319" s="34" t="str">
        <f t="shared" si="307"/>
        <v/>
      </c>
      <c r="N1319" s="34" t="str">
        <f t="shared" si="308"/>
        <v/>
      </c>
      <c r="O1319" s="34" t="str">
        <f t="shared" si="309"/>
        <v/>
      </c>
      <c r="P1319" s="34" t="str">
        <f t="shared" si="310"/>
        <v/>
      </c>
      <c r="Q1319" s="34" t="str">
        <f t="shared" si="311"/>
        <v/>
      </c>
      <c r="R1319" s="34" t="str">
        <f t="shared" si="312"/>
        <v/>
      </c>
      <c r="S1319" s="34" t="str">
        <f t="shared" si="313"/>
        <v/>
      </c>
    </row>
    <row r="1320" spans="12:19" x14ac:dyDescent="0.3">
      <c r="L1320" s="34" t="str">
        <f t="shared" si="315"/>
        <v/>
      </c>
      <c r="M1320" s="34" t="str">
        <f t="shared" si="307"/>
        <v/>
      </c>
      <c r="N1320" s="34" t="str">
        <f t="shared" si="308"/>
        <v/>
      </c>
      <c r="O1320" s="34" t="str">
        <f t="shared" si="309"/>
        <v/>
      </c>
      <c r="P1320" s="34" t="str">
        <f t="shared" si="310"/>
        <v/>
      </c>
      <c r="Q1320" s="34" t="str">
        <f t="shared" si="311"/>
        <v/>
      </c>
      <c r="R1320" s="34" t="str">
        <f t="shared" si="312"/>
        <v/>
      </c>
      <c r="S1320" s="34" t="str">
        <f t="shared" si="313"/>
        <v/>
      </c>
    </row>
    <row r="1321" spans="12:19" x14ac:dyDescent="0.3">
      <c r="L1321" s="34" t="str">
        <f t="shared" si="315"/>
        <v/>
      </c>
      <c r="M1321" s="34" t="str">
        <f t="shared" si="307"/>
        <v/>
      </c>
      <c r="N1321" s="34" t="str">
        <f t="shared" si="308"/>
        <v/>
      </c>
      <c r="O1321" s="34" t="str">
        <f t="shared" si="309"/>
        <v/>
      </c>
      <c r="P1321" s="34" t="str">
        <f t="shared" si="310"/>
        <v/>
      </c>
      <c r="Q1321" s="34" t="str">
        <f t="shared" si="311"/>
        <v/>
      </c>
      <c r="R1321" s="34" t="str">
        <f t="shared" si="312"/>
        <v/>
      </c>
      <c r="S1321" s="34" t="str">
        <f t="shared" si="313"/>
        <v/>
      </c>
    </row>
    <row r="1322" spans="12:19" x14ac:dyDescent="0.3">
      <c r="L1322" s="34" t="str">
        <f t="shared" si="315"/>
        <v/>
      </c>
      <c r="M1322" s="34" t="str">
        <f t="shared" si="307"/>
        <v/>
      </c>
      <c r="N1322" s="34" t="str">
        <f t="shared" si="308"/>
        <v/>
      </c>
      <c r="O1322" s="34" t="str">
        <f t="shared" si="309"/>
        <v/>
      </c>
      <c r="P1322" s="34" t="str">
        <f t="shared" si="310"/>
        <v/>
      </c>
      <c r="Q1322" s="34" t="str">
        <f t="shared" si="311"/>
        <v/>
      </c>
      <c r="R1322" s="34" t="str">
        <f t="shared" si="312"/>
        <v/>
      </c>
      <c r="S1322" s="34" t="str">
        <f t="shared" si="313"/>
        <v/>
      </c>
    </row>
    <row r="1323" spans="12:19" x14ac:dyDescent="0.3">
      <c r="L1323" s="34" t="str">
        <f t="shared" si="315"/>
        <v/>
      </c>
      <c r="M1323" s="34" t="str">
        <f t="shared" si="307"/>
        <v/>
      </c>
      <c r="N1323" s="34" t="str">
        <f t="shared" si="308"/>
        <v/>
      </c>
      <c r="O1323" s="34" t="str">
        <f t="shared" si="309"/>
        <v/>
      </c>
      <c r="P1323" s="34" t="str">
        <f t="shared" si="310"/>
        <v/>
      </c>
      <c r="Q1323" s="34" t="str">
        <f t="shared" si="311"/>
        <v/>
      </c>
      <c r="R1323" s="34" t="str">
        <f t="shared" si="312"/>
        <v/>
      </c>
      <c r="S1323" s="34" t="str">
        <f t="shared" si="313"/>
        <v/>
      </c>
    </row>
    <row r="1324" spans="12:19" x14ac:dyDescent="0.3">
      <c r="L1324" s="34" t="str">
        <f t="shared" si="315"/>
        <v/>
      </c>
      <c r="M1324" s="34" t="str">
        <f t="shared" si="307"/>
        <v/>
      </c>
      <c r="N1324" s="34" t="str">
        <f t="shared" si="308"/>
        <v/>
      </c>
      <c r="O1324" s="34" t="str">
        <f t="shared" si="309"/>
        <v/>
      </c>
      <c r="P1324" s="34" t="str">
        <f t="shared" si="310"/>
        <v/>
      </c>
      <c r="Q1324" s="34" t="str">
        <f t="shared" si="311"/>
        <v/>
      </c>
      <c r="R1324" s="34" t="str">
        <f t="shared" si="312"/>
        <v/>
      </c>
      <c r="S1324" s="34" t="str">
        <f t="shared" si="313"/>
        <v/>
      </c>
    </row>
    <row r="1325" spans="12:19" x14ac:dyDescent="0.3">
      <c r="L1325" s="34" t="str">
        <f t="shared" si="315"/>
        <v/>
      </c>
      <c r="M1325" s="34" t="str">
        <f t="shared" si="307"/>
        <v/>
      </c>
      <c r="N1325" s="34" t="str">
        <f t="shared" si="308"/>
        <v/>
      </c>
      <c r="O1325" s="34" t="str">
        <f t="shared" si="309"/>
        <v/>
      </c>
      <c r="P1325" s="34" t="str">
        <f t="shared" si="310"/>
        <v/>
      </c>
      <c r="Q1325" s="34" t="str">
        <f t="shared" si="311"/>
        <v/>
      </c>
      <c r="R1325" s="34" t="str">
        <f t="shared" si="312"/>
        <v/>
      </c>
      <c r="S1325" s="34" t="str">
        <f t="shared" si="313"/>
        <v/>
      </c>
    </row>
    <row r="1326" spans="12:19" x14ac:dyDescent="0.3">
      <c r="L1326" s="34" t="str">
        <f t="shared" si="315"/>
        <v/>
      </c>
      <c r="M1326" s="34" t="str">
        <f t="shared" si="307"/>
        <v/>
      </c>
      <c r="N1326" s="34" t="str">
        <f t="shared" si="308"/>
        <v/>
      </c>
      <c r="O1326" s="34" t="str">
        <f t="shared" si="309"/>
        <v/>
      </c>
      <c r="P1326" s="34" t="str">
        <f t="shared" si="310"/>
        <v/>
      </c>
      <c r="Q1326" s="34" t="str">
        <f t="shared" si="311"/>
        <v/>
      </c>
      <c r="R1326" s="34" t="str">
        <f t="shared" si="312"/>
        <v/>
      </c>
      <c r="S1326" s="34" t="str">
        <f t="shared" si="313"/>
        <v/>
      </c>
    </row>
    <row r="1327" spans="12:19" x14ac:dyDescent="0.3">
      <c r="M1327" s="34" t="str">
        <f t="shared" si="307"/>
        <v/>
      </c>
      <c r="N1327" s="34" t="str">
        <f t="shared" si="308"/>
        <v/>
      </c>
      <c r="O1327" s="34" t="str">
        <f t="shared" si="309"/>
        <v/>
      </c>
      <c r="P1327" s="34" t="str">
        <f t="shared" si="310"/>
        <v/>
      </c>
      <c r="Q1327" s="34" t="str">
        <f t="shared" si="311"/>
        <v/>
      </c>
      <c r="R1327" s="34" t="str">
        <f t="shared" si="312"/>
        <v/>
      </c>
      <c r="S1327" s="34" t="str">
        <f t="shared" si="313"/>
        <v/>
      </c>
    </row>
    <row r="1328" spans="12:19" x14ac:dyDescent="0.3">
      <c r="M1328" s="34" t="str">
        <f t="shared" si="307"/>
        <v/>
      </c>
      <c r="N1328" s="34" t="str">
        <f t="shared" si="308"/>
        <v/>
      </c>
      <c r="O1328" s="34" t="str">
        <f t="shared" si="309"/>
        <v/>
      </c>
      <c r="P1328" s="34" t="str">
        <f t="shared" si="310"/>
        <v/>
      </c>
      <c r="Q1328" s="34" t="str">
        <f t="shared" si="311"/>
        <v/>
      </c>
      <c r="R1328" s="34" t="str">
        <f t="shared" si="312"/>
        <v/>
      </c>
      <c r="S1328" s="34" t="str">
        <f t="shared" si="313"/>
        <v/>
      </c>
    </row>
    <row r="1329" spans="12:19" x14ac:dyDescent="0.3">
      <c r="L1329" s="34" t="str">
        <f t="shared" ref="L1329" si="318">RIGHT(A1329,5)</f>
        <v/>
      </c>
      <c r="M1329" s="34" t="str">
        <f t="shared" si="307"/>
        <v/>
      </c>
      <c r="N1329" s="34" t="str">
        <f t="shared" si="308"/>
        <v/>
      </c>
      <c r="O1329" s="34" t="str">
        <f t="shared" si="309"/>
        <v/>
      </c>
      <c r="P1329" s="34" t="str">
        <f t="shared" si="310"/>
        <v/>
      </c>
      <c r="Q1329" s="34" t="str">
        <f t="shared" si="311"/>
        <v/>
      </c>
      <c r="R1329" s="34" t="str">
        <f t="shared" si="312"/>
        <v/>
      </c>
      <c r="S1329" s="34" t="str">
        <f t="shared" si="313"/>
        <v/>
      </c>
    </row>
    <row r="1330" spans="12:19" x14ac:dyDescent="0.3">
      <c r="L1330" s="34" t="str">
        <f t="shared" ref="L1330" si="319">L1329</f>
        <v/>
      </c>
      <c r="M1330" s="34" t="str">
        <f t="shared" si="307"/>
        <v/>
      </c>
      <c r="N1330" s="34" t="str">
        <f t="shared" si="308"/>
        <v/>
      </c>
      <c r="O1330" s="34" t="str">
        <f t="shared" si="309"/>
        <v/>
      </c>
      <c r="P1330" s="34" t="str">
        <f t="shared" si="310"/>
        <v/>
      </c>
      <c r="Q1330" s="34" t="str">
        <f t="shared" si="311"/>
        <v/>
      </c>
      <c r="R1330" s="34" t="str">
        <f t="shared" si="312"/>
        <v/>
      </c>
      <c r="S1330" s="34" t="str">
        <f t="shared" si="313"/>
        <v/>
      </c>
    </row>
    <row r="1331" spans="12:19" x14ac:dyDescent="0.3">
      <c r="L1331" s="34" t="str">
        <f t="shared" si="315"/>
        <v/>
      </c>
      <c r="M1331" s="34" t="str">
        <f t="shared" si="307"/>
        <v/>
      </c>
      <c r="N1331" s="34" t="str">
        <f t="shared" si="308"/>
        <v/>
      </c>
      <c r="O1331" s="34" t="str">
        <f t="shared" si="309"/>
        <v/>
      </c>
      <c r="P1331" s="34" t="str">
        <f t="shared" si="310"/>
        <v/>
      </c>
      <c r="Q1331" s="34" t="str">
        <f t="shared" si="311"/>
        <v/>
      </c>
      <c r="R1331" s="34" t="str">
        <f t="shared" si="312"/>
        <v/>
      </c>
      <c r="S1331" s="34" t="str">
        <f t="shared" si="313"/>
        <v/>
      </c>
    </row>
    <row r="1332" spans="12:19" x14ac:dyDescent="0.3">
      <c r="L1332" s="34" t="str">
        <f t="shared" si="315"/>
        <v/>
      </c>
      <c r="M1332" s="34" t="str">
        <f t="shared" si="307"/>
        <v/>
      </c>
      <c r="N1332" s="34" t="str">
        <f t="shared" si="308"/>
        <v/>
      </c>
      <c r="O1332" s="34" t="str">
        <f t="shared" si="309"/>
        <v/>
      </c>
      <c r="P1332" s="34" t="str">
        <f t="shared" si="310"/>
        <v/>
      </c>
      <c r="Q1332" s="34" t="str">
        <f t="shared" si="311"/>
        <v/>
      </c>
      <c r="R1332" s="34" t="str">
        <f t="shared" si="312"/>
        <v/>
      </c>
      <c r="S1332" s="34" t="str">
        <f t="shared" si="313"/>
        <v/>
      </c>
    </row>
    <row r="1333" spans="12:19" x14ac:dyDescent="0.3">
      <c r="L1333" s="34" t="str">
        <f t="shared" si="315"/>
        <v/>
      </c>
      <c r="M1333" s="34" t="str">
        <f t="shared" si="307"/>
        <v/>
      </c>
      <c r="N1333" s="34" t="str">
        <f t="shared" si="308"/>
        <v/>
      </c>
      <c r="O1333" s="34" t="str">
        <f t="shared" si="309"/>
        <v/>
      </c>
      <c r="P1333" s="34" t="str">
        <f t="shared" si="310"/>
        <v/>
      </c>
      <c r="Q1333" s="34" t="str">
        <f t="shared" si="311"/>
        <v/>
      </c>
      <c r="R1333" s="34" t="str">
        <f t="shared" si="312"/>
        <v/>
      </c>
      <c r="S1333" s="34" t="str">
        <f t="shared" si="313"/>
        <v/>
      </c>
    </row>
    <row r="1334" spans="12:19" x14ac:dyDescent="0.3">
      <c r="L1334" s="34" t="str">
        <f t="shared" si="315"/>
        <v/>
      </c>
      <c r="M1334" s="34" t="str">
        <f t="shared" si="307"/>
        <v/>
      </c>
      <c r="N1334" s="34" t="str">
        <f t="shared" si="308"/>
        <v/>
      </c>
      <c r="O1334" s="34" t="str">
        <f t="shared" si="309"/>
        <v/>
      </c>
      <c r="P1334" s="34" t="str">
        <f t="shared" si="310"/>
        <v/>
      </c>
      <c r="Q1334" s="34" t="str">
        <f t="shared" si="311"/>
        <v/>
      </c>
      <c r="R1334" s="34" t="str">
        <f t="shared" si="312"/>
        <v/>
      </c>
      <c r="S1334" s="34" t="str">
        <f t="shared" si="313"/>
        <v/>
      </c>
    </row>
    <row r="1335" spans="12:19" x14ac:dyDescent="0.3">
      <c r="L1335" s="34" t="str">
        <f t="shared" si="315"/>
        <v/>
      </c>
      <c r="M1335" s="34" t="str">
        <f t="shared" si="307"/>
        <v/>
      </c>
      <c r="N1335" s="34" t="str">
        <f t="shared" si="308"/>
        <v/>
      </c>
      <c r="O1335" s="34" t="str">
        <f t="shared" si="309"/>
        <v/>
      </c>
      <c r="P1335" s="34" t="str">
        <f t="shared" si="310"/>
        <v/>
      </c>
      <c r="Q1335" s="34" t="str">
        <f t="shared" si="311"/>
        <v/>
      </c>
      <c r="R1335" s="34" t="str">
        <f t="shared" si="312"/>
        <v/>
      </c>
      <c r="S1335" s="34" t="str">
        <f t="shared" si="313"/>
        <v/>
      </c>
    </row>
    <row r="1336" spans="12:19" x14ac:dyDescent="0.3">
      <c r="L1336" s="34" t="str">
        <f t="shared" si="315"/>
        <v/>
      </c>
      <c r="M1336" s="34" t="str">
        <f t="shared" si="307"/>
        <v/>
      </c>
      <c r="N1336" s="34" t="str">
        <f t="shared" si="308"/>
        <v/>
      </c>
      <c r="O1336" s="34" t="str">
        <f t="shared" si="309"/>
        <v/>
      </c>
      <c r="P1336" s="34" t="str">
        <f t="shared" si="310"/>
        <v/>
      </c>
      <c r="Q1336" s="34" t="str">
        <f t="shared" si="311"/>
        <v/>
      </c>
      <c r="R1336" s="34" t="str">
        <f t="shared" si="312"/>
        <v/>
      </c>
      <c r="S1336" s="34" t="str">
        <f t="shared" si="313"/>
        <v/>
      </c>
    </row>
    <row r="1337" spans="12:19" x14ac:dyDescent="0.3">
      <c r="L1337" s="34" t="str">
        <f t="shared" si="315"/>
        <v/>
      </c>
      <c r="M1337" s="34" t="str">
        <f t="shared" si="307"/>
        <v/>
      </c>
      <c r="N1337" s="34" t="str">
        <f t="shared" si="308"/>
        <v/>
      </c>
      <c r="O1337" s="34" t="str">
        <f t="shared" si="309"/>
        <v/>
      </c>
      <c r="P1337" s="34" t="str">
        <f t="shared" si="310"/>
        <v/>
      </c>
      <c r="Q1337" s="34" t="str">
        <f t="shared" si="311"/>
        <v/>
      </c>
      <c r="R1337" s="34" t="str">
        <f t="shared" si="312"/>
        <v/>
      </c>
      <c r="S1337" s="34" t="str">
        <f t="shared" si="313"/>
        <v/>
      </c>
    </row>
    <row r="1338" spans="12:19" x14ac:dyDescent="0.3">
      <c r="L1338" s="34" t="str">
        <f t="shared" si="315"/>
        <v/>
      </c>
      <c r="M1338" s="34" t="str">
        <f t="shared" si="307"/>
        <v/>
      </c>
      <c r="N1338" s="34" t="str">
        <f t="shared" si="308"/>
        <v/>
      </c>
      <c r="O1338" s="34" t="str">
        <f t="shared" si="309"/>
        <v/>
      </c>
      <c r="P1338" s="34" t="str">
        <f t="shared" si="310"/>
        <v/>
      </c>
      <c r="Q1338" s="34" t="str">
        <f t="shared" si="311"/>
        <v/>
      </c>
      <c r="R1338" s="34" t="str">
        <f t="shared" si="312"/>
        <v/>
      </c>
      <c r="S1338" s="34" t="str">
        <f t="shared" si="313"/>
        <v/>
      </c>
    </row>
    <row r="1339" spans="12:19" x14ac:dyDescent="0.3">
      <c r="L1339" s="34" t="str">
        <f t="shared" si="315"/>
        <v/>
      </c>
      <c r="M1339" s="34" t="str">
        <f t="shared" si="307"/>
        <v/>
      </c>
      <c r="N1339" s="34" t="str">
        <f t="shared" si="308"/>
        <v/>
      </c>
      <c r="O1339" s="34" t="str">
        <f t="shared" si="309"/>
        <v/>
      </c>
      <c r="P1339" s="34" t="str">
        <f t="shared" si="310"/>
        <v/>
      </c>
      <c r="Q1339" s="34" t="str">
        <f t="shared" si="311"/>
        <v/>
      </c>
      <c r="R1339" s="34" t="str">
        <f t="shared" si="312"/>
        <v/>
      </c>
      <c r="S1339" s="34" t="str">
        <f t="shared" si="313"/>
        <v/>
      </c>
    </row>
    <row r="1340" spans="12:19" x14ac:dyDescent="0.3">
      <c r="L1340" s="34" t="str">
        <f t="shared" si="315"/>
        <v/>
      </c>
      <c r="M1340" s="34" t="str">
        <f t="shared" si="307"/>
        <v/>
      </c>
      <c r="N1340" s="34" t="str">
        <f t="shared" si="308"/>
        <v/>
      </c>
      <c r="O1340" s="34" t="str">
        <f t="shared" si="309"/>
        <v/>
      </c>
      <c r="P1340" s="34" t="str">
        <f t="shared" si="310"/>
        <v/>
      </c>
      <c r="Q1340" s="34" t="str">
        <f t="shared" si="311"/>
        <v/>
      </c>
      <c r="R1340" s="34" t="str">
        <f t="shared" si="312"/>
        <v/>
      </c>
      <c r="S1340" s="34" t="str">
        <f t="shared" si="313"/>
        <v/>
      </c>
    </row>
    <row r="1341" spans="12:19" x14ac:dyDescent="0.3">
      <c r="L1341" s="34" t="str">
        <f t="shared" si="315"/>
        <v/>
      </c>
      <c r="M1341" s="34" t="str">
        <f t="shared" si="307"/>
        <v/>
      </c>
      <c r="N1341" s="34" t="str">
        <f t="shared" si="308"/>
        <v/>
      </c>
      <c r="O1341" s="34" t="str">
        <f t="shared" si="309"/>
        <v/>
      </c>
      <c r="P1341" s="34" t="str">
        <f t="shared" si="310"/>
        <v/>
      </c>
      <c r="Q1341" s="34" t="str">
        <f t="shared" si="311"/>
        <v/>
      </c>
      <c r="R1341" s="34" t="str">
        <f t="shared" si="312"/>
        <v/>
      </c>
      <c r="S1341" s="34" t="str">
        <f t="shared" si="313"/>
        <v/>
      </c>
    </row>
    <row r="1342" spans="12:19" x14ac:dyDescent="0.3">
      <c r="L1342" s="34" t="str">
        <f t="shared" si="315"/>
        <v/>
      </c>
      <c r="M1342" s="34" t="str">
        <f t="shared" si="307"/>
        <v/>
      </c>
      <c r="N1342" s="34" t="str">
        <f t="shared" si="308"/>
        <v/>
      </c>
      <c r="O1342" s="34" t="str">
        <f t="shared" si="309"/>
        <v/>
      </c>
      <c r="P1342" s="34" t="str">
        <f t="shared" si="310"/>
        <v/>
      </c>
      <c r="Q1342" s="34" t="str">
        <f t="shared" si="311"/>
        <v/>
      </c>
      <c r="R1342" s="34" t="str">
        <f t="shared" si="312"/>
        <v/>
      </c>
      <c r="S1342" s="34" t="str">
        <f t="shared" si="313"/>
        <v/>
      </c>
    </row>
    <row r="1343" spans="12:19" x14ac:dyDescent="0.3">
      <c r="L1343" s="34" t="str">
        <f t="shared" si="315"/>
        <v/>
      </c>
      <c r="M1343" s="34" t="str">
        <f t="shared" si="307"/>
        <v/>
      </c>
      <c r="N1343" s="34" t="str">
        <f t="shared" si="308"/>
        <v/>
      </c>
      <c r="O1343" s="34" t="str">
        <f t="shared" si="309"/>
        <v/>
      </c>
      <c r="P1343" s="34" t="str">
        <f t="shared" si="310"/>
        <v/>
      </c>
      <c r="Q1343" s="34" t="str">
        <f t="shared" si="311"/>
        <v/>
      </c>
      <c r="R1343" s="34" t="str">
        <f t="shared" si="312"/>
        <v/>
      </c>
      <c r="S1343" s="34" t="str">
        <f t="shared" si="313"/>
        <v/>
      </c>
    </row>
    <row r="1344" spans="12:19" x14ac:dyDescent="0.3">
      <c r="M1344" s="34" t="str">
        <f t="shared" si="307"/>
        <v/>
      </c>
      <c r="N1344" s="34" t="str">
        <f t="shared" si="308"/>
        <v/>
      </c>
      <c r="O1344" s="34" t="str">
        <f t="shared" si="309"/>
        <v/>
      </c>
      <c r="P1344" s="34" t="str">
        <f t="shared" si="310"/>
        <v/>
      </c>
      <c r="Q1344" s="34" t="str">
        <f t="shared" si="311"/>
        <v/>
      </c>
      <c r="R1344" s="34" t="str">
        <f t="shared" si="312"/>
        <v/>
      </c>
      <c r="S1344" s="34" t="str">
        <f t="shared" si="313"/>
        <v/>
      </c>
    </row>
    <row r="1345" spans="12:19" x14ac:dyDescent="0.3">
      <c r="M1345" s="34" t="str">
        <f t="shared" si="307"/>
        <v/>
      </c>
      <c r="N1345" s="34" t="str">
        <f t="shared" si="308"/>
        <v/>
      </c>
      <c r="O1345" s="34" t="str">
        <f t="shared" si="309"/>
        <v/>
      </c>
      <c r="P1345" s="34" t="str">
        <f t="shared" si="310"/>
        <v/>
      </c>
      <c r="Q1345" s="34" t="str">
        <f t="shared" si="311"/>
        <v/>
      </c>
      <c r="R1345" s="34" t="str">
        <f t="shared" si="312"/>
        <v/>
      </c>
      <c r="S1345" s="34" t="str">
        <f t="shared" si="313"/>
        <v/>
      </c>
    </row>
    <row r="1346" spans="12:19" x14ac:dyDescent="0.3">
      <c r="L1346" s="34" t="str">
        <f t="shared" ref="L1346" si="320">RIGHT(A1346,5)</f>
        <v/>
      </c>
      <c r="M1346" s="34" t="str">
        <f t="shared" si="307"/>
        <v/>
      </c>
      <c r="N1346" s="34" t="str">
        <f t="shared" si="308"/>
        <v/>
      </c>
      <c r="O1346" s="34" t="str">
        <f t="shared" si="309"/>
        <v/>
      </c>
      <c r="P1346" s="34" t="str">
        <f t="shared" si="310"/>
        <v/>
      </c>
      <c r="Q1346" s="34" t="str">
        <f t="shared" si="311"/>
        <v/>
      </c>
      <c r="R1346" s="34" t="str">
        <f t="shared" si="312"/>
        <v/>
      </c>
      <c r="S1346" s="34" t="str">
        <f t="shared" si="313"/>
        <v/>
      </c>
    </row>
    <row r="1347" spans="12:19" x14ac:dyDescent="0.3">
      <c r="L1347" s="34" t="str">
        <f t="shared" ref="L1347" si="321">L1346</f>
        <v/>
      </c>
      <c r="M1347" s="34" t="str">
        <f t="shared" si="307"/>
        <v/>
      </c>
      <c r="N1347" s="34" t="str">
        <f t="shared" si="308"/>
        <v/>
      </c>
      <c r="O1347" s="34" t="str">
        <f t="shared" si="309"/>
        <v/>
      </c>
      <c r="P1347" s="34" t="str">
        <f t="shared" si="310"/>
        <v/>
      </c>
      <c r="Q1347" s="34" t="str">
        <f t="shared" si="311"/>
        <v/>
      </c>
      <c r="R1347" s="34" t="str">
        <f t="shared" si="312"/>
        <v/>
      </c>
      <c r="S1347" s="34" t="str">
        <f t="shared" si="313"/>
        <v/>
      </c>
    </row>
    <row r="1348" spans="12:19" x14ac:dyDescent="0.3">
      <c r="L1348" s="34" t="str">
        <f t="shared" si="315"/>
        <v/>
      </c>
      <c r="M1348" s="34" t="str">
        <f t="shared" si="307"/>
        <v/>
      </c>
      <c r="N1348" s="34" t="str">
        <f t="shared" si="308"/>
        <v/>
      </c>
      <c r="O1348" s="34" t="str">
        <f t="shared" si="309"/>
        <v/>
      </c>
      <c r="P1348" s="34" t="str">
        <f t="shared" si="310"/>
        <v/>
      </c>
      <c r="Q1348" s="34" t="str">
        <f t="shared" si="311"/>
        <v/>
      </c>
      <c r="R1348" s="34" t="str">
        <f t="shared" si="312"/>
        <v/>
      </c>
      <c r="S1348" s="34" t="str">
        <f t="shared" si="313"/>
        <v/>
      </c>
    </row>
    <row r="1349" spans="12:19" x14ac:dyDescent="0.3">
      <c r="L1349" s="34" t="str">
        <f t="shared" si="315"/>
        <v/>
      </c>
      <c r="M1349" s="34" t="str">
        <f t="shared" ref="M1349:M1412" si="322">IF(AND(L1349="s.csv",A1349=1),ABS(1000/12/D1349),"")</f>
        <v/>
      </c>
      <c r="N1349" s="34" t="str">
        <f t="shared" si="308"/>
        <v/>
      </c>
      <c r="O1349" s="34" t="str">
        <f t="shared" si="309"/>
        <v/>
      </c>
      <c r="P1349" s="34" t="str">
        <f t="shared" si="310"/>
        <v/>
      </c>
      <c r="Q1349" s="34" t="str">
        <f t="shared" si="311"/>
        <v/>
      </c>
      <c r="R1349" s="34" t="str">
        <f t="shared" si="312"/>
        <v/>
      </c>
      <c r="S1349" s="34" t="str">
        <f t="shared" si="313"/>
        <v/>
      </c>
    </row>
    <row r="1350" spans="12:19" x14ac:dyDescent="0.3">
      <c r="M1350" s="34" t="str">
        <f t="shared" si="322"/>
        <v/>
      </c>
      <c r="N1350" s="34" t="str">
        <f t="shared" si="308"/>
        <v/>
      </c>
      <c r="O1350" s="34" t="str">
        <f t="shared" si="309"/>
        <v/>
      </c>
      <c r="P1350" s="34" t="str">
        <f t="shared" si="310"/>
        <v/>
      </c>
      <c r="Q1350" s="34" t="str">
        <f t="shared" si="311"/>
        <v/>
      </c>
      <c r="R1350" s="34" t="str">
        <f t="shared" si="312"/>
        <v/>
      </c>
      <c r="S1350" s="34" t="str">
        <f t="shared" si="313"/>
        <v/>
      </c>
    </row>
    <row r="1351" spans="12:19" x14ac:dyDescent="0.3">
      <c r="M1351" s="34" t="str">
        <f t="shared" si="322"/>
        <v/>
      </c>
      <c r="N1351" s="34" t="str">
        <f t="shared" si="308"/>
        <v/>
      </c>
      <c r="O1351" s="34" t="str">
        <f t="shared" si="309"/>
        <v/>
      </c>
      <c r="P1351" s="34" t="str">
        <f t="shared" si="310"/>
        <v/>
      </c>
      <c r="Q1351" s="34" t="str">
        <f t="shared" si="311"/>
        <v/>
      </c>
      <c r="R1351" s="34" t="str">
        <f t="shared" si="312"/>
        <v/>
      </c>
      <c r="S1351" s="34" t="str">
        <f t="shared" si="313"/>
        <v/>
      </c>
    </row>
    <row r="1352" spans="12:19" x14ac:dyDescent="0.3">
      <c r="M1352" s="34" t="str">
        <f t="shared" si="322"/>
        <v/>
      </c>
      <c r="N1352" s="34" t="str">
        <f t="shared" si="308"/>
        <v/>
      </c>
      <c r="O1352" s="34" t="str">
        <f t="shared" si="309"/>
        <v/>
      </c>
      <c r="P1352" s="34" t="str">
        <f t="shared" si="310"/>
        <v/>
      </c>
      <c r="Q1352" s="34" t="str">
        <f t="shared" si="311"/>
        <v/>
      </c>
      <c r="R1352" s="34" t="str">
        <f t="shared" si="312"/>
        <v/>
      </c>
      <c r="S1352" s="34" t="str">
        <f t="shared" si="313"/>
        <v/>
      </c>
    </row>
    <row r="1353" spans="12:19" x14ac:dyDescent="0.3">
      <c r="M1353" s="34" t="str">
        <f t="shared" si="322"/>
        <v/>
      </c>
      <c r="N1353" s="34" t="str">
        <f t="shared" si="308"/>
        <v/>
      </c>
      <c r="O1353" s="34" t="str">
        <f t="shared" si="309"/>
        <v/>
      </c>
      <c r="P1353" s="34" t="str">
        <f t="shared" si="310"/>
        <v/>
      </c>
      <c r="Q1353" s="34" t="str">
        <f t="shared" si="311"/>
        <v/>
      </c>
      <c r="R1353" s="34" t="str">
        <f t="shared" si="312"/>
        <v/>
      </c>
      <c r="S1353" s="34" t="str">
        <f t="shared" si="313"/>
        <v/>
      </c>
    </row>
    <row r="1354" spans="12:19" x14ac:dyDescent="0.3">
      <c r="M1354" s="34" t="str">
        <f t="shared" si="322"/>
        <v/>
      </c>
      <c r="N1354" s="34" t="str">
        <f t="shared" si="308"/>
        <v/>
      </c>
      <c r="O1354" s="34" t="str">
        <f t="shared" si="309"/>
        <v/>
      </c>
      <c r="P1354" s="34" t="str">
        <f t="shared" si="310"/>
        <v/>
      </c>
      <c r="Q1354" s="34" t="str">
        <f t="shared" si="311"/>
        <v/>
      </c>
      <c r="R1354" s="34" t="str">
        <f t="shared" si="312"/>
        <v/>
      </c>
      <c r="S1354" s="34" t="str">
        <f t="shared" si="313"/>
        <v/>
      </c>
    </row>
    <row r="1355" spans="12:19" x14ac:dyDescent="0.3">
      <c r="M1355" s="34" t="str">
        <f t="shared" si="322"/>
        <v/>
      </c>
      <c r="N1355" s="34" t="str">
        <f t="shared" si="308"/>
        <v/>
      </c>
      <c r="O1355" s="34" t="str">
        <f t="shared" si="309"/>
        <v/>
      </c>
      <c r="P1355" s="34" t="str">
        <f t="shared" si="310"/>
        <v/>
      </c>
      <c r="Q1355" s="34" t="str">
        <f t="shared" si="311"/>
        <v/>
      </c>
      <c r="R1355" s="34" t="str">
        <f t="shared" si="312"/>
        <v/>
      </c>
      <c r="S1355" s="34" t="str">
        <f t="shared" si="313"/>
        <v/>
      </c>
    </row>
    <row r="1356" spans="12:19" x14ac:dyDescent="0.3">
      <c r="M1356" s="34" t="str">
        <f t="shared" si="322"/>
        <v/>
      </c>
      <c r="N1356" s="34" t="str">
        <f t="shared" ref="N1356:N1416" si="323">IF(AND(OR($L1356="l.csv",$L1356="g.csv"),$E1356&gt;4),F1356,"")</f>
        <v/>
      </c>
      <c r="O1356" s="34" t="str">
        <f t="shared" ref="O1356:O1416" si="324">IF(AND(OR($L1356="l.csv",$L1356="g.csv"),$E1356&gt;4),G1356,"")</f>
        <v/>
      </c>
      <c r="P1356" s="34" t="str">
        <f t="shared" ref="P1356:P1416" si="325">IF(AND(OR($L1356="l.csv",$L1356="g.csv"),$E1356&gt;4),H1356,"")</f>
        <v/>
      </c>
      <c r="Q1356" s="34" t="str">
        <f t="shared" ref="Q1356:Q1416" si="326">IF(AND(OR($L1356="l.csv",$L1356="g.csv"),$E1356&gt;4),I1356,"")</f>
        <v/>
      </c>
      <c r="R1356" s="34" t="str">
        <f t="shared" ref="R1356:R1416" si="327">IF(AND(OR($L1356="l.csv",$L1356="g.csv"),$E1356&gt;4),J1356,"")</f>
        <v/>
      </c>
      <c r="S1356" s="34" t="str">
        <f t="shared" ref="S1356:S1416" si="328">IF(AND(OR($L1356="l.csv",$L1356="g.csv"),$E1356&gt;4),K1356,"")</f>
        <v/>
      </c>
    </row>
    <row r="1357" spans="12:19" x14ac:dyDescent="0.3">
      <c r="M1357" s="34" t="str">
        <f t="shared" si="322"/>
        <v/>
      </c>
      <c r="N1357" s="34" t="str">
        <f t="shared" si="323"/>
        <v/>
      </c>
      <c r="O1357" s="34" t="str">
        <f t="shared" si="324"/>
        <v/>
      </c>
      <c r="P1357" s="34" t="str">
        <f t="shared" si="325"/>
        <v/>
      </c>
      <c r="Q1357" s="34" t="str">
        <f t="shared" si="326"/>
        <v/>
      </c>
      <c r="R1357" s="34" t="str">
        <f t="shared" si="327"/>
        <v/>
      </c>
      <c r="S1357" s="34" t="str">
        <f t="shared" si="328"/>
        <v/>
      </c>
    </row>
    <row r="1358" spans="12:19" x14ac:dyDescent="0.3">
      <c r="M1358" s="34" t="str">
        <f t="shared" si="322"/>
        <v/>
      </c>
      <c r="N1358" s="34" t="str">
        <f t="shared" si="323"/>
        <v/>
      </c>
      <c r="O1358" s="34" t="str">
        <f t="shared" si="324"/>
        <v/>
      </c>
      <c r="P1358" s="34" t="str">
        <f t="shared" si="325"/>
        <v/>
      </c>
      <c r="Q1358" s="34" t="str">
        <f t="shared" si="326"/>
        <v/>
      </c>
      <c r="R1358" s="34" t="str">
        <f t="shared" si="327"/>
        <v/>
      </c>
      <c r="S1358" s="34" t="str">
        <f t="shared" si="328"/>
        <v/>
      </c>
    </row>
    <row r="1359" spans="12:19" x14ac:dyDescent="0.3">
      <c r="M1359" s="34" t="str">
        <f t="shared" si="322"/>
        <v/>
      </c>
      <c r="N1359" s="34" t="str">
        <f t="shared" si="323"/>
        <v/>
      </c>
      <c r="O1359" s="34" t="str">
        <f t="shared" si="324"/>
        <v/>
      </c>
      <c r="P1359" s="34" t="str">
        <f t="shared" si="325"/>
        <v/>
      </c>
      <c r="Q1359" s="34" t="str">
        <f t="shared" si="326"/>
        <v/>
      </c>
      <c r="R1359" s="34" t="str">
        <f t="shared" si="327"/>
        <v/>
      </c>
      <c r="S1359" s="34" t="str">
        <f t="shared" si="328"/>
        <v/>
      </c>
    </row>
    <row r="1360" spans="12:19" x14ac:dyDescent="0.3">
      <c r="M1360" s="34" t="str">
        <f t="shared" si="322"/>
        <v/>
      </c>
      <c r="N1360" s="34" t="str">
        <f t="shared" si="323"/>
        <v/>
      </c>
      <c r="O1360" s="34" t="str">
        <f t="shared" si="324"/>
        <v/>
      </c>
      <c r="P1360" s="34" t="str">
        <f t="shared" si="325"/>
        <v/>
      </c>
      <c r="Q1360" s="34" t="str">
        <f t="shared" si="326"/>
        <v/>
      </c>
      <c r="R1360" s="34" t="str">
        <f t="shared" si="327"/>
        <v/>
      </c>
      <c r="S1360" s="34" t="str">
        <f t="shared" si="328"/>
        <v/>
      </c>
    </row>
    <row r="1361" spans="13:19" x14ac:dyDescent="0.3">
      <c r="M1361" s="34" t="str">
        <f t="shared" si="322"/>
        <v/>
      </c>
      <c r="N1361" s="34" t="str">
        <f t="shared" si="323"/>
        <v/>
      </c>
      <c r="O1361" s="34" t="str">
        <f t="shared" si="324"/>
        <v/>
      </c>
      <c r="P1361" s="34" t="str">
        <f t="shared" si="325"/>
        <v/>
      </c>
      <c r="Q1361" s="34" t="str">
        <f t="shared" si="326"/>
        <v/>
      </c>
      <c r="R1361" s="34" t="str">
        <f t="shared" si="327"/>
        <v/>
      </c>
      <c r="S1361" s="34" t="str">
        <f t="shared" si="328"/>
        <v/>
      </c>
    </row>
    <row r="1362" spans="13:19" x14ac:dyDescent="0.3">
      <c r="M1362" s="34" t="str">
        <f t="shared" si="322"/>
        <v/>
      </c>
      <c r="N1362" s="34" t="str">
        <f t="shared" si="323"/>
        <v/>
      </c>
      <c r="O1362" s="34" t="str">
        <f t="shared" si="324"/>
        <v/>
      </c>
      <c r="P1362" s="34" t="str">
        <f t="shared" si="325"/>
        <v/>
      </c>
      <c r="Q1362" s="34" t="str">
        <f t="shared" si="326"/>
        <v/>
      </c>
      <c r="R1362" s="34" t="str">
        <f t="shared" si="327"/>
        <v/>
      </c>
      <c r="S1362" s="34" t="str">
        <f t="shared" si="328"/>
        <v/>
      </c>
    </row>
    <row r="1363" spans="13:19" x14ac:dyDescent="0.3">
      <c r="M1363" s="34" t="str">
        <f t="shared" si="322"/>
        <v/>
      </c>
      <c r="N1363" s="34" t="str">
        <f t="shared" si="323"/>
        <v/>
      </c>
      <c r="O1363" s="34" t="str">
        <f t="shared" si="324"/>
        <v/>
      </c>
      <c r="P1363" s="34" t="str">
        <f t="shared" si="325"/>
        <v/>
      </c>
      <c r="Q1363" s="34" t="str">
        <f t="shared" si="326"/>
        <v/>
      </c>
      <c r="R1363" s="34" t="str">
        <f t="shared" si="327"/>
        <v/>
      </c>
      <c r="S1363" s="34" t="str">
        <f t="shared" si="328"/>
        <v/>
      </c>
    </row>
    <row r="1364" spans="13:19" x14ac:dyDescent="0.3">
      <c r="M1364" s="34" t="str">
        <f t="shared" si="322"/>
        <v/>
      </c>
      <c r="N1364" s="34" t="str">
        <f t="shared" si="323"/>
        <v/>
      </c>
      <c r="O1364" s="34" t="str">
        <f t="shared" si="324"/>
        <v/>
      </c>
      <c r="P1364" s="34" t="str">
        <f t="shared" si="325"/>
        <v/>
      </c>
      <c r="Q1364" s="34" t="str">
        <f t="shared" si="326"/>
        <v/>
      </c>
      <c r="R1364" s="34" t="str">
        <f t="shared" si="327"/>
        <v/>
      </c>
      <c r="S1364" s="34" t="str">
        <f t="shared" si="328"/>
        <v/>
      </c>
    </row>
    <row r="1365" spans="13:19" x14ac:dyDescent="0.3">
      <c r="M1365" s="34" t="str">
        <f t="shared" si="322"/>
        <v/>
      </c>
      <c r="N1365" s="34" t="str">
        <f t="shared" si="323"/>
        <v/>
      </c>
      <c r="O1365" s="34" t="str">
        <f t="shared" si="324"/>
        <v/>
      </c>
      <c r="P1365" s="34" t="str">
        <f t="shared" si="325"/>
        <v/>
      </c>
      <c r="Q1365" s="34" t="str">
        <f t="shared" si="326"/>
        <v/>
      </c>
      <c r="R1365" s="34" t="str">
        <f t="shared" si="327"/>
        <v/>
      </c>
      <c r="S1365" s="34" t="str">
        <f t="shared" si="328"/>
        <v/>
      </c>
    </row>
    <row r="1366" spans="13:19" x14ac:dyDescent="0.3">
      <c r="M1366" s="34" t="str">
        <f t="shared" si="322"/>
        <v/>
      </c>
      <c r="N1366" s="34" t="str">
        <f t="shared" si="323"/>
        <v/>
      </c>
      <c r="O1366" s="34" t="str">
        <f t="shared" si="324"/>
        <v/>
      </c>
      <c r="P1366" s="34" t="str">
        <f t="shared" si="325"/>
        <v/>
      </c>
      <c r="Q1366" s="34" t="str">
        <f t="shared" si="326"/>
        <v/>
      </c>
      <c r="R1366" s="34" t="str">
        <f t="shared" si="327"/>
        <v/>
      </c>
      <c r="S1366" s="34" t="str">
        <f t="shared" si="328"/>
        <v/>
      </c>
    </row>
    <row r="1367" spans="13:19" x14ac:dyDescent="0.3">
      <c r="M1367" s="34" t="str">
        <f t="shared" si="322"/>
        <v/>
      </c>
      <c r="N1367" s="34" t="str">
        <f t="shared" si="323"/>
        <v/>
      </c>
      <c r="O1367" s="34" t="str">
        <f t="shared" si="324"/>
        <v/>
      </c>
      <c r="P1367" s="34" t="str">
        <f t="shared" si="325"/>
        <v/>
      </c>
      <c r="Q1367" s="34" t="str">
        <f t="shared" si="326"/>
        <v/>
      </c>
      <c r="R1367" s="34" t="str">
        <f t="shared" si="327"/>
        <v/>
      </c>
      <c r="S1367" s="34" t="str">
        <f t="shared" si="328"/>
        <v/>
      </c>
    </row>
    <row r="1368" spans="13:19" x14ac:dyDescent="0.3">
      <c r="M1368" s="34" t="str">
        <f t="shared" si="322"/>
        <v/>
      </c>
      <c r="N1368" s="34" t="str">
        <f t="shared" si="323"/>
        <v/>
      </c>
      <c r="O1368" s="34" t="str">
        <f t="shared" si="324"/>
        <v/>
      </c>
      <c r="P1368" s="34" t="str">
        <f t="shared" si="325"/>
        <v/>
      </c>
      <c r="Q1368" s="34" t="str">
        <f t="shared" si="326"/>
        <v/>
      </c>
      <c r="R1368" s="34" t="str">
        <f t="shared" si="327"/>
        <v/>
      </c>
      <c r="S1368" s="34" t="str">
        <f t="shared" si="328"/>
        <v/>
      </c>
    </row>
    <row r="1369" spans="13:19" x14ac:dyDescent="0.3">
      <c r="M1369" s="34" t="str">
        <f t="shared" si="322"/>
        <v/>
      </c>
      <c r="N1369" s="34" t="str">
        <f t="shared" si="323"/>
        <v/>
      </c>
      <c r="O1369" s="34" t="str">
        <f t="shared" si="324"/>
        <v/>
      </c>
      <c r="P1369" s="34" t="str">
        <f t="shared" si="325"/>
        <v/>
      </c>
      <c r="Q1369" s="34" t="str">
        <f t="shared" si="326"/>
        <v/>
      </c>
      <c r="R1369" s="34" t="str">
        <f t="shared" si="327"/>
        <v/>
      </c>
      <c r="S1369" s="34" t="str">
        <f t="shared" si="328"/>
        <v/>
      </c>
    </row>
    <row r="1370" spans="13:19" x14ac:dyDescent="0.3">
      <c r="M1370" s="34" t="str">
        <f t="shared" si="322"/>
        <v/>
      </c>
      <c r="N1370" s="34" t="str">
        <f t="shared" si="323"/>
        <v/>
      </c>
      <c r="O1370" s="34" t="str">
        <f t="shared" si="324"/>
        <v/>
      </c>
      <c r="P1370" s="34" t="str">
        <f t="shared" si="325"/>
        <v/>
      </c>
      <c r="Q1370" s="34" t="str">
        <f t="shared" si="326"/>
        <v/>
      </c>
      <c r="R1370" s="34" t="str">
        <f t="shared" si="327"/>
        <v/>
      </c>
      <c r="S1370" s="34" t="str">
        <f t="shared" si="328"/>
        <v/>
      </c>
    </row>
    <row r="1371" spans="13:19" x14ac:dyDescent="0.3">
      <c r="M1371" s="34" t="str">
        <f t="shared" si="322"/>
        <v/>
      </c>
      <c r="N1371" s="34" t="str">
        <f t="shared" si="323"/>
        <v/>
      </c>
      <c r="O1371" s="34" t="str">
        <f t="shared" si="324"/>
        <v/>
      </c>
      <c r="P1371" s="34" t="str">
        <f t="shared" si="325"/>
        <v/>
      </c>
      <c r="Q1371" s="34" t="str">
        <f t="shared" si="326"/>
        <v/>
      </c>
      <c r="R1371" s="34" t="str">
        <f t="shared" si="327"/>
        <v/>
      </c>
      <c r="S1371" s="34" t="str">
        <f t="shared" si="328"/>
        <v/>
      </c>
    </row>
    <row r="1372" spans="13:19" x14ac:dyDescent="0.3">
      <c r="M1372" s="34" t="str">
        <f t="shared" si="322"/>
        <v/>
      </c>
      <c r="N1372" s="34" t="str">
        <f t="shared" si="323"/>
        <v/>
      </c>
      <c r="O1372" s="34" t="str">
        <f t="shared" si="324"/>
        <v/>
      </c>
      <c r="P1372" s="34" t="str">
        <f t="shared" si="325"/>
        <v/>
      </c>
      <c r="Q1372" s="34" t="str">
        <f t="shared" si="326"/>
        <v/>
      </c>
      <c r="R1372" s="34" t="str">
        <f t="shared" si="327"/>
        <v/>
      </c>
      <c r="S1372" s="34" t="str">
        <f t="shared" si="328"/>
        <v/>
      </c>
    </row>
    <row r="1373" spans="13:19" x14ac:dyDescent="0.3">
      <c r="M1373" s="34" t="str">
        <f t="shared" si="322"/>
        <v/>
      </c>
      <c r="N1373" s="34" t="str">
        <f t="shared" si="323"/>
        <v/>
      </c>
      <c r="O1373" s="34" t="str">
        <f t="shared" si="324"/>
        <v/>
      </c>
      <c r="P1373" s="34" t="str">
        <f t="shared" si="325"/>
        <v/>
      </c>
      <c r="Q1373" s="34" t="str">
        <f t="shared" si="326"/>
        <v/>
      </c>
      <c r="R1373" s="34" t="str">
        <f t="shared" si="327"/>
        <v/>
      </c>
      <c r="S1373" s="34" t="str">
        <f t="shared" si="328"/>
        <v/>
      </c>
    </row>
    <row r="1374" spans="13:19" x14ac:dyDescent="0.3">
      <c r="M1374" s="34" t="str">
        <f t="shared" si="322"/>
        <v/>
      </c>
      <c r="N1374" s="34" t="str">
        <f t="shared" si="323"/>
        <v/>
      </c>
      <c r="O1374" s="34" t="str">
        <f t="shared" si="324"/>
        <v/>
      </c>
      <c r="P1374" s="34" t="str">
        <f t="shared" si="325"/>
        <v/>
      </c>
      <c r="Q1374" s="34" t="str">
        <f t="shared" si="326"/>
        <v/>
      </c>
      <c r="R1374" s="34" t="str">
        <f t="shared" si="327"/>
        <v/>
      </c>
      <c r="S1374" s="34" t="str">
        <f t="shared" si="328"/>
        <v/>
      </c>
    </row>
    <row r="1375" spans="13:19" x14ac:dyDescent="0.3">
      <c r="M1375" s="34" t="str">
        <f t="shared" si="322"/>
        <v/>
      </c>
      <c r="N1375" s="34" t="str">
        <f t="shared" si="323"/>
        <v/>
      </c>
      <c r="O1375" s="34" t="str">
        <f t="shared" si="324"/>
        <v/>
      </c>
      <c r="P1375" s="34" t="str">
        <f t="shared" si="325"/>
        <v/>
      </c>
      <c r="Q1375" s="34" t="str">
        <f t="shared" si="326"/>
        <v/>
      </c>
      <c r="R1375" s="34" t="str">
        <f t="shared" si="327"/>
        <v/>
      </c>
      <c r="S1375" s="34" t="str">
        <f t="shared" si="328"/>
        <v/>
      </c>
    </row>
    <row r="1376" spans="13:19" x14ac:dyDescent="0.3">
      <c r="M1376" s="34" t="str">
        <f t="shared" si="322"/>
        <v/>
      </c>
      <c r="N1376" s="34" t="str">
        <f t="shared" si="323"/>
        <v/>
      </c>
      <c r="O1376" s="34" t="str">
        <f t="shared" si="324"/>
        <v/>
      </c>
      <c r="P1376" s="34" t="str">
        <f t="shared" si="325"/>
        <v/>
      </c>
      <c r="Q1376" s="34" t="str">
        <f t="shared" si="326"/>
        <v/>
      </c>
      <c r="R1376" s="34" t="str">
        <f t="shared" si="327"/>
        <v/>
      </c>
      <c r="S1376" s="34" t="str">
        <f t="shared" si="328"/>
        <v/>
      </c>
    </row>
    <row r="1377" spans="13:19" x14ac:dyDescent="0.3">
      <c r="M1377" s="34" t="str">
        <f t="shared" si="322"/>
        <v/>
      </c>
      <c r="N1377" s="34" t="str">
        <f t="shared" si="323"/>
        <v/>
      </c>
      <c r="O1377" s="34" t="str">
        <f t="shared" si="324"/>
        <v/>
      </c>
      <c r="P1377" s="34" t="str">
        <f t="shared" si="325"/>
        <v/>
      </c>
      <c r="Q1377" s="34" t="str">
        <f t="shared" si="326"/>
        <v/>
      </c>
      <c r="R1377" s="34" t="str">
        <f t="shared" si="327"/>
        <v/>
      </c>
      <c r="S1377" s="34" t="str">
        <f t="shared" si="328"/>
        <v/>
      </c>
    </row>
    <row r="1378" spans="13:19" x14ac:dyDescent="0.3">
      <c r="M1378" s="34" t="str">
        <f t="shared" si="322"/>
        <v/>
      </c>
      <c r="N1378" s="34" t="str">
        <f t="shared" si="323"/>
        <v/>
      </c>
      <c r="O1378" s="34" t="str">
        <f t="shared" si="324"/>
        <v/>
      </c>
      <c r="P1378" s="34" t="str">
        <f t="shared" si="325"/>
        <v/>
      </c>
      <c r="Q1378" s="34" t="str">
        <f t="shared" si="326"/>
        <v/>
      </c>
      <c r="R1378" s="34" t="str">
        <f t="shared" si="327"/>
        <v/>
      </c>
      <c r="S1378" s="34" t="str">
        <f t="shared" si="328"/>
        <v/>
      </c>
    </row>
    <row r="1379" spans="13:19" x14ac:dyDescent="0.3">
      <c r="M1379" s="34" t="str">
        <f t="shared" si="322"/>
        <v/>
      </c>
      <c r="N1379" s="34" t="str">
        <f t="shared" si="323"/>
        <v/>
      </c>
      <c r="O1379" s="34" t="str">
        <f t="shared" si="324"/>
        <v/>
      </c>
      <c r="P1379" s="34" t="str">
        <f t="shared" si="325"/>
        <v/>
      </c>
      <c r="Q1379" s="34" t="str">
        <f t="shared" si="326"/>
        <v/>
      </c>
      <c r="R1379" s="34" t="str">
        <f t="shared" si="327"/>
        <v/>
      </c>
      <c r="S1379" s="34" t="str">
        <f t="shared" si="328"/>
        <v/>
      </c>
    </row>
    <row r="1380" spans="13:19" x14ac:dyDescent="0.3">
      <c r="M1380" s="34" t="str">
        <f t="shared" si="322"/>
        <v/>
      </c>
      <c r="N1380" s="34" t="str">
        <f t="shared" si="323"/>
        <v/>
      </c>
      <c r="O1380" s="34" t="str">
        <f t="shared" si="324"/>
        <v/>
      </c>
      <c r="P1380" s="34" t="str">
        <f t="shared" si="325"/>
        <v/>
      </c>
      <c r="Q1380" s="34" t="str">
        <f t="shared" si="326"/>
        <v/>
      </c>
      <c r="R1380" s="34" t="str">
        <f t="shared" si="327"/>
        <v/>
      </c>
      <c r="S1380" s="34" t="str">
        <f t="shared" si="328"/>
        <v/>
      </c>
    </row>
    <row r="1381" spans="13:19" x14ac:dyDescent="0.3">
      <c r="M1381" s="34" t="str">
        <f t="shared" si="322"/>
        <v/>
      </c>
      <c r="N1381" s="34" t="str">
        <f t="shared" si="323"/>
        <v/>
      </c>
      <c r="O1381" s="34" t="str">
        <f t="shared" si="324"/>
        <v/>
      </c>
      <c r="P1381" s="34" t="str">
        <f t="shared" si="325"/>
        <v/>
      </c>
      <c r="Q1381" s="34" t="str">
        <f t="shared" si="326"/>
        <v/>
      </c>
      <c r="R1381" s="34" t="str">
        <f t="shared" si="327"/>
        <v/>
      </c>
      <c r="S1381" s="34" t="str">
        <f t="shared" si="328"/>
        <v/>
      </c>
    </row>
    <row r="1382" spans="13:19" x14ac:dyDescent="0.3">
      <c r="M1382" s="34" t="str">
        <f t="shared" si="322"/>
        <v/>
      </c>
      <c r="N1382" s="34" t="str">
        <f t="shared" si="323"/>
        <v/>
      </c>
      <c r="O1382" s="34" t="str">
        <f t="shared" si="324"/>
        <v/>
      </c>
      <c r="P1382" s="34" t="str">
        <f t="shared" si="325"/>
        <v/>
      </c>
      <c r="Q1382" s="34" t="str">
        <f t="shared" si="326"/>
        <v/>
      </c>
      <c r="R1382" s="34" t="str">
        <f t="shared" si="327"/>
        <v/>
      </c>
      <c r="S1382" s="34" t="str">
        <f t="shared" si="328"/>
        <v/>
      </c>
    </row>
    <row r="1383" spans="13:19" x14ac:dyDescent="0.3">
      <c r="M1383" s="34" t="str">
        <f t="shared" si="322"/>
        <v/>
      </c>
      <c r="N1383" s="34" t="str">
        <f t="shared" si="323"/>
        <v/>
      </c>
      <c r="O1383" s="34" t="str">
        <f t="shared" si="324"/>
        <v/>
      </c>
      <c r="P1383" s="34" t="str">
        <f t="shared" si="325"/>
        <v/>
      </c>
      <c r="Q1383" s="34" t="str">
        <f t="shared" si="326"/>
        <v/>
      </c>
      <c r="R1383" s="34" t="str">
        <f t="shared" si="327"/>
        <v/>
      </c>
      <c r="S1383" s="34" t="str">
        <f t="shared" si="328"/>
        <v/>
      </c>
    </row>
    <row r="1384" spans="13:19" x14ac:dyDescent="0.3">
      <c r="M1384" s="34" t="str">
        <f t="shared" si="322"/>
        <v/>
      </c>
      <c r="N1384" s="34" t="str">
        <f t="shared" si="323"/>
        <v/>
      </c>
      <c r="O1384" s="34" t="str">
        <f t="shared" si="324"/>
        <v/>
      </c>
      <c r="P1384" s="34" t="str">
        <f t="shared" si="325"/>
        <v/>
      </c>
      <c r="Q1384" s="34" t="str">
        <f t="shared" si="326"/>
        <v/>
      </c>
      <c r="R1384" s="34" t="str">
        <f t="shared" si="327"/>
        <v/>
      </c>
      <c r="S1384" s="34" t="str">
        <f t="shared" si="328"/>
        <v/>
      </c>
    </row>
    <row r="1385" spans="13:19" x14ac:dyDescent="0.3">
      <c r="M1385" s="34" t="str">
        <f t="shared" si="322"/>
        <v/>
      </c>
      <c r="N1385" s="34" t="str">
        <f t="shared" si="323"/>
        <v/>
      </c>
      <c r="O1385" s="34" t="str">
        <f t="shared" si="324"/>
        <v/>
      </c>
      <c r="P1385" s="34" t="str">
        <f t="shared" si="325"/>
        <v/>
      </c>
      <c r="Q1385" s="34" t="str">
        <f t="shared" si="326"/>
        <v/>
      </c>
      <c r="R1385" s="34" t="str">
        <f t="shared" si="327"/>
        <v/>
      </c>
      <c r="S1385" s="34" t="str">
        <f t="shared" si="328"/>
        <v/>
      </c>
    </row>
    <row r="1386" spans="13:19" x14ac:dyDescent="0.3">
      <c r="M1386" s="34" t="str">
        <f t="shared" si="322"/>
        <v/>
      </c>
      <c r="N1386" s="34" t="str">
        <f t="shared" si="323"/>
        <v/>
      </c>
      <c r="O1386" s="34" t="str">
        <f t="shared" si="324"/>
        <v/>
      </c>
      <c r="P1386" s="34" t="str">
        <f t="shared" si="325"/>
        <v/>
      </c>
      <c r="Q1386" s="34" t="str">
        <f t="shared" si="326"/>
        <v/>
      </c>
      <c r="R1386" s="34" t="str">
        <f t="shared" si="327"/>
        <v/>
      </c>
      <c r="S1386" s="34" t="str">
        <f t="shared" si="328"/>
        <v/>
      </c>
    </row>
    <row r="1387" spans="13:19" x14ac:dyDescent="0.3">
      <c r="M1387" s="34" t="str">
        <f t="shared" si="322"/>
        <v/>
      </c>
      <c r="N1387" s="34" t="str">
        <f t="shared" si="323"/>
        <v/>
      </c>
      <c r="O1387" s="34" t="str">
        <f t="shared" si="324"/>
        <v/>
      </c>
      <c r="P1387" s="34" t="str">
        <f t="shared" si="325"/>
        <v/>
      </c>
      <c r="Q1387" s="34" t="str">
        <f t="shared" si="326"/>
        <v/>
      </c>
      <c r="R1387" s="34" t="str">
        <f t="shared" si="327"/>
        <v/>
      </c>
      <c r="S1387" s="34" t="str">
        <f t="shared" si="328"/>
        <v/>
      </c>
    </row>
    <row r="1388" spans="13:19" x14ac:dyDescent="0.3">
      <c r="M1388" s="34" t="str">
        <f t="shared" si="322"/>
        <v/>
      </c>
      <c r="N1388" s="34" t="str">
        <f t="shared" si="323"/>
        <v/>
      </c>
      <c r="O1388" s="34" t="str">
        <f t="shared" si="324"/>
        <v/>
      </c>
      <c r="P1388" s="34" t="str">
        <f t="shared" si="325"/>
        <v/>
      </c>
      <c r="Q1388" s="34" t="str">
        <f t="shared" si="326"/>
        <v/>
      </c>
      <c r="R1388" s="34" t="str">
        <f t="shared" si="327"/>
        <v/>
      </c>
      <c r="S1388" s="34" t="str">
        <f t="shared" si="328"/>
        <v/>
      </c>
    </row>
    <row r="1389" spans="13:19" x14ac:dyDescent="0.3">
      <c r="M1389" s="34" t="str">
        <f t="shared" si="322"/>
        <v/>
      </c>
      <c r="N1389" s="34" t="str">
        <f t="shared" si="323"/>
        <v/>
      </c>
      <c r="O1389" s="34" t="str">
        <f t="shared" si="324"/>
        <v/>
      </c>
      <c r="P1389" s="34" t="str">
        <f t="shared" si="325"/>
        <v/>
      </c>
      <c r="Q1389" s="34" t="str">
        <f t="shared" si="326"/>
        <v/>
      </c>
      <c r="R1389" s="34" t="str">
        <f t="shared" si="327"/>
        <v/>
      </c>
      <c r="S1389" s="34" t="str">
        <f t="shared" si="328"/>
        <v/>
      </c>
    </row>
    <row r="1390" spans="13:19" x14ac:dyDescent="0.3">
      <c r="M1390" s="34" t="str">
        <f t="shared" si="322"/>
        <v/>
      </c>
      <c r="N1390" s="34" t="str">
        <f t="shared" si="323"/>
        <v/>
      </c>
      <c r="O1390" s="34" t="str">
        <f t="shared" si="324"/>
        <v/>
      </c>
      <c r="P1390" s="34" t="str">
        <f t="shared" si="325"/>
        <v/>
      </c>
      <c r="Q1390" s="34" t="str">
        <f t="shared" si="326"/>
        <v/>
      </c>
      <c r="R1390" s="34" t="str">
        <f t="shared" si="327"/>
        <v/>
      </c>
      <c r="S1390" s="34" t="str">
        <f t="shared" si="328"/>
        <v/>
      </c>
    </row>
    <row r="1391" spans="13:19" x14ac:dyDescent="0.3">
      <c r="M1391" s="34" t="str">
        <f t="shared" si="322"/>
        <v/>
      </c>
      <c r="N1391" s="34" t="str">
        <f t="shared" si="323"/>
        <v/>
      </c>
      <c r="O1391" s="34" t="str">
        <f t="shared" si="324"/>
        <v/>
      </c>
      <c r="P1391" s="34" t="str">
        <f t="shared" si="325"/>
        <v/>
      </c>
      <c r="Q1391" s="34" t="str">
        <f t="shared" si="326"/>
        <v/>
      </c>
      <c r="R1391" s="34" t="str">
        <f t="shared" si="327"/>
        <v/>
      </c>
      <c r="S1391" s="34" t="str">
        <f t="shared" si="328"/>
        <v/>
      </c>
    </row>
    <row r="1392" spans="13:19" x14ac:dyDescent="0.3">
      <c r="M1392" s="34" t="str">
        <f t="shared" si="322"/>
        <v/>
      </c>
      <c r="N1392" s="34" t="str">
        <f t="shared" si="323"/>
        <v/>
      </c>
      <c r="O1392" s="34" t="str">
        <f t="shared" si="324"/>
        <v/>
      </c>
      <c r="P1392" s="34" t="str">
        <f t="shared" si="325"/>
        <v/>
      </c>
      <c r="Q1392" s="34" t="str">
        <f t="shared" si="326"/>
        <v/>
      </c>
      <c r="R1392" s="34" t="str">
        <f t="shared" si="327"/>
        <v/>
      </c>
      <c r="S1392" s="34" t="str">
        <f t="shared" si="328"/>
        <v/>
      </c>
    </row>
    <row r="1393" spans="13:19" x14ac:dyDescent="0.3">
      <c r="M1393" s="34" t="str">
        <f t="shared" si="322"/>
        <v/>
      </c>
      <c r="N1393" s="34" t="str">
        <f t="shared" si="323"/>
        <v/>
      </c>
      <c r="O1393" s="34" t="str">
        <f t="shared" si="324"/>
        <v/>
      </c>
      <c r="P1393" s="34" t="str">
        <f t="shared" si="325"/>
        <v/>
      </c>
      <c r="Q1393" s="34" t="str">
        <f t="shared" si="326"/>
        <v/>
      </c>
      <c r="R1393" s="34" t="str">
        <f t="shared" si="327"/>
        <v/>
      </c>
      <c r="S1393" s="34" t="str">
        <f t="shared" si="328"/>
        <v/>
      </c>
    </row>
    <row r="1394" spans="13:19" x14ac:dyDescent="0.3">
      <c r="M1394" s="34" t="str">
        <f t="shared" si="322"/>
        <v/>
      </c>
      <c r="N1394" s="34" t="str">
        <f t="shared" si="323"/>
        <v/>
      </c>
      <c r="O1394" s="34" t="str">
        <f t="shared" si="324"/>
        <v/>
      </c>
      <c r="P1394" s="34" t="str">
        <f t="shared" si="325"/>
        <v/>
      </c>
      <c r="Q1394" s="34" t="str">
        <f t="shared" si="326"/>
        <v/>
      </c>
      <c r="R1394" s="34" t="str">
        <f t="shared" si="327"/>
        <v/>
      </c>
      <c r="S1394" s="34" t="str">
        <f t="shared" si="328"/>
        <v/>
      </c>
    </row>
    <row r="1395" spans="13:19" x14ac:dyDescent="0.3">
      <c r="M1395" s="34" t="str">
        <f t="shared" si="322"/>
        <v/>
      </c>
      <c r="N1395" s="34" t="str">
        <f t="shared" si="323"/>
        <v/>
      </c>
      <c r="O1395" s="34" t="str">
        <f t="shared" si="324"/>
        <v/>
      </c>
      <c r="P1395" s="34" t="str">
        <f t="shared" si="325"/>
        <v/>
      </c>
      <c r="Q1395" s="34" t="str">
        <f t="shared" si="326"/>
        <v/>
      </c>
      <c r="R1395" s="34" t="str">
        <f t="shared" si="327"/>
        <v/>
      </c>
      <c r="S1395" s="34" t="str">
        <f t="shared" si="328"/>
        <v/>
      </c>
    </row>
    <row r="1396" spans="13:19" x14ac:dyDescent="0.3">
      <c r="M1396" s="34" t="str">
        <f t="shared" si="322"/>
        <v/>
      </c>
      <c r="N1396" s="34" t="str">
        <f t="shared" si="323"/>
        <v/>
      </c>
      <c r="O1396" s="34" t="str">
        <f t="shared" si="324"/>
        <v/>
      </c>
      <c r="P1396" s="34" t="str">
        <f t="shared" si="325"/>
        <v/>
      </c>
      <c r="Q1396" s="34" t="str">
        <f t="shared" si="326"/>
        <v/>
      </c>
      <c r="R1396" s="34" t="str">
        <f t="shared" si="327"/>
        <v/>
      </c>
      <c r="S1396" s="34" t="str">
        <f t="shared" si="328"/>
        <v/>
      </c>
    </row>
    <row r="1397" spans="13:19" x14ac:dyDescent="0.3">
      <c r="M1397" s="34" t="str">
        <f t="shared" si="322"/>
        <v/>
      </c>
      <c r="N1397" s="34" t="str">
        <f t="shared" si="323"/>
        <v/>
      </c>
      <c r="O1397" s="34" t="str">
        <f t="shared" si="324"/>
        <v/>
      </c>
      <c r="P1397" s="34" t="str">
        <f t="shared" si="325"/>
        <v/>
      </c>
      <c r="Q1397" s="34" t="str">
        <f t="shared" si="326"/>
        <v/>
      </c>
      <c r="R1397" s="34" t="str">
        <f t="shared" si="327"/>
        <v/>
      </c>
      <c r="S1397" s="34" t="str">
        <f t="shared" si="328"/>
        <v/>
      </c>
    </row>
    <row r="1398" spans="13:19" x14ac:dyDescent="0.3">
      <c r="M1398" s="34" t="str">
        <f t="shared" si="322"/>
        <v/>
      </c>
      <c r="N1398" s="34" t="str">
        <f t="shared" si="323"/>
        <v/>
      </c>
      <c r="O1398" s="34" t="str">
        <f t="shared" si="324"/>
        <v/>
      </c>
      <c r="P1398" s="34" t="str">
        <f t="shared" si="325"/>
        <v/>
      </c>
      <c r="Q1398" s="34" t="str">
        <f t="shared" si="326"/>
        <v/>
      </c>
      <c r="R1398" s="34" t="str">
        <f t="shared" si="327"/>
        <v/>
      </c>
      <c r="S1398" s="34" t="str">
        <f t="shared" si="328"/>
        <v/>
      </c>
    </row>
    <row r="1399" spans="13:19" x14ac:dyDescent="0.3">
      <c r="M1399" s="34" t="str">
        <f t="shared" si="322"/>
        <v/>
      </c>
      <c r="N1399" s="34" t="str">
        <f t="shared" si="323"/>
        <v/>
      </c>
      <c r="O1399" s="34" t="str">
        <f t="shared" si="324"/>
        <v/>
      </c>
      <c r="P1399" s="34" t="str">
        <f t="shared" si="325"/>
        <v/>
      </c>
      <c r="Q1399" s="34" t="str">
        <f t="shared" si="326"/>
        <v/>
      </c>
      <c r="R1399" s="34" t="str">
        <f t="shared" si="327"/>
        <v/>
      </c>
      <c r="S1399" s="34" t="str">
        <f t="shared" si="328"/>
        <v/>
      </c>
    </row>
    <row r="1400" spans="13:19" x14ac:dyDescent="0.3">
      <c r="M1400" s="34" t="str">
        <f t="shared" si="322"/>
        <v/>
      </c>
      <c r="N1400" s="34" t="str">
        <f t="shared" si="323"/>
        <v/>
      </c>
      <c r="O1400" s="34" t="str">
        <f t="shared" si="324"/>
        <v/>
      </c>
      <c r="P1400" s="34" t="str">
        <f t="shared" si="325"/>
        <v/>
      </c>
      <c r="Q1400" s="34" t="str">
        <f t="shared" si="326"/>
        <v/>
      </c>
      <c r="R1400" s="34" t="str">
        <f t="shared" si="327"/>
        <v/>
      </c>
      <c r="S1400" s="34" t="str">
        <f t="shared" si="328"/>
        <v/>
      </c>
    </row>
    <row r="1401" spans="13:19" x14ac:dyDescent="0.3">
      <c r="M1401" s="34" t="str">
        <f t="shared" si="322"/>
        <v/>
      </c>
      <c r="N1401" s="34" t="str">
        <f t="shared" si="323"/>
        <v/>
      </c>
      <c r="O1401" s="34" t="str">
        <f t="shared" si="324"/>
        <v/>
      </c>
      <c r="P1401" s="34" t="str">
        <f t="shared" si="325"/>
        <v/>
      </c>
      <c r="Q1401" s="34" t="str">
        <f t="shared" si="326"/>
        <v/>
      </c>
      <c r="R1401" s="34" t="str">
        <f t="shared" si="327"/>
        <v/>
      </c>
      <c r="S1401" s="34" t="str">
        <f t="shared" si="328"/>
        <v/>
      </c>
    </row>
    <row r="1402" spans="13:19" x14ac:dyDescent="0.3">
      <c r="M1402" s="34" t="str">
        <f t="shared" si="322"/>
        <v/>
      </c>
      <c r="N1402" s="34" t="str">
        <f t="shared" si="323"/>
        <v/>
      </c>
      <c r="O1402" s="34" t="str">
        <f t="shared" si="324"/>
        <v/>
      </c>
      <c r="P1402" s="34" t="str">
        <f t="shared" si="325"/>
        <v/>
      </c>
      <c r="Q1402" s="34" t="str">
        <f t="shared" si="326"/>
        <v/>
      </c>
      <c r="R1402" s="34" t="str">
        <f t="shared" si="327"/>
        <v/>
      </c>
      <c r="S1402" s="34" t="str">
        <f t="shared" si="328"/>
        <v/>
      </c>
    </row>
    <row r="1403" spans="13:19" x14ac:dyDescent="0.3">
      <c r="M1403" s="34" t="str">
        <f t="shared" si="322"/>
        <v/>
      </c>
      <c r="N1403" s="34" t="str">
        <f t="shared" si="323"/>
        <v/>
      </c>
      <c r="O1403" s="34" t="str">
        <f t="shared" si="324"/>
        <v/>
      </c>
      <c r="P1403" s="34" t="str">
        <f t="shared" si="325"/>
        <v/>
      </c>
      <c r="Q1403" s="34" t="str">
        <f t="shared" si="326"/>
        <v/>
      </c>
      <c r="R1403" s="34" t="str">
        <f t="shared" si="327"/>
        <v/>
      </c>
      <c r="S1403" s="34" t="str">
        <f t="shared" si="328"/>
        <v/>
      </c>
    </row>
    <row r="1404" spans="13:19" x14ac:dyDescent="0.3">
      <c r="M1404" s="34" t="str">
        <f t="shared" si="322"/>
        <v/>
      </c>
      <c r="N1404" s="34" t="str">
        <f t="shared" si="323"/>
        <v/>
      </c>
      <c r="O1404" s="34" t="str">
        <f t="shared" si="324"/>
        <v/>
      </c>
      <c r="P1404" s="34" t="str">
        <f t="shared" si="325"/>
        <v/>
      </c>
      <c r="Q1404" s="34" t="str">
        <f t="shared" si="326"/>
        <v/>
      </c>
      <c r="R1404" s="34" t="str">
        <f t="shared" si="327"/>
        <v/>
      </c>
      <c r="S1404" s="34" t="str">
        <f t="shared" si="328"/>
        <v/>
      </c>
    </row>
    <row r="1405" spans="13:19" x14ac:dyDescent="0.3">
      <c r="M1405" s="34" t="str">
        <f t="shared" si="322"/>
        <v/>
      </c>
      <c r="N1405" s="34" t="str">
        <f t="shared" si="323"/>
        <v/>
      </c>
      <c r="O1405" s="34" t="str">
        <f t="shared" si="324"/>
        <v/>
      </c>
      <c r="P1405" s="34" t="str">
        <f t="shared" si="325"/>
        <v/>
      </c>
      <c r="Q1405" s="34" t="str">
        <f t="shared" si="326"/>
        <v/>
      </c>
      <c r="R1405" s="34" t="str">
        <f t="shared" si="327"/>
        <v/>
      </c>
      <c r="S1405" s="34" t="str">
        <f t="shared" si="328"/>
        <v/>
      </c>
    </row>
    <row r="1406" spans="13:19" x14ac:dyDescent="0.3">
      <c r="M1406" s="34" t="str">
        <f t="shared" si="322"/>
        <v/>
      </c>
      <c r="N1406" s="34" t="str">
        <f t="shared" si="323"/>
        <v/>
      </c>
      <c r="O1406" s="34" t="str">
        <f t="shared" si="324"/>
        <v/>
      </c>
      <c r="P1406" s="34" t="str">
        <f t="shared" si="325"/>
        <v/>
      </c>
      <c r="Q1406" s="34" t="str">
        <f t="shared" si="326"/>
        <v/>
      </c>
      <c r="R1406" s="34" t="str">
        <f t="shared" si="327"/>
        <v/>
      </c>
      <c r="S1406" s="34" t="str">
        <f t="shared" si="328"/>
        <v/>
      </c>
    </row>
    <row r="1407" spans="13:19" x14ac:dyDescent="0.3">
      <c r="M1407" s="34" t="str">
        <f t="shared" si="322"/>
        <v/>
      </c>
      <c r="N1407" s="34" t="str">
        <f t="shared" si="323"/>
        <v/>
      </c>
      <c r="O1407" s="34" t="str">
        <f t="shared" si="324"/>
        <v/>
      </c>
      <c r="P1407" s="34" t="str">
        <f t="shared" si="325"/>
        <v/>
      </c>
      <c r="Q1407" s="34" t="str">
        <f t="shared" si="326"/>
        <v/>
      </c>
      <c r="R1407" s="34" t="str">
        <f t="shared" si="327"/>
        <v/>
      </c>
      <c r="S1407" s="34" t="str">
        <f t="shared" si="328"/>
        <v/>
      </c>
    </row>
    <row r="1408" spans="13:19" x14ac:dyDescent="0.3">
      <c r="M1408" s="34" t="str">
        <f t="shared" si="322"/>
        <v/>
      </c>
      <c r="N1408" s="34" t="str">
        <f t="shared" si="323"/>
        <v/>
      </c>
      <c r="O1408" s="34" t="str">
        <f t="shared" si="324"/>
        <v/>
      </c>
      <c r="P1408" s="34" t="str">
        <f t="shared" si="325"/>
        <v/>
      </c>
      <c r="Q1408" s="34" t="str">
        <f t="shared" si="326"/>
        <v/>
      </c>
      <c r="R1408" s="34" t="str">
        <f t="shared" si="327"/>
        <v/>
      </c>
      <c r="S1408" s="34" t="str">
        <f t="shared" si="328"/>
        <v/>
      </c>
    </row>
    <row r="1409" spans="13:19" x14ac:dyDescent="0.3">
      <c r="M1409" s="34" t="str">
        <f t="shared" si="322"/>
        <v/>
      </c>
      <c r="N1409" s="34" t="str">
        <f t="shared" si="323"/>
        <v/>
      </c>
      <c r="O1409" s="34" t="str">
        <f t="shared" si="324"/>
        <v/>
      </c>
      <c r="P1409" s="34" t="str">
        <f t="shared" si="325"/>
        <v/>
      </c>
      <c r="Q1409" s="34" t="str">
        <f t="shared" si="326"/>
        <v/>
      </c>
      <c r="R1409" s="34" t="str">
        <f t="shared" si="327"/>
        <v/>
      </c>
      <c r="S1409" s="34" t="str">
        <f t="shared" si="328"/>
        <v/>
      </c>
    </row>
    <row r="1410" spans="13:19" x14ac:dyDescent="0.3">
      <c r="M1410" s="34" t="str">
        <f t="shared" si="322"/>
        <v/>
      </c>
      <c r="N1410" s="34" t="str">
        <f t="shared" si="323"/>
        <v/>
      </c>
      <c r="O1410" s="34" t="str">
        <f t="shared" si="324"/>
        <v/>
      </c>
      <c r="P1410" s="34" t="str">
        <f t="shared" si="325"/>
        <v/>
      </c>
      <c r="Q1410" s="34" t="str">
        <f t="shared" si="326"/>
        <v/>
      </c>
      <c r="R1410" s="34" t="str">
        <f t="shared" si="327"/>
        <v/>
      </c>
      <c r="S1410" s="34" t="str">
        <f t="shared" si="328"/>
        <v/>
      </c>
    </row>
    <row r="1411" spans="13:19" x14ac:dyDescent="0.3">
      <c r="M1411" s="34" t="str">
        <f t="shared" si="322"/>
        <v/>
      </c>
      <c r="N1411" s="34" t="str">
        <f t="shared" si="323"/>
        <v/>
      </c>
      <c r="O1411" s="34" t="str">
        <f t="shared" si="324"/>
        <v/>
      </c>
      <c r="P1411" s="34" t="str">
        <f t="shared" si="325"/>
        <v/>
      </c>
      <c r="Q1411" s="34" t="str">
        <f t="shared" si="326"/>
        <v/>
      </c>
      <c r="R1411" s="34" t="str">
        <f t="shared" si="327"/>
        <v/>
      </c>
      <c r="S1411" s="34" t="str">
        <f t="shared" si="328"/>
        <v/>
      </c>
    </row>
    <row r="1412" spans="13:19" x14ac:dyDescent="0.3">
      <c r="M1412" s="34" t="str">
        <f t="shared" si="322"/>
        <v/>
      </c>
      <c r="N1412" s="34" t="str">
        <f t="shared" si="323"/>
        <v/>
      </c>
      <c r="O1412" s="34" t="str">
        <f t="shared" si="324"/>
        <v/>
      </c>
      <c r="P1412" s="34" t="str">
        <f t="shared" si="325"/>
        <v/>
      </c>
      <c r="Q1412" s="34" t="str">
        <f t="shared" si="326"/>
        <v/>
      </c>
      <c r="R1412" s="34" t="str">
        <f t="shared" si="327"/>
        <v/>
      </c>
      <c r="S1412" s="34" t="str">
        <f t="shared" si="328"/>
        <v/>
      </c>
    </row>
    <row r="1413" spans="13:19" x14ac:dyDescent="0.3">
      <c r="M1413" s="34" t="str">
        <f t="shared" ref="M1413:M1416" si="329">IF(AND(L1413="s.csv",A1413=1),ABS(1000/12/D1413),"")</f>
        <v/>
      </c>
      <c r="N1413" s="34" t="str">
        <f t="shared" si="323"/>
        <v/>
      </c>
      <c r="O1413" s="34" t="str">
        <f t="shared" si="324"/>
        <v/>
      </c>
      <c r="P1413" s="34" t="str">
        <f t="shared" si="325"/>
        <v/>
      </c>
      <c r="Q1413" s="34" t="str">
        <f t="shared" si="326"/>
        <v/>
      </c>
      <c r="R1413" s="34" t="str">
        <f t="shared" si="327"/>
        <v/>
      </c>
      <c r="S1413" s="34" t="str">
        <f t="shared" si="328"/>
        <v/>
      </c>
    </row>
    <row r="1414" spans="13:19" x14ac:dyDescent="0.3">
      <c r="M1414" s="34" t="str">
        <f t="shared" si="329"/>
        <v/>
      </c>
      <c r="N1414" s="34" t="str">
        <f t="shared" si="323"/>
        <v/>
      </c>
      <c r="O1414" s="34" t="str">
        <f t="shared" si="324"/>
        <v/>
      </c>
      <c r="P1414" s="34" t="str">
        <f t="shared" si="325"/>
        <v/>
      </c>
      <c r="Q1414" s="34" t="str">
        <f t="shared" si="326"/>
        <v/>
      </c>
      <c r="R1414" s="34" t="str">
        <f t="shared" si="327"/>
        <v/>
      </c>
      <c r="S1414" s="34" t="str">
        <f t="shared" si="328"/>
        <v/>
      </c>
    </row>
    <row r="1415" spans="13:19" x14ac:dyDescent="0.3">
      <c r="M1415" s="34" t="str">
        <f t="shared" si="329"/>
        <v/>
      </c>
      <c r="N1415" s="34" t="str">
        <f t="shared" si="323"/>
        <v/>
      </c>
      <c r="O1415" s="34" t="str">
        <f t="shared" si="324"/>
        <v/>
      </c>
      <c r="P1415" s="34" t="str">
        <f t="shared" si="325"/>
        <v/>
      </c>
      <c r="Q1415" s="34" t="str">
        <f t="shared" si="326"/>
        <v/>
      </c>
      <c r="R1415" s="34" t="str">
        <f t="shared" si="327"/>
        <v/>
      </c>
      <c r="S1415" s="34" t="str">
        <f t="shared" si="328"/>
        <v/>
      </c>
    </row>
    <row r="1416" spans="13:19" x14ac:dyDescent="0.3">
      <c r="M1416" s="34" t="str">
        <f t="shared" si="329"/>
        <v/>
      </c>
      <c r="N1416" s="34" t="str">
        <f t="shared" si="323"/>
        <v/>
      </c>
      <c r="O1416" s="34" t="str">
        <f t="shared" si="324"/>
        <v/>
      </c>
      <c r="P1416" s="34" t="str">
        <f t="shared" si="325"/>
        <v/>
      </c>
      <c r="Q1416" s="34" t="str">
        <f t="shared" si="326"/>
        <v/>
      </c>
      <c r="R1416" s="34" t="str">
        <f t="shared" si="327"/>
        <v/>
      </c>
      <c r="S1416" s="34" t="str">
        <f t="shared" si="328"/>
        <v/>
      </c>
    </row>
  </sheetData>
  <mergeCells count="1">
    <mergeCell ref="N1:S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etchOutput">
                <anchor moveWithCells="1" sizeWithCells="1">
                  <from>
                    <xdr:col>0</xdr:col>
                    <xdr:colOff>22860</xdr:colOff>
                    <xdr:row>0</xdr:row>
                    <xdr:rowOff>60960</xdr:rowOff>
                  </from>
                  <to>
                    <xdr:col>0</xdr:col>
                    <xdr:colOff>861060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2086-3EDA-48CF-89F0-F700AC9473B9}">
  <sheetPr codeName="Sheet9"/>
  <dimension ref="A1:I318"/>
  <sheetViews>
    <sheetView zoomScale="115" zoomScaleNormal="115" workbookViewId="0">
      <selection activeCell="H11" sqref="H11"/>
    </sheetView>
  </sheetViews>
  <sheetFormatPr defaultRowHeight="14.4" x14ac:dyDescent="0.3"/>
  <cols>
    <col min="1" max="1" width="8.88671875" style="9"/>
    <col min="2" max="2" width="13.88671875" style="9" customWidth="1"/>
    <col min="3" max="3" width="15.5546875" style="9" customWidth="1"/>
    <col min="4" max="9" width="15.5546875" style="115" customWidth="1"/>
    <col min="10" max="16384" width="8.88671875" style="9"/>
  </cols>
  <sheetData>
    <row r="1" spans="1:9" x14ac:dyDescent="0.3">
      <c r="A1" s="24" t="s">
        <v>50</v>
      </c>
      <c r="B1" s="24" t="s">
        <v>51</v>
      </c>
      <c r="C1" s="24" t="s">
        <v>52</v>
      </c>
      <c r="D1" s="24" t="s">
        <v>181</v>
      </c>
      <c r="E1" s="24" t="s">
        <v>182</v>
      </c>
      <c r="F1" s="24" t="s">
        <v>183</v>
      </c>
      <c r="G1" s="24" t="s">
        <v>41</v>
      </c>
      <c r="H1" s="24" t="s">
        <v>182</v>
      </c>
      <c r="I1" s="24" t="s">
        <v>183</v>
      </c>
    </row>
    <row r="2" spans="1:9" x14ac:dyDescent="0.3">
      <c r="A2" s="9">
        <v>1</v>
      </c>
      <c r="B2" s="9">
        <f>IF('Girder Bracing Data'!A2&lt;&gt;"",'Girder Bracing Data'!A2,"")</f>
        <v>1</v>
      </c>
      <c r="C2" s="9">
        <f t="shared" ref="C2:C65" si="0">IF(A2&lt;&gt;"",stiffness(A2),"")</f>
        <v>207797.51492851239</v>
      </c>
      <c r="D2" s="115">
        <f>IF(A2&lt;&gt;"",maxAxial(A2,1,1),"")</f>
        <v>-3.31341550669217</v>
      </c>
      <c r="E2" s="115">
        <f>IF(A2&lt;&gt;"",maxAxial(A2,2,1),"")</f>
        <v>-3.0141024198627</v>
      </c>
      <c r="F2" s="115">
        <f>IF(A2&lt;&gt;"",maxAxial(A2,3,1),"")</f>
        <v>-12.173021109087401</v>
      </c>
      <c r="G2" s="115">
        <f>IF(A2&lt;&gt;"",maxAxial(A2,1,2),"")</f>
        <v>15.7235382286392</v>
      </c>
      <c r="H2" s="115">
        <f>IF(A2&lt;&gt;"",maxAxial(A2,2,2),"")</f>
        <v>14.3012668149078</v>
      </c>
      <c r="I2" s="115">
        <f>IF(A2&lt;&gt;"",maxAxial(A2,3,2),"")</f>
        <v>-30.785113274401802</v>
      </c>
    </row>
    <row r="3" spans="1:9" x14ac:dyDescent="0.3">
      <c r="A3" s="9">
        <f>IF(B3&lt;&gt;"",A2+1,"")</f>
        <v>2</v>
      </c>
      <c r="B3" s="9">
        <f>IF('Girder Bracing Data'!A3&lt;&gt;"",'Girder Bracing Data'!A3,"")</f>
        <v>2</v>
      </c>
      <c r="C3" s="135">
        <f t="shared" si="0"/>
        <v>68882.26012542205</v>
      </c>
      <c r="D3" s="135">
        <f>IF(A3&lt;&gt;"",maxAxial(A3,1,1),"")</f>
        <v>-1.76493117319348</v>
      </c>
      <c r="E3" s="135">
        <f>IF(A3&lt;&gt;"",maxAxial(A3,2,1),"")</f>
        <v>-5.2150219932864701</v>
      </c>
      <c r="F3" s="135">
        <f>IF(A3&lt;&gt;"",maxAxial(A3,3,1),"")</f>
        <v>-13.8005522670465</v>
      </c>
      <c r="G3" s="135">
        <f>IF(A3&lt;&gt;"",maxAxial(A3,1,2),"")</f>
        <v>7.3756375377308796</v>
      </c>
      <c r="H3" s="135">
        <f>IF(A3&lt;&gt;"",maxAxial(A3,2,2),"")</f>
        <v>21.793248511110601</v>
      </c>
      <c r="I3" s="135">
        <f>IF(A3&lt;&gt;"",maxAxial(A3,3,2),"")</f>
        <v>-30.4300764093454</v>
      </c>
    </row>
    <row r="4" spans="1:9" x14ac:dyDescent="0.3">
      <c r="A4" s="9">
        <f t="shared" ref="A4:A67" si="1">IF(B4&lt;&gt;"",A3+1,"")</f>
        <v>3</v>
      </c>
      <c r="B4" s="9">
        <f>IF('Girder Bracing Data'!A4&lt;&gt;"",'Girder Bracing Data'!A4,"")</f>
        <v>3</v>
      </c>
      <c r="C4" s="135">
        <f t="shared" si="0"/>
        <v>24253.9612307965</v>
      </c>
      <c r="D4" s="135">
        <f>IF(A4&lt;&gt;"",maxAxial(A4,1,1),"")</f>
        <v>-0.974208417581649</v>
      </c>
      <c r="E4" s="135">
        <f>IF(A4&lt;&gt;"",maxAxial(A4,2,1),"")</f>
        <v>-1.58886813567616</v>
      </c>
      <c r="F4" s="135">
        <f>IF(A4&lt;&gt;"",maxAxial(A4,3,1),"")</f>
        <v>-14.105648028717701</v>
      </c>
      <c r="G4" s="135">
        <f>IF(A4&lt;&gt;"",maxAxial(A4,1,2),"")</f>
        <v>22.4817371614071</v>
      </c>
      <c r="H4" s="135">
        <f>IF(A4&lt;&gt;"",maxAxial(A4,2,2),"")</f>
        <v>36.664486653026401</v>
      </c>
      <c r="I4" s="135">
        <f>IF(A4&lt;&gt;"",maxAxial(A4,3,2),"")</f>
        <v>-59.390533240251699</v>
      </c>
    </row>
    <row r="5" spans="1:9" x14ac:dyDescent="0.3">
      <c r="A5" s="9">
        <f t="shared" si="1"/>
        <v>4</v>
      </c>
      <c r="B5" s="9">
        <f>IF('Girder Bracing Data'!A5&lt;&gt;"",'Girder Bracing Data'!A5,"")</f>
        <v>4</v>
      </c>
      <c r="C5" s="135">
        <f t="shared" si="0"/>
        <v>24253.9612307965</v>
      </c>
      <c r="D5" s="135">
        <f>IF(A5&lt;&gt;"",maxAxial(A5,1,1),"")</f>
        <v>-1.1159114601389799</v>
      </c>
      <c r="E5" s="135">
        <f>IF(A5&lt;&gt;"",maxAxial(A5,2,1),"")</f>
        <v>-1.81997622813814</v>
      </c>
      <c r="F5" s="135">
        <f>IF(A5&lt;&gt;"",maxAxial(A5,3,1),"")</f>
        <v>-16.157378651076598</v>
      </c>
      <c r="G5" s="135">
        <f>IF(A5&lt;&gt;"",maxAxial(A5,1,2),"")</f>
        <v>22.4817371614071</v>
      </c>
      <c r="H5" s="135">
        <f>IF(A5&lt;&gt;"",maxAxial(A5,2,2),"")</f>
        <v>36.664486653026401</v>
      </c>
      <c r="I5" s="135">
        <f>IF(A5&lt;&gt;"",maxAxial(A5,3,2),"")</f>
        <v>-59.390533240251699</v>
      </c>
    </row>
    <row r="6" spans="1:9" x14ac:dyDescent="0.3">
      <c r="A6" s="9" t="str">
        <f t="shared" si="1"/>
        <v/>
      </c>
      <c r="B6" s="135" t="str">
        <f>IF('Girder Bracing Data'!A6&lt;&gt;"",'Girder Bracing Data'!A6,"")</f>
        <v/>
      </c>
      <c r="C6" s="135" t="str">
        <f t="shared" si="0"/>
        <v/>
      </c>
      <c r="D6" s="135" t="str">
        <f>IF(A6&lt;&gt;"",maxAxial(A6,1,1),"")</f>
        <v/>
      </c>
      <c r="E6" s="135" t="str">
        <f>IF(A6&lt;&gt;"",maxAxial(A6,2,1),"")</f>
        <v/>
      </c>
      <c r="F6" s="135" t="str">
        <f>IF(A6&lt;&gt;"",maxAxial(A6,3,1),"")</f>
        <v/>
      </c>
      <c r="G6" s="135" t="str">
        <f>IF(A6&lt;&gt;"",maxAxial(A6,1,2),"")</f>
        <v/>
      </c>
      <c r="H6" s="135" t="str">
        <f>IF(A6&lt;&gt;"",maxAxial(A6,2,2),"")</f>
        <v/>
      </c>
      <c r="I6" s="135" t="str">
        <f>IF(A6&lt;&gt;"",maxAxial(A6,3,2),"")</f>
        <v/>
      </c>
    </row>
    <row r="7" spans="1:9" x14ac:dyDescent="0.3">
      <c r="A7" s="9" t="str">
        <f t="shared" si="1"/>
        <v/>
      </c>
      <c r="B7" s="135" t="str">
        <f>IF('Girder Bracing Data'!A7&lt;&gt;"",'Girder Bracing Data'!A7,"")</f>
        <v/>
      </c>
      <c r="C7" s="135" t="str">
        <f t="shared" si="0"/>
        <v/>
      </c>
      <c r="D7" s="135" t="str">
        <f>IF(A7&lt;&gt;"",maxAxial(A7,1,1),"")</f>
        <v/>
      </c>
      <c r="E7" s="135" t="str">
        <f>IF(A7&lt;&gt;"",maxAxial(A7,2,1),"")</f>
        <v/>
      </c>
      <c r="F7" s="135" t="str">
        <f>IF(A7&lt;&gt;"",maxAxial(A7,3,1),"")</f>
        <v/>
      </c>
      <c r="G7" s="135" t="str">
        <f>IF(A7&lt;&gt;"",maxAxial(A7,1,2),"")</f>
        <v/>
      </c>
      <c r="H7" s="135" t="str">
        <f>IF(A7&lt;&gt;"",maxAxial(A7,2,2),"")</f>
        <v/>
      </c>
      <c r="I7" s="135" t="str">
        <f>IF(A7&lt;&gt;"",maxAxial(A7,3,2),"")</f>
        <v/>
      </c>
    </row>
    <row r="8" spans="1:9" x14ac:dyDescent="0.3">
      <c r="A8" s="9" t="str">
        <f t="shared" si="1"/>
        <v/>
      </c>
      <c r="B8" s="135" t="str">
        <f>IF('Girder Bracing Data'!A8&lt;&gt;"",'Girder Bracing Data'!A8,"")</f>
        <v/>
      </c>
      <c r="C8" s="135" t="str">
        <f t="shared" si="0"/>
        <v/>
      </c>
      <c r="D8" s="135" t="str">
        <f>IF(A8&lt;&gt;"",maxAxial(A8,1,1),"")</f>
        <v/>
      </c>
      <c r="E8" s="135" t="str">
        <f>IF(A8&lt;&gt;"",maxAxial(A8,2,1),"")</f>
        <v/>
      </c>
      <c r="F8" s="135" t="str">
        <f>IF(A8&lt;&gt;"",maxAxial(A8,3,1),"")</f>
        <v/>
      </c>
      <c r="G8" s="135" t="str">
        <f>IF(A8&lt;&gt;"",maxAxial(A8,1,2),"")</f>
        <v/>
      </c>
      <c r="H8" s="135" t="str">
        <f>IF(A8&lt;&gt;"",maxAxial(A8,2,2),"")</f>
        <v/>
      </c>
      <c r="I8" s="135" t="str">
        <f>IF(A8&lt;&gt;"",maxAxial(A8,3,2),"")</f>
        <v/>
      </c>
    </row>
    <row r="9" spans="1:9" x14ac:dyDescent="0.3">
      <c r="A9" s="9" t="str">
        <f t="shared" si="1"/>
        <v/>
      </c>
      <c r="B9" s="135" t="str">
        <f>IF('Girder Bracing Data'!A9&lt;&gt;"",'Girder Bracing Data'!A9,"")</f>
        <v/>
      </c>
      <c r="C9" s="135" t="str">
        <f t="shared" si="0"/>
        <v/>
      </c>
      <c r="D9" s="135" t="str">
        <f>IF(A9&lt;&gt;"",maxAxial(A9,1,1),"")</f>
        <v/>
      </c>
      <c r="E9" s="135" t="str">
        <f>IF(A9&lt;&gt;"",maxAxial(A9,2,1),"")</f>
        <v/>
      </c>
      <c r="F9" s="135" t="str">
        <f>IF(A9&lt;&gt;"",maxAxial(A9,3,1),"")</f>
        <v/>
      </c>
      <c r="G9" s="135" t="str">
        <f>IF(A9&lt;&gt;"",maxAxial(A9,1,2),"")</f>
        <v/>
      </c>
      <c r="H9" s="135" t="str">
        <f>IF(A9&lt;&gt;"",maxAxial(A9,2,2),"")</f>
        <v/>
      </c>
      <c r="I9" s="135" t="str">
        <f>IF(A9&lt;&gt;"",maxAxial(A9,3,2),"")</f>
        <v/>
      </c>
    </row>
    <row r="10" spans="1:9" x14ac:dyDescent="0.3">
      <c r="A10" s="9" t="str">
        <f t="shared" si="1"/>
        <v/>
      </c>
      <c r="B10" s="135" t="str">
        <f>IF('Girder Bracing Data'!A10&lt;&gt;"",'Girder Bracing Data'!A10,"")</f>
        <v/>
      </c>
      <c r="C10" s="135" t="str">
        <f t="shared" si="0"/>
        <v/>
      </c>
      <c r="D10" s="135" t="str">
        <f>IF(A10&lt;&gt;"",maxAxial(A10,1,1),"")</f>
        <v/>
      </c>
      <c r="E10" s="135" t="str">
        <f>IF(A10&lt;&gt;"",maxAxial(A10,2,1),"")</f>
        <v/>
      </c>
      <c r="F10" s="135" t="str">
        <f>IF(A10&lt;&gt;"",maxAxial(A10,3,1),"")</f>
        <v/>
      </c>
      <c r="G10" s="135" t="str">
        <f>IF(A10&lt;&gt;"",maxAxial(A10,1,2),"")</f>
        <v/>
      </c>
      <c r="H10" s="135" t="str">
        <f>IF(A10&lt;&gt;"",maxAxial(A10,2,2),"")</f>
        <v/>
      </c>
      <c r="I10" s="135" t="str">
        <f>IF(A10&lt;&gt;"",maxAxial(A10,3,2),"")</f>
        <v/>
      </c>
    </row>
    <row r="11" spans="1:9" x14ac:dyDescent="0.3">
      <c r="A11" s="9" t="str">
        <f t="shared" si="1"/>
        <v/>
      </c>
      <c r="B11" s="135" t="str">
        <f>IF('Girder Bracing Data'!A11&lt;&gt;"",'Girder Bracing Data'!A11,"")</f>
        <v/>
      </c>
      <c r="C11" s="135" t="str">
        <f t="shared" si="0"/>
        <v/>
      </c>
      <c r="D11" s="135" t="str">
        <f>IF(A11&lt;&gt;"",maxAxial(A11,1,1),"")</f>
        <v/>
      </c>
      <c r="E11" s="135" t="str">
        <f>IF(A11&lt;&gt;"",maxAxial(A11,2,1),"")</f>
        <v/>
      </c>
      <c r="F11" s="135" t="str">
        <f>IF(A11&lt;&gt;"",maxAxial(A11,3,1),"")</f>
        <v/>
      </c>
      <c r="G11" s="135" t="str">
        <f>IF(A11&lt;&gt;"",maxAxial(A11,1,2),"")</f>
        <v/>
      </c>
      <c r="H11" s="135" t="str">
        <f>IF(A11&lt;&gt;"",maxAxial(A11,2,2),"")</f>
        <v/>
      </c>
      <c r="I11" s="135" t="str">
        <f>IF(A11&lt;&gt;"",maxAxial(A11,3,2),"")</f>
        <v/>
      </c>
    </row>
    <row r="12" spans="1:9" x14ac:dyDescent="0.3">
      <c r="A12" s="9" t="str">
        <f t="shared" si="1"/>
        <v/>
      </c>
      <c r="B12" s="135" t="str">
        <f>IF('Girder Bracing Data'!A12&lt;&gt;"",'Girder Bracing Data'!A12,"")</f>
        <v/>
      </c>
      <c r="C12" s="135" t="str">
        <f t="shared" si="0"/>
        <v/>
      </c>
      <c r="D12" s="135" t="str">
        <f>IF(A12&lt;&gt;"",maxAxial(A12,1,1),"")</f>
        <v/>
      </c>
      <c r="E12" s="135" t="str">
        <f>IF(A12&lt;&gt;"",maxAxial(A12,2,1),"")</f>
        <v/>
      </c>
      <c r="F12" s="135" t="str">
        <f>IF(A12&lt;&gt;"",maxAxial(A12,3,1),"")</f>
        <v/>
      </c>
      <c r="G12" s="135" t="str">
        <f>IF(A12&lt;&gt;"",maxAxial(A12,1,2),"")</f>
        <v/>
      </c>
      <c r="H12" s="135" t="str">
        <f>IF(A12&lt;&gt;"",maxAxial(A12,2,2),"")</f>
        <v/>
      </c>
      <c r="I12" s="135" t="str">
        <f>IF(A12&lt;&gt;"",maxAxial(A12,3,2),"")</f>
        <v/>
      </c>
    </row>
    <row r="13" spans="1:9" x14ac:dyDescent="0.3">
      <c r="A13" s="9" t="str">
        <f t="shared" si="1"/>
        <v/>
      </c>
      <c r="B13" s="135" t="str">
        <f>IF('Girder Bracing Data'!A13&lt;&gt;"",'Girder Bracing Data'!A13,"")</f>
        <v/>
      </c>
      <c r="C13" s="135" t="str">
        <f t="shared" si="0"/>
        <v/>
      </c>
      <c r="D13" s="135" t="str">
        <f>IF(A13&lt;&gt;"",maxAxial(A13,1,1),"")</f>
        <v/>
      </c>
      <c r="E13" s="135" t="str">
        <f>IF(A13&lt;&gt;"",maxAxial(A13,2,1),"")</f>
        <v/>
      </c>
      <c r="F13" s="135" t="str">
        <f>IF(A13&lt;&gt;"",maxAxial(A13,3,1),"")</f>
        <v/>
      </c>
      <c r="G13" s="135" t="str">
        <f>IF(A13&lt;&gt;"",maxAxial(A13,1,2),"")</f>
        <v/>
      </c>
      <c r="H13" s="135" t="str">
        <f>IF(A13&lt;&gt;"",maxAxial(A13,2,2),"")</f>
        <v/>
      </c>
      <c r="I13" s="135" t="str">
        <f>IF(A13&lt;&gt;"",maxAxial(A13,3,2),"")</f>
        <v/>
      </c>
    </row>
    <row r="14" spans="1:9" x14ac:dyDescent="0.3">
      <c r="A14" s="9" t="str">
        <f t="shared" si="1"/>
        <v/>
      </c>
      <c r="B14" s="135" t="str">
        <f>IF('Girder Bracing Data'!A14&lt;&gt;"",'Girder Bracing Data'!A14,"")</f>
        <v/>
      </c>
      <c r="C14" s="135" t="str">
        <f t="shared" si="0"/>
        <v/>
      </c>
      <c r="D14" s="135" t="str">
        <f>IF(A14&lt;&gt;"",maxAxial(A14,1,1),"")</f>
        <v/>
      </c>
      <c r="E14" s="135" t="str">
        <f>IF(A14&lt;&gt;"",maxAxial(A14,2,1),"")</f>
        <v/>
      </c>
      <c r="F14" s="135" t="str">
        <f>IF(A14&lt;&gt;"",maxAxial(A14,3,1),"")</f>
        <v/>
      </c>
      <c r="G14" s="135" t="str">
        <f>IF(A14&lt;&gt;"",maxAxial(A14,1,2),"")</f>
        <v/>
      </c>
      <c r="H14" s="135" t="str">
        <f>IF(A14&lt;&gt;"",maxAxial(A14,2,2),"")</f>
        <v/>
      </c>
      <c r="I14" s="135" t="str">
        <f>IF(A14&lt;&gt;"",maxAxial(A14,3,2),"")</f>
        <v/>
      </c>
    </row>
    <row r="15" spans="1:9" x14ac:dyDescent="0.3">
      <c r="A15" s="9" t="str">
        <f t="shared" si="1"/>
        <v/>
      </c>
      <c r="B15" s="135" t="str">
        <f>IF('Girder Bracing Data'!A15&lt;&gt;"",'Girder Bracing Data'!A15,"")</f>
        <v/>
      </c>
      <c r="C15" s="135" t="str">
        <f t="shared" si="0"/>
        <v/>
      </c>
      <c r="D15" s="135" t="str">
        <f>IF(A15&lt;&gt;"",maxAxial(A15,1,1),"")</f>
        <v/>
      </c>
      <c r="E15" s="135" t="str">
        <f>IF(A15&lt;&gt;"",maxAxial(A15,2,1),"")</f>
        <v/>
      </c>
      <c r="F15" s="135" t="str">
        <f>IF(A15&lt;&gt;"",maxAxial(A15,3,1),"")</f>
        <v/>
      </c>
      <c r="G15" s="135" t="str">
        <f>IF(A15&lt;&gt;"",maxAxial(A15,1,2),"")</f>
        <v/>
      </c>
      <c r="H15" s="135" t="str">
        <f>IF(A15&lt;&gt;"",maxAxial(A15,2,2),"")</f>
        <v/>
      </c>
      <c r="I15" s="135" t="str">
        <f>IF(A15&lt;&gt;"",maxAxial(A15,3,2),"")</f>
        <v/>
      </c>
    </row>
    <row r="16" spans="1:9" x14ac:dyDescent="0.3">
      <c r="A16" s="9" t="str">
        <f t="shared" si="1"/>
        <v/>
      </c>
      <c r="B16" s="135" t="str">
        <f>IF('Girder Bracing Data'!A16&lt;&gt;"",'Girder Bracing Data'!A16,"")</f>
        <v/>
      </c>
      <c r="C16" s="135" t="str">
        <f t="shared" si="0"/>
        <v/>
      </c>
      <c r="D16" s="135" t="str">
        <f>IF(A16&lt;&gt;"",maxAxial(A16,1,1),"")</f>
        <v/>
      </c>
      <c r="E16" s="135" t="str">
        <f>IF(A16&lt;&gt;"",maxAxial(A16,2,1),"")</f>
        <v/>
      </c>
      <c r="F16" s="135" t="str">
        <f>IF(A16&lt;&gt;"",maxAxial(A16,3,1),"")</f>
        <v/>
      </c>
      <c r="G16" s="135" t="str">
        <f>IF(A16&lt;&gt;"",maxAxial(A16,1,2),"")</f>
        <v/>
      </c>
      <c r="H16" s="135" t="str">
        <f>IF(A16&lt;&gt;"",maxAxial(A16,2,2),"")</f>
        <v/>
      </c>
      <c r="I16" s="135" t="str">
        <f>IF(A16&lt;&gt;"",maxAxial(A16,3,2),"")</f>
        <v/>
      </c>
    </row>
    <row r="17" spans="1:9" x14ac:dyDescent="0.3">
      <c r="A17" s="9" t="str">
        <f t="shared" si="1"/>
        <v/>
      </c>
      <c r="B17" s="135" t="str">
        <f>IF('Girder Bracing Data'!A17&lt;&gt;"",'Girder Bracing Data'!A17,"")</f>
        <v/>
      </c>
      <c r="C17" s="135" t="str">
        <f t="shared" si="0"/>
        <v/>
      </c>
      <c r="D17" s="135" t="str">
        <f>IF(A17&lt;&gt;"",maxAxial(A17,1,1),"")</f>
        <v/>
      </c>
      <c r="E17" s="135" t="str">
        <f>IF(A17&lt;&gt;"",maxAxial(A17,2,1),"")</f>
        <v/>
      </c>
      <c r="F17" s="135" t="str">
        <f>IF(A17&lt;&gt;"",maxAxial(A17,3,1),"")</f>
        <v/>
      </c>
      <c r="G17" s="135" t="str">
        <f>IF(A17&lt;&gt;"",maxAxial(A17,1,2),"")</f>
        <v/>
      </c>
      <c r="H17" s="135" t="str">
        <f>IF(A17&lt;&gt;"",maxAxial(A17,2,2),"")</f>
        <v/>
      </c>
      <c r="I17" s="135" t="str">
        <f>IF(A17&lt;&gt;"",maxAxial(A17,3,2),"")</f>
        <v/>
      </c>
    </row>
    <row r="18" spans="1:9" x14ac:dyDescent="0.3">
      <c r="A18" s="9" t="str">
        <f t="shared" si="1"/>
        <v/>
      </c>
      <c r="B18" s="135" t="str">
        <f>IF('Girder Bracing Data'!A18&lt;&gt;"",'Girder Bracing Data'!A18,"")</f>
        <v/>
      </c>
      <c r="C18" s="135" t="str">
        <f t="shared" si="0"/>
        <v/>
      </c>
      <c r="D18" s="135" t="str">
        <f>IF(A18&lt;&gt;"",maxAxial(A18,1,1),"")</f>
        <v/>
      </c>
      <c r="E18" s="135" t="str">
        <f>IF(A18&lt;&gt;"",maxAxial(A18,2,1),"")</f>
        <v/>
      </c>
      <c r="F18" s="135" t="str">
        <f>IF(A18&lt;&gt;"",maxAxial(A18,3,1),"")</f>
        <v/>
      </c>
      <c r="G18" s="135" t="str">
        <f>IF(A18&lt;&gt;"",maxAxial(A18,1,2),"")</f>
        <v/>
      </c>
      <c r="H18" s="135" t="str">
        <f>IF(A18&lt;&gt;"",maxAxial(A18,2,2),"")</f>
        <v/>
      </c>
      <c r="I18" s="135" t="str">
        <f>IF(A18&lt;&gt;"",maxAxial(A18,3,2),"")</f>
        <v/>
      </c>
    </row>
    <row r="19" spans="1:9" x14ac:dyDescent="0.3">
      <c r="A19" s="9" t="str">
        <f t="shared" si="1"/>
        <v/>
      </c>
      <c r="B19" s="135" t="str">
        <f>IF('Girder Bracing Data'!A19&lt;&gt;"",'Girder Bracing Data'!A19,"")</f>
        <v/>
      </c>
      <c r="C19" s="135" t="str">
        <f t="shared" si="0"/>
        <v/>
      </c>
      <c r="D19" s="135" t="str">
        <f>IF(A19&lt;&gt;"",maxAxial(A19,1,1),"")</f>
        <v/>
      </c>
      <c r="E19" s="135" t="str">
        <f>IF(A19&lt;&gt;"",maxAxial(A19,2,1),"")</f>
        <v/>
      </c>
      <c r="F19" s="135" t="str">
        <f>IF(A19&lt;&gt;"",maxAxial(A19,3,1),"")</f>
        <v/>
      </c>
      <c r="G19" s="135" t="str">
        <f>IF(A19&lt;&gt;"",maxAxial(A19,1,2),"")</f>
        <v/>
      </c>
      <c r="H19" s="135" t="str">
        <f>IF(A19&lt;&gt;"",maxAxial(A19,2,2),"")</f>
        <v/>
      </c>
      <c r="I19" s="135" t="str">
        <f>IF(A19&lt;&gt;"",maxAxial(A19,3,2),"")</f>
        <v/>
      </c>
    </row>
    <row r="20" spans="1:9" x14ac:dyDescent="0.3">
      <c r="A20" s="9" t="str">
        <f t="shared" si="1"/>
        <v/>
      </c>
      <c r="B20" s="135" t="str">
        <f>IF('Girder Bracing Data'!A20&lt;&gt;"",'Girder Bracing Data'!A20,"")</f>
        <v/>
      </c>
      <c r="C20" s="135" t="str">
        <f t="shared" si="0"/>
        <v/>
      </c>
      <c r="D20" s="135" t="str">
        <f>IF(A20&lt;&gt;"",maxAxial(A20,1,1),"")</f>
        <v/>
      </c>
      <c r="E20" s="135" t="str">
        <f>IF(A20&lt;&gt;"",maxAxial(A20,2,1),"")</f>
        <v/>
      </c>
      <c r="F20" s="135" t="str">
        <f>IF(A20&lt;&gt;"",maxAxial(A20,3,1),"")</f>
        <v/>
      </c>
      <c r="G20" s="135" t="str">
        <f>IF(A20&lt;&gt;"",maxAxial(A20,1,2),"")</f>
        <v/>
      </c>
      <c r="H20" s="135" t="str">
        <f>IF(A20&lt;&gt;"",maxAxial(A20,2,2),"")</f>
        <v/>
      </c>
      <c r="I20" s="135" t="str">
        <f>IF(A20&lt;&gt;"",maxAxial(A20,3,2),"")</f>
        <v/>
      </c>
    </row>
    <row r="21" spans="1:9" x14ac:dyDescent="0.3">
      <c r="A21" s="9" t="str">
        <f t="shared" si="1"/>
        <v/>
      </c>
      <c r="B21" s="135" t="str">
        <f>IF('Girder Bracing Data'!A21&lt;&gt;"",'Girder Bracing Data'!A21,"")</f>
        <v/>
      </c>
      <c r="C21" s="135" t="str">
        <f t="shared" si="0"/>
        <v/>
      </c>
      <c r="D21" s="135" t="str">
        <f>IF(A21&lt;&gt;"",maxAxial(A21,1,1),"")</f>
        <v/>
      </c>
      <c r="E21" s="135" t="str">
        <f>IF(A21&lt;&gt;"",maxAxial(A21,2,1),"")</f>
        <v/>
      </c>
      <c r="F21" s="135" t="str">
        <f>IF(A21&lt;&gt;"",maxAxial(A21,3,1),"")</f>
        <v/>
      </c>
      <c r="G21" s="135" t="str">
        <f>IF(A21&lt;&gt;"",maxAxial(A21,1,2),"")</f>
        <v/>
      </c>
      <c r="H21" s="135" t="str">
        <f>IF(A21&lt;&gt;"",maxAxial(A21,2,2),"")</f>
        <v/>
      </c>
      <c r="I21" s="135" t="str">
        <f>IF(A21&lt;&gt;"",maxAxial(A21,3,2),"")</f>
        <v/>
      </c>
    </row>
    <row r="22" spans="1:9" x14ac:dyDescent="0.3">
      <c r="A22" s="9" t="str">
        <f t="shared" si="1"/>
        <v/>
      </c>
      <c r="B22" s="135" t="str">
        <f>IF('Girder Bracing Data'!A22&lt;&gt;"",'Girder Bracing Data'!A22,"")</f>
        <v/>
      </c>
      <c r="C22" s="135" t="str">
        <f t="shared" si="0"/>
        <v/>
      </c>
      <c r="D22" s="135" t="str">
        <f>IF(A22&lt;&gt;"",maxAxial(A22,1,1),"")</f>
        <v/>
      </c>
      <c r="E22" s="135" t="str">
        <f>IF(A22&lt;&gt;"",maxAxial(A22,2,1),"")</f>
        <v/>
      </c>
      <c r="F22" s="135" t="str">
        <f>IF(A22&lt;&gt;"",maxAxial(A22,3,1),"")</f>
        <v/>
      </c>
      <c r="G22" s="135" t="str">
        <f>IF(A22&lt;&gt;"",maxAxial(A22,1,2),"")</f>
        <v/>
      </c>
      <c r="H22" s="135" t="str">
        <f>IF(A22&lt;&gt;"",maxAxial(A22,2,2),"")</f>
        <v/>
      </c>
      <c r="I22" s="135" t="str">
        <f>IF(A22&lt;&gt;"",maxAxial(A22,3,2),"")</f>
        <v/>
      </c>
    </row>
    <row r="23" spans="1:9" x14ac:dyDescent="0.3">
      <c r="A23" s="9" t="str">
        <f t="shared" si="1"/>
        <v/>
      </c>
      <c r="B23" s="135" t="str">
        <f>IF('Girder Bracing Data'!A23&lt;&gt;"",'Girder Bracing Data'!A23,"")</f>
        <v/>
      </c>
      <c r="C23" s="135" t="str">
        <f t="shared" si="0"/>
        <v/>
      </c>
      <c r="D23" s="135" t="str">
        <f>IF(A23&lt;&gt;"",maxAxial(A23,1,1),"")</f>
        <v/>
      </c>
      <c r="E23" s="135" t="str">
        <f>IF(A23&lt;&gt;"",maxAxial(A23,2,1),"")</f>
        <v/>
      </c>
      <c r="F23" s="135" t="str">
        <f>IF(A23&lt;&gt;"",maxAxial(A23,3,1),"")</f>
        <v/>
      </c>
      <c r="G23" s="135" t="str">
        <f>IF(A23&lt;&gt;"",maxAxial(A23,1,2),"")</f>
        <v/>
      </c>
      <c r="H23" s="135" t="str">
        <f>IF(A23&lt;&gt;"",maxAxial(A23,2,2),"")</f>
        <v/>
      </c>
      <c r="I23" s="135" t="str">
        <f>IF(A23&lt;&gt;"",maxAxial(A23,3,2),"")</f>
        <v/>
      </c>
    </row>
    <row r="24" spans="1:9" x14ac:dyDescent="0.3">
      <c r="A24" s="9" t="str">
        <f t="shared" si="1"/>
        <v/>
      </c>
      <c r="B24" s="135" t="str">
        <f>IF('Girder Bracing Data'!A24&lt;&gt;"",'Girder Bracing Data'!A24,"")</f>
        <v/>
      </c>
      <c r="C24" s="135" t="str">
        <f t="shared" si="0"/>
        <v/>
      </c>
      <c r="D24" s="135" t="str">
        <f>IF(A24&lt;&gt;"",maxAxial(A24,1,1),"")</f>
        <v/>
      </c>
      <c r="E24" s="135" t="str">
        <f>IF(A24&lt;&gt;"",maxAxial(A24,2,1),"")</f>
        <v/>
      </c>
      <c r="F24" s="135" t="str">
        <f>IF(A24&lt;&gt;"",maxAxial(A24,3,1),"")</f>
        <v/>
      </c>
      <c r="G24" s="135" t="str">
        <f>IF(A24&lt;&gt;"",maxAxial(A24,1,2),"")</f>
        <v/>
      </c>
      <c r="H24" s="135" t="str">
        <f>IF(A24&lt;&gt;"",maxAxial(A24,2,2),"")</f>
        <v/>
      </c>
      <c r="I24" s="135" t="str">
        <f>IF(A24&lt;&gt;"",maxAxial(A24,3,2),"")</f>
        <v/>
      </c>
    </row>
    <row r="25" spans="1:9" x14ac:dyDescent="0.3">
      <c r="A25" s="9" t="str">
        <f t="shared" si="1"/>
        <v/>
      </c>
      <c r="B25" s="135" t="str">
        <f>IF('Girder Bracing Data'!A25&lt;&gt;"",'Girder Bracing Data'!A25,"")</f>
        <v/>
      </c>
      <c r="C25" s="135" t="str">
        <f t="shared" si="0"/>
        <v/>
      </c>
      <c r="D25" s="135" t="str">
        <f>IF(A25&lt;&gt;"",maxAxial(A25,1,1),"")</f>
        <v/>
      </c>
      <c r="E25" s="135" t="str">
        <f>IF(A25&lt;&gt;"",maxAxial(A25,2,1),"")</f>
        <v/>
      </c>
      <c r="F25" s="135" t="str">
        <f>IF(A25&lt;&gt;"",maxAxial(A25,3,1),"")</f>
        <v/>
      </c>
      <c r="G25" s="135" t="str">
        <f>IF(A25&lt;&gt;"",maxAxial(A25,1,2),"")</f>
        <v/>
      </c>
      <c r="H25" s="135" t="str">
        <f>IF(A25&lt;&gt;"",maxAxial(A25,2,2),"")</f>
        <v/>
      </c>
      <c r="I25" s="135" t="str">
        <f>IF(A25&lt;&gt;"",maxAxial(A25,3,2),"")</f>
        <v/>
      </c>
    </row>
    <row r="26" spans="1:9" x14ac:dyDescent="0.3">
      <c r="A26" s="9" t="str">
        <f t="shared" si="1"/>
        <v/>
      </c>
      <c r="B26" s="135" t="str">
        <f>IF('Girder Bracing Data'!A26&lt;&gt;"",'Girder Bracing Data'!A26,"")</f>
        <v/>
      </c>
      <c r="C26" s="135" t="str">
        <f t="shared" si="0"/>
        <v/>
      </c>
      <c r="D26" s="135" t="str">
        <f>IF(A26&lt;&gt;"",maxAxial(A26,1,1),"")</f>
        <v/>
      </c>
      <c r="E26" s="135" t="str">
        <f>IF(A26&lt;&gt;"",maxAxial(A26,2,1),"")</f>
        <v/>
      </c>
      <c r="F26" s="135" t="str">
        <f>IF(A26&lt;&gt;"",maxAxial(A26,3,1),"")</f>
        <v/>
      </c>
      <c r="G26" s="135" t="str">
        <f>IF(A26&lt;&gt;"",maxAxial(A26,1,2),"")</f>
        <v/>
      </c>
      <c r="H26" s="135" t="str">
        <f>IF(A26&lt;&gt;"",maxAxial(A26,2,2),"")</f>
        <v/>
      </c>
      <c r="I26" s="135" t="str">
        <f>IF(A26&lt;&gt;"",maxAxial(A26,3,2),"")</f>
        <v/>
      </c>
    </row>
    <row r="27" spans="1:9" x14ac:dyDescent="0.3">
      <c r="A27" s="9" t="str">
        <f t="shared" si="1"/>
        <v/>
      </c>
      <c r="B27" s="135" t="str">
        <f>IF('Girder Bracing Data'!A27&lt;&gt;"",'Girder Bracing Data'!A27,"")</f>
        <v/>
      </c>
      <c r="C27" s="135" t="str">
        <f t="shared" si="0"/>
        <v/>
      </c>
      <c r="D27" s="135" t="str">
        <f>IF(A27&lt;&gt;"",maxAxial(A27,1,1),"")</f>
        <v/>
      </c>
      <c r="E27" s="135" t="str">
        <f>IF(A27&lt;&gt;"",maxAxial(A27,2,1),"")</f>
        <v/>
      </c>
      <c r="F27" s="135" t="str">
        <f>IF(A27&lt;&gt;"",maxAxial(A27,3,1),"")</f>
        <v/>
      </c>
      <c r="G27" s="135" t="str">
        <f>IF(A27&lt;&gt;"",maxAxial(A27,1,2),"")</f>
        <v/>
      </c>
      <c r="H27" s="135" t="str">
        <f>IF(A27&lt;&gt;"",maxAxial(A27,2,2),"")</f>
        <v/>
      </c>
      <c r="I27" s="135" t="str">
        <f>IF(A27&lt;&gt;"",maxAxial(A27,3,2),"")</f>
        <v/>
      </c>
    </row>
    <row r="28" spans="1:9" x14ac:dyDescent="0.3">
      <c r="A28" s="9" t="str">
        <f t="shared" si="1"/>
        <v/>
      </c>
      <c r="B28" s="135" t="str">
        <f>IF('Girder Bracing Data'!A28&lt;&gt;"",'Girder Bracing Data'!A28,"")</f>
        <v/>
      </c>
      <c r="C28" s="135" t="str">
        <f t="shared" si="0"/>
        <v/>
      </c>
      <c r="D28" s="135" t="str">
        <f>IF(A28&lt;&gt;"",maxAxial(A28,1,1),"")</f>
        <v/>
      </c>
      <c r="E28" s="135" t="str">
        <f>IF(A28&lt;&gt;"",maxAxial(A28,2,1),"")</f>
        <v/>
      </c>
      <c r="F28" s="135" t="str">
        <f>IF(A28&lt;&gt;"",maxAxial(A28,3,1),"")</f>
        <v/>
      </c>
      <c r="G28" s="135" t="str">
        <f>IF(A28&lt;&gt;"",maxAxial(A28,1,2),"")</f>
        <v/>
      </c>
      <c r="H28" s="135" t="str">
        <f>IF(A28&lt;&gt;"",maxAxial(A28,2,2),"")</f>
        <v/>
      </c>
      <c r="I28" s="135" t="str">
        <f>IF(A28&lt;&gt;"",maxAxial(A28,3,2),"")</f>
        <v/>
      </c>
    </row>
    <row r="29" spans="1:9" x14ac:dyDescent="0.3">
      <c r="A29" s="9" t="str">
        <f t="shared" si="1"/>
        <v/>
      </c>
      <c r="B29" s="135" t="str">
        <f>IF('Girder Bracing Data'!A29&lt;&gt;"",'Girder Bracing Data'!A29,"")</f>
        <v/>
      </c>
      <c r="C29" s="135" t="str">
        <f t="shared" si="0"/>
        <v/>
      </c>
      <c r="D29" s="135" t="str">
        <f>IF(A29&lt;&gt;"",maxAxial(A29,1,1),"")</f>
        <v/>
      </c>
      <c r="E29" s="135" t="str">
        <f>IF(A29&lt;&gt;"",maxAxial(A29,2,1),"")</f>
        <v/>
      </c>
      <c r="F29" s="135" t="str">
        <f>IF(A29&lt;&gt;"",maxAxial(A29,3,1),"")</f>
        <v/>
      </c>
      <c r="G29" s="135" t="str">
        <f>IF(A29&lt;&gt;"",maxAxial(A29,1,2),"")</f>
        <v/>
      </c>
      <c r="H29" s="135" t="str">
        <f>IF(A29&lt;&gt;"",maxAxial(A29,2,2),"")</f>
        <v/>
      </c>
      <c r="I29" s="135" t="str">
        <f>IF(A29&lt;&gt;"",maxAxial(A29,3,2),"")</f>
        <v/>
      </c>
    </row>
    <row r="30" spans="1:9" x14ac:dyDescent="0.3">
      <c r="A30" s="9" t="str">
        <f t="shared" si="1"/>
        <v/>
      </c>
      <c r="B30" s="135" t="str">
        <f>IF('Girder Bracing Data'!A30&lt;&gt;"",'Girder Bracing Data'!A30,"")</f>
        <v/>
      </c>
      <c r="C30" s="135" t="str">
        <f t="shared" si="0"/>
        <v/>
      </c>
      <c r="D30" s="135" t="str">
        <f>IF(A30&lt;&gt;"",maxAxial(A30,1,1),"")</f>
        <v/>
      </c>
      <c r="E30" s="135" t="str">
        <f>IF(A30&lt;&gt;"",maxAxial(A30,2,1),"")</f>
        <v/>
      </c>
      <c r="F30" s="135" t="str">
        <f>IF(A30&lt;&gt;"",maxAxial(A30,3,1),"")</f>
        <v/>
      </c>
      <c r="G30" s="135" t="str">
        <f>IF(A30&lt;&gt;"",maxAxial(A30,1,2),"")</f>
        <v/>
      </c>
      <c r="H30" s="135" t="str">
        <f>IF(A30&lt;&gt;"",maxAxial(A30,2,2),"")</f>
        <v/>
      </c>
      <c r="I30" s="135" t="str">
        <f>IF(A30&lt;&gt;"",maxAxial(A30,3,2),"")</f>
        <v/>
      </c>
    </row>
    <row r="31" spans="1:9" x14ac:dyDescent="0.3">
      <c r="A31" s="9" t="str">
        <f t="shared" si="1"/>
        <v/>
      </c>
      <c r="B31" s="135" t="str">
        <f>IF('Girder Bracing Data'!A31&lt;&gt;"",'Girder Bracing Data'!A31,"")</f>
        <v/>
      </c>
      <c r="C31" s="135" t="str">
        <f t="shared" si="0"/>
        <v/>
      </c>
      <c r="D31" s="135" t="str">
        <f>IF(A31&lt;&gt;"",maxAxial(A31,1,1),"")</f>
        <v/>
      </c>
      <c r="E31" s="135" t="str">
        <f>IF(A31&lt;&gt;"",maxAxial(A31,2,1),"")</f>
        <v/>
      </c>
      <c r="F31" s="135" t="str">
        <f>IF(A31&lt;&gt;"",maxAxial(A31,3,1),"")</f>
        <v/>
      </c>
      <c r="G31" s="135" t="str">
        <f>IF(A31&lt;&gt;"",maxAxial(A31,1,2),"")</f>
        <v/>
      </c>
      <c r="H31" s="135" t="str">
        <f>IF(A31&lt;&gt;"",maxAxial(A31,2,2),"")</f>
        <v/>
      </c>
      <c r="I31" s="135" t="str">
        <f>IF(A31&lt;&gt;"",maxAxial(A31,3,2),"")</f>
        <v/>
      </c>
    </row>
    <row r="32" spans="1:9" x14ac:dyDescent="0.3">
      <c r="A32" s="9" t="str">
        <f t="shared" si="1"/>
        <v/>
      </c>
      <c r="B32" s="135" t="str">
        <f>IF('Girder Bracing Data'!A32&lt;&gt;"",'Girder Bracing Data'!A32,"")</f>
        <v/>
      </c>
      <c r="C32" s="135" t="str">
        <f t="shared" si="0"/>
        <v/>
      </c>
      <c r="D32" s="135" t="str">
        <f>IF(A32&lt;&gt;"",maxAxial(A32,1,1),"")</f>
        <v/>
      </c>
      <c r="E32" s="135" t="str">
        <f>IF(A32&lt;&gt;"",maxAxial(A32,2,1),"")</f>
        <v/>
      </c>
      <c r="F32" s="135" t="str">
        <f>IF(A32&lt;&gt;"",maxAxial(A32,3,1),"")</f>
        <v/>
      </c>
      <c r="G32" s="135" t="str">
        <f>IF(A32&lt;&gt;"",maxAxial(A32,1,2),"")</f>
        <v/>
      </c>
      <c r="H32" s="135" t="str">
        <f>IF(A32&lt;&gt;"",maxAxial(A32,2,2),"")</f>
        <v/>
      </c>
      <c r="I32" s="135" t="str">
        <f>IF(A32&lt;&gt;"",maxAxial(A32,3,2),"")</f>
        <v/>
      </c>
    </row>
    <row r="33" spans="1:9" x14ac:dyDescent="0.3">
      <c r="A33" s="9" t="str">
        <f t="shared" si="1"/>
        <v/>
      </c>
      <c r="B33" s="135" t="str">
        <f>IF('Girder Bracing Data'!A33&lt;&gt;"",'Girder Bracing Data'!A33,"")</f>
        <v/>
      </c>
      <c r="C33" s="135" t="str">
        <f t="shared" si="0"/>
        <v/>
      </c>
      <c r="D33" s="135" t="str">
        <f>IF(A33&lt;&gt;"",maxAxial(A33,1,1),"")</f>
        <v/>
      </c>
      <c r="E33" s="135" t="str">
        <f>IF(A33&lt;&gt;"",maxAxial(A33,2,1),"")</f>
        <v/>
      </c>
      <c r="F33" s="135" t="str">
        <f>IF(A33&lt;&gt;"",maxAxial(A33,3,1),"")</f>
        <v/>
      </c>
      <c r="G33" s="135" t="str">
        <f>IF(A33&lt;&gt;"",maxAxial(A33,1,2),"")</f>
        <v/>
      </c>
      <c r="H33" s="135" t="str">
        <f>IF(A33&lt;&gt;"",maxAxial(A33,2,2),"")</f>
        <v/>
      </c>
      <c r="I33" s="135" t="str">
        <f>IF(A33&lt;&gt;"",maxAxial(A33,3,2),"")</f>
        <v/>
      </c>
    </row>
    <row r="34" spans="1:9" x14ac:dyDescent="0.3">
      <c r="A34" s="9" t="str">
        <f t="shared" si="1"/>
        <v/>
      </c>
      <c r="B34" s="135" t="str">
        <f>IF('Girder Bracing Data'!A34&lt;&gt;"",'Girder Bracing Data'!A34,"")</f>
        <v/>
      </c>
      <c r="C34" s="135" t="str">
        <f t="shared" si="0"/>
        <v/>
      </c>
      <c r="D34" s="135" t="str">
        <f>IF(A34&lt;&gt;"",maxAxial(A34,1,1),"")</f>
        <v/>
      </c>
      <c r="E34" s="135" t="str">
        <f>IF(A34&lt;&gt;"",maxAxial(A34,2,1),"")</f>
        <v/>
      </c>
      <c r="F34" s="135" t="str">
        <f>IF(A34&lt;&gt;"",maxAxial(A34,3,1),"")</f>
        <v/>
      </c>
      <c r="G34" s="135" t="str">
        <f>IF(A34&lt;&gt;"",maxAxial(A34,1,2),"")</f>
        <v/>
      </c>
      <c r="H34" s="135" t="str">
        <f>IF(A34&lt;&gt;"",maxAxial(A34,2,2),"")</f>
        <v/>
      </c>
      <c r="I34" s="135" t="str">
        <f>IF(A34&lt;&gt;"",maxAxial(A34,3,2),"")</f>
        <v/>
      </c>
    </row>
    <row r="35" spans="1:9" x14ac:dyDescent="0.3">
      <c r="A35" s="9" t="str">
        <f t="shared" si="1"/>
        <v/>
      </c>
      <c r="B35" s="135" t="str">
        <f>IF('Girder Bracing Data'!A35&lt;&gt;"",'Girder Bracing Data'!A35,"")</f>
        <v/>
      </c>
      <c r="C35" s="135" t="str">
        <f t="shared" si="0"/>
        <v/>
      </c>
      <c r="D35" s="135" t="str">
        <f>IF(A35&lt;&gt;"",maxAxial(A35,1,1),"")</f>
        <v/>
      </c>
      <c r="E35" s="135" t="str">
        <f>IF(A35&lt;&gt;"",maxAxial(A35,2,1),"")</f>
        <v/>
      </c>
      <c r="F35" s="135" t="str">
        <f>IF(A35&lt;&gt;"",maxAxial(A35,3,1),"")</f>
        <v/>
      </c>
      <c r="G35" s="135" t="str">
        <f>IF(A35&lt;&gt;"",maxAxial(A35,1,2),"")</f>
        <v/>
      </c>
      <c r="H35" s="135" t="str">
        <f>IF(A35&lt;&gt;"",maxAxial(A35,2,2),"")</f>
        <v/>
      </c>
      <c r="I35" s="135" t="str">
        <f>IF(A35&lt;&gt;"",maxAxial(A35,3,2),"")</f>
        <v/>
      </c>
    </row>
    <row r="36" spans="1:9" x14ac:dyDescent="0.3">
      <c r="A36" s="9" t="str">
        <f t="shared" si="1"/>
        <v/>
      </c>
      <c r="B36" s="135" t="str">
        <f>IF('Girder Bracing Data'!A36&lt;&gt;"",'Girder Bracing Data'!A36,"")</f>
        <v/>
      </c>
      <c r="C36" s="135" t="str">
        <f t="shared" si="0"/>
        <v/>
      </c>
      <c r="D36" s="135" t="str">
        <f>IF(A36&lt;&gt;"",maxAxial(A36,1,1),"")</f>
        <v/>
      </c>
      <c r="E36" s="135" t="str">
        <f>IF(A36&lt;&gt;"",maxAxial(A36,2,1),"")</f>
        <v/>
      </c>
      <c r="F36" s="135" t="str">
        <f>IF(A36&lt;&gt;"",maxAxial(A36,3,1),"")</f>
        <v/>
      </c>
      <c r="G36" s="135" t="str">
        <f>IF(A36&lt;&gt;"",maxAxial(A36,1,2),"")</f>
        <v/>
      </c>
      <c r="H36" s="135" t="str">
        <f>IF(A36&lt;&gt;"",maxAxial(A36,2,2),"")</f>
        <v/>
      </c>
      <c r="I36" s="135" t="str">
        <f>IF(A36&lt;&gt;"",maxAxial(A36,3,2),"")</f>
        <v/>
      </c>
    </row>
    <row r="37" spans="1:9" x14ac:dyDescent="0.3">
      <c r="A37" s="9" t="str">
        <f t="shared" si="1"/>
        <v/>
      </c>
      <c r="B37" s="135" t="str">
        <f>IF('Girder Bracing Data'!A37&lt;&gt;"",'Girder Bracing Data'!A37,"")</f>
        <v/>
      </c>
      <c r="C37" s="135" t="str">
        <f t="shared" si="0"/>
        <v/>
      </c>
      <c r="D37" s="135" t="str">
        <f>IF(A37&lt;&gt;"",maxAxial(A37,1,1),"")</f>
        <v/>
      </c>
      <c r="E37" s="135" t="str">
        <f>IF(A37&lt;&gt;"",maxAxial(A37,2,1),"")</f>
        <v/>
      </c>
      <c r="F37" s="135" t="str">
        <f>IF(A37&lt;&gt;"",maxAxial(A37,3,1),"")</f>
        <v/>
      </c>
      <c r="G37" s="135" t="str">
        <f>IF(A37&lt;&gt;"",maxAxial(A37,1,2),"")</f>
        <v/>
      </c>
      <c r="H37" s="135" t="str">
        <f>IF(A37&lt;&gt;"",maxAxial(A37,2,2),"")</f>
        <v/>
      </c>
      <c r="I37" s="135" t="str">
        <f>IF(A37&lt;&gt;"",maxAxial(A37,3,2),"")</f>
        <v/>
      </c>
    </row>
    <row r="38" spans="1:9" x14ac:dyDescent="0.3">
      <c r="A38" s="9" t="str">
        <f t="shared" si="1"/>
        <v/>
      </c>
      <c r="B38" s="135" t="str">
        <f>IF('Girder Bracing Data'!A38&lt;&gt;"",'Girder Bracing Data'!A38,"")</f>
        <v/>
      </c>
      <c r="C38" s="135" t="str">
        <f t="shared" si="0"/>
        <v/>
      </c>
      <c r="D38" s="135" t="str">
        <f>IF(A38&lt;&gt;"",maxAxial(A38,1,1),"")</f>
        <v/>
      </c>
      <c r="E38" s="135" t="str">
        <f>IF(A38&lt;&gt;"",maxAxial(A38,2,1),"")</f>
        <v/>
      </c>
      <c r="F38" s="135" t="str">
        <f>IF(A38&lt;&gt;"",maxAxial(A38,3,1),"")</f>
        <v/>
      </c>
      <c r="G38" s="135" t="str">
        <f>IF(A38&lt;&gt;"",maxAxial(A38,1,2),"")</f>
        <v/>
      </c>
      <c r="H38" s="135" t="str">
        <f>IF(A38&lt;&gt;"",maxAxial(A38,2,2),"")</f>
        <v/>
      </c>
      <c r="I38" s="135" t="str">
        <f>IF(A38&lt;&gt;"",maxAxial(A38,3,2),"")</f>
        <v/>
      </c>
    </row>
    <row r="39" spans="1:9" x14ac:dyDescent="0.3">
      <c r="A39" s="9" t="str">
        <f t="shared" si="1"/>
        <v/>
      </c>
      <c r="B39" s="135" t="str">
        <f>IF('Girder Bracing Data'!A39&lt;&gt;"",'Girder Bracing Data'!A39,"")</f>
        <v/>
      </c>
      <c r="C39" s="135" t="str">
        <f t="shared" si="0"/>
        <v/>
      </c>
      <c r="D39" s="135" t="str">
        <f>IF(A39&lt;&gt;"",maxAxial(A39,1,1),"")</f>
        <v/>
      </c>
      <c r="E39" s="135" t="str">
        <f>IF(A39&lt;&gt;"",maxAxial(A39,2,1),"")</f>
        <v/>
      </c>
      <c r="F39" s="135" t="str">
        <f>IF(A39&lt;&gt;"",maxAxial(A39,3,1),"")</f>
        <v/>
      </c>
      <c r="G39" s="135" t="str">
        <f>IF(A39&lt;&gt;"",maxAxial(A39,1,2),"")</f>
        <v/>
      </c>
      <c r="H39" s="135" t="str">
        <f>IF(A39&lt;&gt;"",maxAxial(A39,2,2),"")</f>
        <v/>
      </c>
      <c r="I39" s="135" t="str">
        <f>IF(A39&lt;&gt;"",maxAxial(A39,3,2),"")</f>
        <v/>
      </c>
    </row>
    <row r="40" spans="1:9" x14ac:dyDescent="0.3">
      <c r="A40" s="9" t="str">
        <f t="shared" si="1"/>
        <v/>
      </c>
      <c r="B40" s="135" t="str">
        <f>IF('Girder Bracing Data'!A40&lt;&gt;"",'Girder Bracing Data'!A40,"")</f>
        <v/>
      </c>
      <c r="C40" s="135" t="str">
        <f t="shared" si="0"/>
        <v/>
      </c>
      <c r="D40" s="135" t="str">
        <f>IF(A40&lt;&gt;"",maxAxial(A40,1,1),"")</f>
        <v/>
      </c>
      <c r="E40" s="135" t="str">
        <f>IF(A40&lt;&gt;"",maxAxial(A40,2,1),"")</f>
        <v/>
      </c>
      <c r="F40" s="135" t="str">
        <f>IF(A40&lt;&gt;"",maxAxial(A40,3,1),"")</f>
        <v/>
      </c>
      <c r="G40" s="135" t="str">
        <f>IF(A40&lt;&gt;"",maxAxial(A40,1,2),"")</f>
        <v/>
      </c>
      <c r="H40" s="135" t="str">
        <f>IF(A40&lt;&gt;"",maxAxial(A40,2,2),"")</f>
        <v/>
      </c>
      <c r="I40" s="135" t="str">
        <f>IF(A40&lt;&gt;"",maxAxial(A40,3,2),"")</f>
        <v/>
      </c>
    </row>
    <row r="41" spans="1:9" x14ac:dyDescent="0.3">
      <c r="A41" s="9" t="str">
        <f t="shared" si="1"/>
        <v/>
      </c>
      <c r="B41" s="135" t="str">
        <f>IF('Girder Bracing Data'!A41&lt;&gt;"",'Girder Bracing Data'!A41,"")</f>
        <v/>
      </c>
      <c r="C41" s="135" t="str">
        <f t="shared" si="0"/>
        <v/>
      </c>
      <c r="D41" s="135" t="str">
        <f>IF(A41&lt;&gt;"",maxAxial(A41,1,1),"")</f>
        <v/>
      </c>
      <c r="E41" s="135" t="str">
        <f>IF(A41&lt;&gt;"",maxAxial(A41,2,1),"")</f>
        <v/>
      </c>
      <c r="F41" s="135" t="str">
        <f>IF(A41&lt;&gt;"",maxAxial(A41,3,1),"")</f>
        <v/>
      </c>
      <c r="G41" s="135" t="str">
        <f>IF(A41&lt;&gt;"",maxAxial(A41,1,2),"")</f>
        <v/>
      </c>
      <c r="H41" s="135" t="str">
        <f>IF(A41&lt;&gt;"",maxAxial(A41,2,2),"")</f>
        <v/>
      </c>
      <c r="I41" s="135" t="str">
        <f>IF(A41&lt;&gt;"",maxAxial(A41,3,2),"")</f>
        <v/>
      </c>
    </row>
    <row r="42" spans="1:9" x14ac:dyDescent="0.3">
      <c r="A42" s="9" t="str">
        <f t="shared" si="1"/>
        <v/>
      </c>
      <c r="B42" s="135" t="str">
        <f>IF('Girder Bracing Data'!A42&lt;&gt;"",'Girder Bracing Data'!A42,"")</f>
        <v/>
      </c>
      <c r="C42" s="135" t="str">
        <f t="shared" si="0"/>
        <v/>
      </c>
      <c r="D42" s="135" t="str">
        <f>IF(A42&lt;&gt;"",maxAxial(A42,1,1),"")</f>
        <v/>
      </c>
      <c r="E42" s="135" t="str">
        <f>IF(A42&lt;&gt;"",maxAxial(A42,2,1),"")</f>
        <v/>
      </c>
      <c r="F42" s="135" t="str">
        <f>IF(A42&lt;&gt;"",maxAxial(A42,3,1),"")</f>
        <v/>
      </c>
      <c r="G42" s="135" t="str">
        <f>IF(A42&lt;&gt;"",maxAxial(A42,1,2),"")</f>
        <v/>
      </c>
      <c r="H42" s="135" t="str">
        <f>IF(A42&lt;&gt;"",maxAxial(A42,2,2),"")</f>
        <v/>
      </c>
      <c r="I42" s="135" t="str">
        <f>IF(A42&lt;&gt;"",maxAxial(A42,3,2),"")</f>
        <v/>
      </c>
    </row>
    <row r="43" spans="1:9" x14ac:dyDescent="0.3">
      <c r="A43" s="9" t="str">
        <f t="shared" si="1"/>
        <v/>
      </c>
      <c r="B43" s="135" t="str">
        <f>IF('Girder Bracing Data'!A43&lt;&gt;"",'Girder Bracing Data'!A43,"")</f>
        <v/>
      </c>
      <c r="C43" s="135" t="str">
        <f t="shared" si="0"/>
        <v/>
      </c>
      <c r="D43" s="135" t="str">
        <f>IF(A43&lt;&gt;"",maxAxial(A43,1,1),"")</f>
        <v/>
      </c>
      <c r="E43" s="135" t="str">
        <f>IF(A43&lt;&gt;"",maxAxial(A43,2,1),"")</f>
        <v/>
      </c>
      <c r="F43" s="135" t="str">
        <f>IF(A43&lt;&gt;"",maxAxial(A43,3,1),"")</f>
        <v/>
      </c>
      <c r="G43" s="135" t="str">
        <f>IF(A43&lt;&gt;"",maxAxial(A43,1,2),"")</f>
        <v/>
      </c>
      <c r="H43" s="135" t="str">
        <f>IF(A43&lt;&gt;"",maxAxial(A43,2,2),"")</f>
        <v/>
      </c>
      <c r="I43" s="135" t="str">
        <f>IF(A43&lt;&gt;"",maxAxial(A43,3,2),"")</f>
        <v/>
      </c>
    </row>
    <row r="44" spans="1:9" x14ac:dyDescent="0.3">
      <c r="A44" s="9" t="str">
        <f t="shared" si="1"/>
        <v/>
      </c>
      <c r="B44" s="135" t="str">
        <f>IF('Girder Bracing Data'!A44&lt;&gt;"",'Girder Bracing Data'!A44,"")</f>
        <v/>
      </c>
      <c r="C44" s="135" t="str">
        <f t="shared" si="0"/>
        <v/>
      </c>
      <c r="D44" s="135" t="str">
        <f>IF(A44&lt;&gt;"",maxAxial(A44,1,1),"")</f>
        <v/>
      </c>
      <c r="E44" s="135" t="str">
        <f>IF(A44&lt;&gt;"",maxAxial(A44,2,1),"")</f>
        <v/>
      </c>
      <c r="F44" s="135" t="str">
        <f>IF(A44&lt;&gt;"",maxAxial(A44,3,1),"")</f>
        <v/>
      </c>
      <c r="G44" s="135" t="str">
        <f>IF(A44&lt;&gt;"",maxAxial(A44,1,2),"")</f>
        <v/>
      </c>
      <c r="H44" s="135" t="str">
        <f>IF(A44&lt;&gt;"",maxAxial(A44,2,2),"")</f>
        <v/>
      </c>
      <c r="I44" s="135" t="str">
        <f>IF(A44&lt;&gt;"",maxAxial(A44,3,2),"")</f>
        <v/>
      </c>
    </row>
    <row r="45" spans="1:9" x14ac:dyDescent="0.3">
      <c r="A45" s="9" t="str">
        <f t="shared" si="1"/>
        <v/>
      </c>
      <c r="B45" s="135" t="str">
        <f>IF('Girder Bracing Data'!A45&lt;&gt;"",'Girder Bracing Data'!A45,"")</f>
        <v/>
      </c>
      <c r="C45" s="135" t="str">
        <f t="shared" si="0"/>
        <v/>
      </c>
      <c r="D45" s="135" t="str">
        <f>IF(A45&lt;&gt;"",maxAxial(A45,1,1),"")</f>
        <v/>
      </c>
      <c r="E45" s="135" t="str">
        <f>IF(A45&lt;&gt;"",maxAxial(A45,2,1),"")</f>
        <v/>
      </c>
      <c r="F45" s="135" t="str">
        <f>IF(A45&lt;&gt;"",maxAxial(A45,3,1),"")</f>
        <v/>
      </c>
      <c r="G45" s="135" t="str">
        <f>IF(A45&lt;&gt;"",maxAxial(A45,1,2),"")</f>
        <v/>
      </c>
      <c r="H45" s="135" t="str">
        <f>IF(A45&lt;&gt;"",maxAxial(A45,2,2),"")</f>
        <v/>
      </c>
      <c r="I45" s="135" t="str">
        <f>IF(A45&lt;&gt;"",maxAxial(A45,3,2),"")</f>
        <v/>
      </c>
    </row>
    <row r="46" spans="1:9" x14ac:dyDescent="0.3">
      <c r="A46" s="9" t="str">
        <f t="shared" si="1"/>
        <v/>
      </c>
      <c r="B46" s="135" t="str">
        <f>IF('Girder Bracing Data'!A46&lt;&gt;"",'Girder Bracing Data'!A46,"")</f>
        <v/>
      </c>
      <c r="C46" s="135" t="str">
        <f t="shared" si="0"/>
        <v/>
      </c>
      <c r="D46" s="135" t="str">
        <f>IF(A46&lt;&gt;"",maxAxial(A46,1,1),"")</f>
        <v/>
      </c>
      <c r="E46" s="135" t="str">
        <f>IF(A46&lt;&gt;"",maxAxial(A46,2,1),"")</f>
        <v/>
      </c>
      <c r="F46" s="135" t="str">
        <f>IF(A46&lt;&gt;"",maxAxial(A46,3,1),"")</f>
        <v/>
      </c>
      <c r="G46" s="135" t="str">
        <f>IF(A46&lt;&gt;"",maxAxial(A46,1,2),"")</f>
        <v/>
      </c>
      <c r="H46" s="135" t="str">
        <f>IF(A46&lt;&gt;"",maxAxial(A46,2,2),"")</f>
        <v/>
      </c>
      <c r="I46" s="135" t="str">
        <f>IF(A46&lt;&gt;"",maxAxial(A46,3,2),"")</f>
        <v/>
      </c>
    </row>
    <row r="47" spans="1:9" x14ac:dyDescent="0.3">
      <c r="A47" s="9" t="str">
        <f t="shared" si="1"/>
        <v/>
      </c>
      <c r="B47" s="135" t="str">
        <f>IF('Girder Bracing Data'!A47&lt;&gt;"",'Girder Bracing Data'!A47,"")</f>
        <v/>
      </c>
      <c r="C47" s="135" t="str">
        <f t="shared" si="0"/>
        <v/>
      </c>
      <c r="D47" s="135" t="str">
        <f>IF(A47&lt;&gt;"",maxAxial(A47,1,1),"")</f>
        <v/>
      </c>
      <c r="E47" s="135" t="str">
        <f>IF(A47&lt;&gt;"",maxAxial(A47,2,1),"")</f>
        <v/>
      </c>
      <c r="F47" s="135" t="str">
        <f>IF(A47&lt;&gt;"",maxAxial(A47,3,1),"")</f>
        <v/>
      </c>
      <c r="G47" s="135" t="str">
        <f>IF(A47&lt;&gt;"",maxAxial(A47,1,2),"")</f>
        <v/>
      </c>
      <c r="H47" s="135" t="str">
        <f>IF(A47&lt;&gt;"",maxAxial(A47,2,2),"")</f>
        <v/>
      </c>
      <c r="I47" s="135" t="str">
        <f>IF(A47&lt;&gt;"",maxAxial(A47,3,2),"")</f>
        <v/>
      </c>
    </row>
    <row r="48" spans="1:9" x14ac:dyDescent="0.3">
      <c r="A48" s="9" t="str">
        <f t="shared" si="1"/>
        <v/>
      </c>
      <c r="B48" s="135" t="str">
        <f>IF('Girder Bracing Data'!A48&lt;&gt;"",'Girder Bracing Data'!A48,"")</f>
        <v/>
      </c>
      <c r="C48" s="135" t="str">
        <f t="shared" si="0"/>
        <v/>
      </c>
      <c r="D48" s="135" t="str">
        <f>IF(A48&lt;&gt;"",maxAxial(A48,1,1),"")</f>
        <v/>
      </c>
      <c r="E48" s="135" t="str">
        <f>IF(A48&lt;&gt;"",maxAxial(A48,2,1),"")</f>
        <v/>
      </c>
      <c r="F48" s="135" t="str">
        <f>IF(A48&lt;&gt;"",maxAxial(A48,3,1),"")</f>
        <v/>
      </c>
      <c r="G48" s="135" t="str">
        <f>IF(A48&lt;&gt;"",maxAxial(A48,1,2),"")</f>
        <v/>
      </c>
      <c r="H48" s="135" t="str">
        <f>IF(A48&lt;&gt;"",maxAxial(A48,2,2),"")</f>
        <v/>
      </c>
      <c r="I48" s="135" t="str">
        <f>IF(A48&lt;&gt;"",maxAxial(A48,3,2),"")</f>
        <v/>
      </c>
    </row>
    <row r="49" spans="1:9" x14ac:dyDescent="0.3">
      <c r="A49" s="9" t="str">
        <f t="shared" si="1"/>
        <v/>
      </c>
      <c r="B49" s="135" t="str">
        <f>IF('Girder Bracing Data'!A49&lt;&gt;"",'Girder Bracing Data'!A49,"")</f>
        <v/>
      </c>
      <c r="C49" s="135" t="str">
        <f t="shared" si="0"/>
        <v/>
      </c>
      <c r="D49" s="135" t="str">
        <f>IF(A49&lt;&gt;"",maxAxial(A49,1,1),"")</f>
        <v/>
      </c>
      <c r="E49" s="135" t="str">
        <f>IF(A49&lt;&gt;"",maxAxial(A49,2,1),"")</f>
        <v/>
      </c>
      <c r="F49" s="135" t="str">
        <f>IF(A49&lt;&gt;"",maxAxial(A49,3,1),"")</f>
        <v/>
      </c>
      <c r="G49" s="135" t="str">
        <f>IF(A49&lt;&gt;"",maxAxial(A49,1,2),"")</f>
        <v/>
      </c>
      <c r="H49" s="135" t="str">
        <f>IF(A49&lt;&gt;"",maxAxial(A49,2,2),"")</f>
        <v/>
      </c>
      <c r="I49" s="135" t="str">
        <f>IF(A49&lt;&gt;"",maxAxial(A49,3,2),"")</f>
        <v/>
      </c>
    </row>
    <row r="50" spans="1:9" x14ac:dyDescent="0.3">
      <c r="A50" s="9" t="str">
        <f t="shared" si="1"/>
        <v/>
      </c>
      <c r="B50" s="135" t="str">
        <f>IF('Girder Bracing Data'!A50&lt;&gt;"",'Girder Bracing Data'!A50,"")</f>
        <v/>
      </c>
      <c r="C50" s="135" t="str">
        <f t="shared" si="0"/>
        <v/>
      </c>
      <c r="D50" s="135" t="str">
        <f>IF(A50&lt;&gt;"",maxAxial(A50,1,1),"")</f>
        <v/>
      </c>
      <c r="E50" s="135" t="str">
        <f>IF(A50&lt;&gt;"",maxAxial(A50,2,1),"")</f>
        <v/>
      </c>
      <c r="F50" s="135" t="str">
        <f>IF(A50&lt;&gt;"",maxAxial(A50,3,1),"")</f>
        <v/>
      </c>
      <c r="G50" s="135" t="str">
        <f>IF(A50&lt;&gt;"",maxAxial(A50,1,2),"")</f>
        <v/>
      </c>
      <c r="H50" s="135" t="str">
        <f>IF(A50&lt;&gt;"",maxAxial(A50,2,2),"")</f>
        <v/>
      </c>
      <c r="I50" s="135" t="str">
        <f>IF(A50&lt;&gt;"",maxAxial(A50,3,2),"")</f>
        <v/>
      </c>
    </row>
    <row r="51" spans="1:9" x14ac:dyDescent="0.3">
      <c r="A51" s="9" t="str">
        <f t="shared" si="1"/>
        <v/>
      </c>
      <c r="B51" s="135" t="str">
        <f>IF('Girder Bracing Data'!A51&lt;&gt;"",'Girder Bracing Data'!A51,"")</f>
        <v/>
      </c>
      <c r="C51" s="135" t="str">
        <f t="shared" si="0"/>
        <v/>
      </c>
      <c r="D51" s="135" t="str">
        <f>IF(A51&lt;&gt;"",maxAxial(A51,1,1),"")</f>
        <v/>
      </c>
      <c r="E51" s="135" t="str">
        <f>IF(A51&lt;&gt;"",maxAxial(A51,2,1),"")</f>
        <v/>
      </c>
      <c r="F51" s="135" t="str">
        <f>IF(A51&lt;&gt;"",maxAxial(A51,3,1),"")</f>
        <v/>
      </c>
      <c r="G51" s="135" t="str">
        <f>IF(A51&lt;&gt;"",maxAxial(A51,1,2),"")</f>
        <v/>
      </c>
      <c r="H51" s="135" t="str">
        <f>IF(A51&lt;&gt;"",maxAxial(A51,2,2),"")</f>
        <v/>
      </c>
      <c r="I51" s="135" t="str">
        <f>IF(A51&lt;&gt;"",maxAxial(A51,3,2),"")</f>
        <v/>
      </c>
    </row>
    <row r="52" spans="1:9" x14ac:dyDescent="0.3">
      <c r="A52" s="9" t="str">
        <f t="shared" si="1"/>
        <v/>
      </c>
      <c r="B52" s="135" t="str">
        <f>IF('Girder Bracing Data'!A52&lt;&gt;"",'Girder Bracing Data'!A52,"")</f>
        <v/>
      </c>
      <c r="C52" s="135" t="str">
        <f t="shared" si="0"/>
        <v/>
      </c>
      <c r="D52" s="135" t="str">
        <f>IF(A52&lt;&gt;"",maxAxial(A52,1,1),"")</f>
        <v/>
      </c>
      <c r="E52" s="135" t="str">
        <f>IF(A52&lt;&gt;"",maxAxial(A52,2,1),"")</f>
        <v/>
      </c>
      <c r="F52" s="135" t="str">
        <f>IF(A52&lt;&gt;"",maxAxial(A52,3,1),"")</f>
        <v/>
      </c>
      <c r="G52" s="135" t="str">
        <f>IF(A52&lt;&gt;"",maxAxial(A52,1,2),"")</f>
        <v/>
      </c>
      <c r="H52" s="135" t="str">
        <f>IF(A52&lt;&gt;"",maxAxial(A52,2,2),"")</f>
        <v/>
      </c>
      <c r="I52" s="135" t="str">
        <f>IF(A52&lt;&gt;"",maxAxial(A52,3,2),"")</f>
        <v/>
      </c>
    </row>
    <row r="53" spans="1:9" x14ac:dyDescent="0.3">
      <c r="A53" s="9" t="str">
        <f t="shared" si="1"/>
        <v/>
      </c>
      <c r="B53" s="135" t="str">
        <f>IF('Girder Bracing Data'!A53&lt;&gt;"",'Girder Bracing Data'!A53,"")</f>
        <v/>
      </c>
      <c r="C53" s="135" t="str">
        <f t="shared" si="0"/>
        <v/>
      </c>
      <c r="D53" s="135" t="str">
        <f>IF(A53&lt;&gt;"",maxAxial(A53,1,1),"")</f>
        <v/>
      </c>
      <c r="E53" s="135" t="str">
        <f>IF(A53&lt;&gt;"",maxAxial(A53,2,1),"")</f>
        <v/>
      </c>
      <c r="F53" s="135" t="str">
        <f>IF(A53&lt;&gt;"",maxAxial(A53,3,1),"")</f>
        <v/>
      </c>
      <c r="G53" s="135" t="str">
        <f>IF(A53&lt;&gt;"",maxAxial(A53,1,2),"")</f>
        <v/>
      </c>
      <c r="H53" s="135" t="str">
        <f>IF(A53&lt;&gt;"",maxAxial(A53,2,2),"")</f>
        <v/>
      </c>
      <c r="I53" s="135" t="str">
        <f>IF(A53&lt;&gt;"",maxAxial(A53,3,2),"")</f>
        <v/>
      </c>
    </row>
    <row r="54" spans="1:9" x14ac:dyDescent="0.3">
      <c r="A54" s="9" t="str">
        <f t="shared" si="1"/>
        <v/>
      </c>
      <c r="B54" s="135" t="str">
        <f>IF('Girder Bracing Data'!A54&lt;&gt;"",'Girder Bracing Data'!A54,"")</f>
        <v/>
      </c>
      <c r="C54" s="135" t="str">
        <f t="shared" si="0"/>
        <v/>
      </c>
      <c r="D54" s="135" t="str">
        <f>IF(A54&lt;&gt;"",maxAxial(A54,1,1),"")</f>
        <v/>
      </c>
      <c r="E54" s="135" t="str">
        <f>IF(A54&lt;&gt;"",maxAxial(A54,2,1),"")</f>
        <v/>
      </c>
      <c r="F54" s="135" t="str">
        <f>IF(A54&lt;&gt;"",maxAxial(A54,3,1),"")</f>
        <v/>
      </c>
      <c r="G54" s="135" t="str">
        <f>IF(A54&lt;&gt;"",maxAxial(A54,1,2),"")</f>
        <v/>
      </c>
      <c r="H54" s="135" t="str">
        <f>IF(A54&lt;&gt;"",maxAxial(A54,2,2),"")</f>
        <v/>
      </c>
      <c r="I54" s="135" t="str">
        <f>IF(A54&lt;&gt;"",maxAxial(A54,3,2),"")</f>
        <v/>
      </c>
    </row>
    <row r="55" spans="1:9" x14ac:dyDescent="0.3">
      <c r="A55" s="9" t="str">
        <f t="shared" si="1"/>
        <v/>
      </c>
      <c r="B55" s="135" t="str">
        <f>IF('Girder Bracing Data'!A55&lt;&gt;"",'Girder Bracing Data'!A55,"")</f>
        <v/>
      </c>
      <c r="C55" s="135" t="str">
        <f t="shared" si="0"/>
        <v/>
      </c>
      <c r="D55" s="135" t="str">
        <f>IF(A55&lt;&gt;"",maxAxial(A55,1,1),"")</f>
        <v/>
      </c>
      <c r="E55" s="135" t="str">
        <f>IF(A55&lt;&gt;"",maxAxial(A55,2,1),"")</f>
        <v/>
      </c>
      <c r="F55" s="135" t="str">
        <f>IF(A55&lt;&gt;"",maxAxial(A55,3,1),"")</f>
        <v/>
      </c>
      <c r="G55" s="135" t="str">
        <f>IF(A55&lt;&gt;"",maxAxial(A55,1,2),"")</f>
        <v/>
      </c>
      <c r="H55" s="135" t="str">
        <f>IF(A55&lt;&gt;"",maxAxial(A55,2,2),"")</f>
        <v/>
      </c>
      <c r="I55" s="135" t="str">
        <f>IF(A55&lt;&gt;"",maxAxial(A55,3,2),"")</f>
        <v/>
      </c>
    </row>
    <row r="56" spans="1:9" x14ac:dyDescent="0.3">
      <c r="A56" s="9" t="str">
        <f t="shared" si="1"/>
        <v/>
      </c>
      <c r="B56" s="135" t="str">
        <f>IF('Girder Bracing Data'!A56&lt;&gt;"",'Girder Bracing Data'!A56,"")</f>
        <v/>
      </c>
      <c r="C56" s="135" t="str">
        <f t="shared" si="0"/>
        <v/>
      </c>
      <c r="D56" s="135" t="str">
        <f>IF(A56&lt;&gt;"",maxAxial(A56,1,1),"")</f>
        <v/>
      </c>
      <c r="E56" s="135" t="str">
        <f>IF(A56&lt;&gt;"",maxAxial(A56,2,1),"")</f>
        <v/>
      </c>
      <c r="F56" s="135" t="str">
        <f>IF(A56&lt;&gt;"",maxAxial(A56,3,1),"")</f>
        <v/>
      </c>
      <c r="G56" s="135" t="str">
        <f>IF(A56&lt;&gt;"",maxAxial(A56,1,2),"")</f>
        <v/>
      </c>
      <c r="H56" s="135" t="str">
        <f>IF(A56&lt;&gt;"",maxAxial(A56,2,2),"")</f>
        <v/>
      </c>
      <c r="I56" s="135" t="str">
        <f>IF(A56&lt;&gt;"",maxAxial(A56,3,2),"")</f>
        <v/>
      </c>
    </row>
    <row r="57" spans="1:9" x14ac:dyDescent="0.3">
      <c r="A57" s="9" t="str">
        <f t="shared" si="1"/>
        <v/>
      </c>
      <c r="B57" s="135" t="str">
        <f>IF('Girder Bracing Data'!A57&lt;&gt;"",'Girder Bracing Data'!A57,"")</f>
        <v/>
      </c>
      <c r="C57" s="135" t="str">
        <f t="shared" si="0"/>
        <v/>
      </c>
      <c r="D57" s="135" t="str">
        <f>IF(A57&lt;&gt;"",maxAxial(A57,1,1),"")</f>
        <v/>
      </c>
      <c r="E57" s="135" t="str">
        <f>IF(A57&lt;&gt;"",maxAxial(A57,2,1),"")</f>
        <v/>
      </c>
      <c r="F57" s="135" t="str">
        <f>IF(A57&lt;&gt;"",maxAxial(A57,3,1),"")</f>
        <v/>
      </c>
      <c r="G57" s="135" t="str">
        <f>IF(A57&lt;&gt;"",maxAxial(A57,1,2),"")</f>
        <v/>
      </c>
      <c r="H57" s="135" t="str">
        <f>IF(A57&lt;&gt;"",maxAxial(A57,2,2),"")</f>
        <v/>
      </c>
      <c r="I57" s="135" t="str">
        <f>IF(A57&lt;&gt;"",maxAxial(A57,3,2),"")</f>
        <v/>
      </c>
    </row>
    <row r="58" spans="1:9" x14ac:dyDescent="0.3">
      <c r="A58" s="9" t="str">
        <f t="shared" si="1"/>
        <v/>
      </c>
      <c r="B58" s="135" t="str">
        <f>IF('Girder Bracing Data'!A58&lt;&gt;"",'Girder Bracing Data'!A58,"")</f>
        <v/>
      </c>
      <c r="C58" s="135" t="str">
        <f t="shared" si="0"/>
        <v/>
      </c>
      <c r="D58" s="135" t="str">
        <f>IF(A58&lt;&gt;"",maxAxial(A58,1,1),"")</f>
        <v/>
      </c>
      <c r="E58" s="135" t="str">
        <f>IF(A58&lt;&gt;"",maxAxial(A58,2,1),"")</f>
        <v/>
      </c>
      <c r="F58" s="135" t="str">
        <f>IF(A58&lt;&gt;"",maxAxial(A58,3,1),"")</f>
        <v/>
      </c>
      <c r="G58" s="135" t="str">
        <f>IF(A58&lt;&gt;"",maxAxial(A58,1,2),"")</f>
        <v/>
      </c>
      <c r="H58" s="135" t="str">
        <f>IF(A58&lt;&gt;"",maxAxial(A58,2,2),"")</f>
        <v/>
      </c>
      <c r="I58" s="135" t="str">
        <f>IF(A58&lt;&gt;"",maxAxial(A58,3,2),"")</f>
        <v/>
      </c>
    </row>
    <row r="59" spans="1:9" x14ac:dyDescent="0.3">
      <c r="A59" s="9" t="str">
        <f t="shared" si="1"/>
        <v/>
      </c>
      <c r="B59" s="135" t="str">
        <f>IF('Girder Bracing Data'!A59&lt;&gt;"",'Girder Bracing Data'!A59,"")</f>
        <v/>
      </c>
      <c r="C59" s="135" t="str">
        <f t="shared" si="0"/>
        <v/>
      </c>
      <c r="D59" s="135" t="str">
        <f>IF(A59&lt;&gt;"",maxAxial(A59,1,1),"")</f>
        <v/>
      </c>
      <c r="E59" s="135" t="str">
        <f>IF(A59&lt;&gt;"",maxAxial(A59,2,1),"")</f>
        <v/>
      </c>
      <c r="F59" s="135" t="str">
        <f>IF(A59&lt;&gt;"",maxAxial(A59,3,1),"")</f>
        <v/>
      </c>
      <c r="G59" s="135" t="str">
        <f>IF(A59&lt;&gt;"",maxAxial(A59,1,2),"")</f>
        <v/>
      </c>
      <c r="H59" s="135" t="str">
        <f>IF(A59&lt;&gt;"",maxAxial(A59,2,2),"")</f>
        <v/>
      </c>
      <c r="I59" s="135" t="str">
        <f>IF(A59&lt;&gt;"",maxAxial(A59,3,2),"")</f>
        <v/>
      </c>
    </row>
    <row r="60" spans="1:9" x14ac:dyDescent="0.3">
      <c r="A60" s="9" t="str">
        <f t="shared" si="1"/>
        <v/>
      </c>
      <c r="B60" s="135" t="str">
        <f>IF('Girder Bracing Data'!A60&lt;&gt;"",'Girder Bracing Data'!A60,"")</f>
        <v/>
      </c>
      <c r="C60" s="135" t="str">
        <f t="shared" si="0"/>
        <v/>
      </c>
      <c r="D60" s="135" t="str">
        <f>IF(A60&lt;&gt;"",maxAxial(A60,1,1),"")</f>
        <v/>
      </c>
      <c r="E60" s="135" t="str">
        <f>IF(A60&lt;&gt;"",maxAxial(A60,2,1),"")</f>
        <v/>
      </c>
      <c r="F60" s="135" t="str">
        <f>IF(A60&lt;&gt;"",maxAxial(A60,3,1),"")</f>
        <v/>
      </c>
      <c r="G60" s="135" t="str">
        <f>IF(A60&lt;&gt;"",maxAxial(A60,1,2),"")</f>
        <v/>
      </c>
      <c r="H60" s="135" t="str">
        <f>IF(A60&lt;&gt;"",maxAxial(A60,2,2),"")</f>
        <v/>
      </c>
      <c r="I60" s="135" t="str">
        <f>IF(A60&lt;&gt;"",maxAxial(A60,3,2),"")</f>
        <v/>
      </c>
    </row>
    <row r="61" spans="1:9" x14ac:dyDescent="0.3">
      <c r="A61" s="9" t="str">
        <f t="shared" si="1"/>
        <v/>
      </c>
      <c r="B61" s="135" t="str">
        <f>IF('Girder Bracing Data'!A61&lt;&gt;"",'Girder Bracing Data'!A61,"")</f>
        <v/>
      </c>
      <c r="C61" s="135" t="str">
        <f t="shared" si="0"/>
        <v/>
      </c>
      <c r="D61" s="135" t="str">
        <f>IF(A61&lt;&gt;"",maxAxial(A61,1,1),"")</f>
        <v/>
      </c>
      <c r="E61" s="135" t="str">
        <f>IF(A61&lt;&gt;"",maxAxial(A61,2,1),"")</f>
        <v/>
      </c>
      <c r="F61" s="135" t="str">
        <f>IF(A61&lt;&gt;"",maxAxial(A61,3,1),"")</f>
        <v/>
      </c>
      <c r="G61" s="135" t="str">
        <f>IF(A61&lt;&gt;"",maxAxial(A61,1,2),"")</f>
        <v/>
      </c>
      <c r="H61" s="135" t="str">
        <f>IF(A61&lt;&gt;"",maxAxial(A61,2,2),"")</f>
        <v/>
      </c>
      <c r="I61" s="135" t="str">
        <f>IF(A61&lt;&gt;"",maxAxial(A61,3,2),"")</f>
        <v/>
      </c>
    </row>
    <row r="62" spans="1:9" x14ac:dyDescent="0.3">
      <c r="A62" s="9" t="str">
        <f t="shared" si="1"/>
        <v/>
      </c>
      <c r="B62" s="135" t="str">
        <f>IF('Girder Bracing Data'!A62&lt;&gt;"",'Girder Bracing Data'!A62,"")</f>
        <v/>
      </c>
      <c r="C62" s="135" t="str">
        <f t="shared" si="0"/>
        <v/>
      </c>
      <c r="D62" s="135" t="str">
        <f>IF(A62&lt;&gt;"",maxAxial(A62,1,1),"")</f>
        <v/>
      </c>
      <c r="E62" s="135" t="str">
        <f>IF(A62&lt;&gt;"",maxAxial(A62,2,1),"")</f>
        <v/>
      </c>
      <c r="F62" s="135" t="str">
        <f>IF(A62&lt;&gt;"",maxAxial(A62,3,1),"")</f>
        <v/>
      </c>
      <c r="G62" s="135" t="str">
        <f>IF(A62&lt;&gt;"",maxAxial(A62,1,2),"")</f>
        <v/>
      </c>
      <c r="H62" s="135" t="str">
        <f>IF(A62&lt;&gt;"",maxAxial(A62,2,2),"")</f>
        <v/>
      </c>
      <c r="I62" s="135" t="str">
        <f>IF(A62&lt;&gt;"",maxAxial(A62,3,2),"")</f>
        <v/>
      </c>
    </row>
    <row r="63" spans="1:9" x14ac:dyDescent="0.3">
      <c r="A63" s="9" t="str">
        <f t="shared" si="1"/>
        <v/>
      </c>
      <c r="B63" s="135" t="str">
        <f>IF('Girder Bracing Data'!A63&lt;&gt;"",'Girder Bracing Data'!A63,"")</f>
        <v/>
      </c>
      <c r="C63" s="135" t="str">
        <f t="shared" si="0"/>
        <v/>
      </c>
      <c r="D63" s="135" t="str">
        <f>IF(A63&lt;&gt;"",maxAxial(A63,1,1),"")</f>
        <v/>
      </c>
      <c r="E63" s="135" t="str">
        <f>IF(A63&lt;&gt;"",maxAxial(A63,2,1),"")</f>
        <v/>
      </c>
      <c r="F63" s="135" t="str">
        <f>IF(A63&lt;&gt;"",maxAxial(A63,3,1),"")</f>
        <v/>
      </c>
      <c r="G63" s="135" t="str">
        <f>IF(A63&lt;&gt;"",maxAxial(A63,1,2),"")</f>
        <v/>
      </c>
      <c r="H63" s="135" t="str">
        <f>IF(A63&lt;&gt;"",maxAxial(A63,2,2),"")</f>
        <v/>
      </c>
      <c r="I63" s="135" t="str">
        <f>IF(A63&lt;&gt;"",maxAxial(A63,3,2),"")</f>
        <v/>
      </c>
    </row>
    <row r="64" spans="1:9" x14ac:dyDescent="0.3">
      <c r="A64" s="9" t="str">
        <f t="shared" si="1"/>
        <v/>
      </c>
      <c r="B64" s="135" t="str">
        <f>IF('Girder Bracing Data'!A64&lt;&gt;"",'Girder Bracing Data'!A64,"")</f>
        <v/>
      </c>
      <c r="C64" s="135" t="str">
        <f t="shared" si="0"/>
        <v/>
      </c>
      <c r="D64" s="135" t="str">
        <f>IF(A64&lt;&gt;"",maxAxial(A64,1,1),"")</f>
        <v/>
      </c>
      <c r="E64" s="135" t="str">
        <f>IF(A64&lt;&gt;"",maxAxial(A64,2,1),"")</f>
        <v/>
      </c>
      <c r="F64" s="135" t="str">
        <f>IF(A64&lt;&gt;"",maxAxial(A64,3,1),"")</f>
        <v/>
      </c>
      <c r="G64" s="135" t="str">
        <f>IF(A64&lt;&gt;"",maxAxial(A64,1,2),"")</f>
        <v/>
      </c>
      <c r="H64" s="135" t="str">
        <f>IF(A64&lt;&gt;"",maxAxial(A64,2,2),"")</f>
        <v/>
      </c>
      <c r="I64" s="135" t="str">
        <f>IF(A64&lt;&gt;"",maxAxial(A64,3,2),"")</f>
        <v/>
      </c>
    </row>
    <row r="65" spans="1:9" x14ac:dyDescent="0.3">
      <c r="A65" s="9" t="str">
        <f t="shared" si="1"/>
        <v/>
      </c>
      <c r="B65" s="135" t="str">
        <f>IF('Girder Bracing Data'!A65&lt;&gt;"",'Girder Bracing Data'!A65,"")</f>
        <v/>
      </c>
      <c r="C65" s="135" t="str">
        <f t="shared" si="0"/>
        <v/>
      </c>
      <c r="D65" s="135" t="str">
        <f>IF(A65&lt;&gt;"",maxAxial(A65,1,1),"")</f>
        <v/>
      </c>
      <c r="E65" s="135" t="str">
        <f>IF(A65&lt;&gt;"",maxAxial(A65,2,1),"")</f>
        <v/>
      </c>
      <c r="F65" s="135" t="str">
        <f>IF(A65&lt;&gt;"",maxAxial(A65,3,1),"")</f>
        <v/>
      </c>
      <c r="G65" s="135" t="str">
        <f>IF(A65&lt;&gt;"",maxAxial(A65,1,2),"")</f>
        <v/>
      </c>
      <c r="H65" s="135" t="str">
        <f>IF(A65&lt;&gt;"",maxAxial(A65,2,2),"")</f>
        <v/>
      </c>
      <c r="I65" s="135" t="str">
        <f>IF(A65&lt;&gt;"",maxAxial(A65,3,2),"")</f>
        <v/>
      </c>
    </row>
    <row r="66" spans="1:9" x14ac:dyDescent="0.3">
      <c r="A66" s="9" t="str">
        <f t="shared" si="1"/>
        <v/>
      </c>
      <c r="B66" s="135" t="str">
        <f>IF('Girder Bracing Data'!A66&lt;&gt;"",'Girder Bracing Data'!A66,"")</f>
        <v/>
      </c>
      <c r="C66" s="135" t="str">
        <f t="shared" ref="C66:C129" si="2">IF(A66&lt;&gt;"",stiffness(A66),"")</f>
        <v/>
      </c>
      <c r="D66" s="135" t="str">
        <f>IF(A66&lt;&gt;"",maxAxial(A66,1,1),"")</f>
        <v/>
      </c>
      <c r="E66" s="135" t="str">
        <f>IF(A66&lt;&gt;"",maxAxial(A66,2,1),"")</f>
        <v/>
      </c>
      <c r="F66" s="135" t="str">
        <f>IF(A66&lt;&gt;"",maxAxial(A66,3,1),"")</f>
        <v/>
      </c>
      <c r="G66" s="135" t="str">
        <f>IF(A66&lt;&gt;"",maxAxial(A66,1,2),"")</f>
        <v/>
      </c>
      <c r="H66" s="135" t="str">
        <f>IF(A66&lt;&gt;"",maxAxial(A66,2,2),"")</f>
        <v/>
      </c>
      <c r="I66" s="135" t="str">
        <f>IF(A66&lt;&gt;"",maxAxial(A66,3,2),"")</f>
        <v/>
      </c>
    </row>
    <row r="67" spans="1:9" x14ac:dyDescent="0.3">
      <c r="A67" s="9" t="str">
        <f t="shared" si="1"/>
        <v/>
      </c>
      <c r="B67" s="135" t="str">
        <f>IF('Girder Bracing Data'!A67&lt;&gt;"",'Girder Bracing Data'!A67,"")</f>
        <v/>
      </c>
      <c r="C67" s="135" t="str">
        <f t="shared" si="2"/>
        <v/>
      </c>
      <c r="D67" s="135" t="str">
        <f>IF(A67&lt;&gt;"",maxAxial(A67,1,1),"")</f>
        <v/>
      </c>
      <c r="E67" s="135" t="str">
        <f>IF(A67&lt;&gt;"",maxAxial(A67,2,1),"")</f>
        <v/>
      </c>
      <c r="F67" s="135" t="str">
        <f>IF(A67&lt;&gt;"",maxAxial(A67,3,1),"")</f>
        <v/>
      </c>
      <c r="G67" s="135" t="str">
        <f>IF(A67&lt;&gt;"",maxAxial(A67,1,2),"")</f>
        <v/>
      </c>
      <c r="H67" s="135" t="str">
        <f>IF(A67&lt;&gt;"",maxAxial(A67,2,2),"")</f>
        <v/>
      </c>
      <c r="I67" s="135" t="str">
        <f>IF(A67&lt;&gt;"",maxAxial(A67,3,2),"")</f>
        <v/>
      </c>
    </row>
    <row r="68" spans="1:9" x14ac:dyDescent="0.3">
      <c r="A68" s="9" t="str">
        <f t="shared" ref="A68:A95" si="3">IF(B68&lt;&gt;"",A67+1,"")</f>
        <v/>
      </c>
      <c r="B68" s="135" t="str">
        <f>IF('Girder Bracing Data'!A68&lt;&gt;"",'Girder Bracing Data'!A68,"")</f>
        <v/>
      </c>
      <c r="C68" s="135" t="str">
        <f t="shared" si="2"/>
        <v/>
      </c>
      <c r="D68" s="135" t="str">
        <f>IF(A68&lt;&gt;"",maxAxial(A68,1,1),"")</f>
        <v/>
      </c>
      <c r="E68" s="135" t="str">
        <f>IF(A68&lt;&gt;"",maxAxial(A68,2,1),"")</f>
        <v/>
      </c>
      <c r="F68" s="135" t="str">
        <f>IF(A68&lt;&gt;"",maxAxial(A68,3,1),"")</f>
        <v/>
      </c>
      <c r="G68" s="135" t="str">
        <f>IF(A68&lt;&gt;"",maxAxial(A68,1,2),"")</f>
        <v/>
      </c>
      <c r="H68" s="135" t="str">
        <f>IF(A68&lt;&gt;"",maxAxial(A68,2,2),"")</f>
        <v/>
      </c>
      <c r="I68" s="135" t="str">
        <f>IF(A68&lt;&gt;"",maxAxial(A68,3,2),"")</f>
        <v/>
      </c>
    </row>
    <row r="69" spans="1:9" x14ac:dyDescent="0.3">
      <c r="A69" s="9" t="str">
        <f t="shared" si="3"/>
        <v/>
      </c>
      <c r="B69" s="135" t="str">
        <f>IF('Girder Bracing Data'!A69&lt;&gt;"",'Girder Bracing Data'!A69,"")</f>
        <v/>
      </c>
      <c r="C69" s="135" t="str">
        <f t="shared" si="2"/>
        <v/>
      </c>
      <c r="D69" s="135" t="str">
        <f>IF(A69&lt;&gt;"",maxAxial(A69,1,1),"")</f>
        <v/>
      </c>
      <c r="E69" s="135" t="str">
        <f>IF(A69&lt;&gt;"",maxAxial(A69,2,1),"")</f>
        <v/>
      </c>
      <c r="F69" s="135" t="str">
        <f>IF(A69&lt;&gt;"",maxAxial(A69,3,1),"")</f>
        <v/>
      </c>
      <c r="G69" s="135" t="str">
        <f>IF(A69&lt;&gt;"",maxAxial(A69,1,2),"")</f>
        <v/>
      </c>
      <c r="H69" s="135" t="str">
        <f>IF(A69&lt;&gt;"",maxAxial(A69,2,2),"")</f>
        <v/>
      </c>
      <c r="I69" s="135" t="str">
        <f>IF(A69&lt;&gt;"",maxAxial(A69,3,2),"")</f>
        <v/>
      </c>
    </row>
    <row r="70" spans="1:9" x14ac:dyDescent="0.3">
      <c r="A70" s="9" t="str">
        <f t="shared" si="3"/>
        <v/>
      </c>
      <c r="B70" s="135" t="str">
        <f>IF('Girder Bracing Data'!A70&lt;&gt;"",'Girder Bracing Data'!A70,"")</f>
        <v/>
      </c>
      <c r="C70" s="135" t="str">
        <f t="shared" si="2"/>
        <v/>
      </c>
      <c r="D70" s="135" t="str">
        <f>IF(A70&lt;&gt;"",maxAxial(A70,1,1),"")</f>
        <v/>
      </c>
      <c r="E70" s="135" t="str">
        <f>IF(A70&lt;&gt;"",maxAxial(A70,2,1),"")</f>
        <v/>
      </c>
      <c r="F70" s="135" t="str">
        <f>IF(A70&lt;&gt;"",maxAxial(A70,3,1),"")</f>
        <v/>
      </c>
      <c r="G70" s="135" t="str">
        <f>IF(A70&lt;&gt;"",maxAxial(A70,1,2),"")</f>
        <v/>
      </c>
      <c r="H70" s="135" t="str">
        <f>IF(A70&lt;&gt;"",maxAxial(A70,2,2),"")</f>
        <v/>
      </c>
      <c r="I70" s="135" t="str">
        <f>IF(A70&lt;&gt;"",maxAxial(A70,3,2),"")</f>
        <v/>
      </c>
    </row>
    <row r="71" spans="1:9" x14ac:dyDescent="0.3">
      <c r="A71" s="9" t="str">
        <f t="shared" si="3"/>
        <v/>
      </c>
      <c r="B71" s="135" t="str">
        <f>IF('Girder Bracing Data'!A71&lt;&gt;"",'Girder Bracing Data'!A71,"")</f>
        <v/>
      </c>
      <c r="C71" s="135" t="str">
        <f t="shared" si="2"/>
        <v/>
      </c>
      <c r="D71" s="135" t="str">
        <f>IF(A71&lt;&gt;"",maxAxial(A71,1,1),"")</f>
        <v/>
      </c>
      <c r="E71" s="135" t="str">
        <f>IF(A71&lt;&gt;"",maxAxial(A71,2,1),"")</f>
        <v/>
      </c>
      <c r="F71" s="135" t="str">
        <f>IF(A71&lt;&gt;"",maxAxial(A71,3,1),"")</f>
        <v/>
      </c>
      <c r="G71" s="135" t="str">
        <f>IF(A71&lt;&gt;"",maxAxial(A71,1,2),"")</f>
        <v/>
      </c>
      <c r="H71" s="135" t="str">
        <f>IF(A71&lt;&gt;"",maxAxial(A71,2,2),"")</f>
        <v/>
      </c>
      <c r="I71" s="135" t="str">
        <f>IF(A71&lt;&gt;"",maxAxial(A71,3,2),"")</f>
        <v/>
      </c>
    </row>
    <row r="72" spans="1:9" x14ac:dyDescent="0.3">
      <c r="A72" s="9" t="str">
        <f t="shared" si="3"/>
        <v/>
      </c>
      <c r="B72" s="135" t="str">
        <f>IF('Girder Bracing Data'!A72&lt;&gt;"",'Girder Bracing Data'!A72,"")</f>
        <v/>
      </c>
      <c r="C72" s="135" t="str">
        <f t="shared" si="2"/>
        <v/>
      </c>
      <c r="D72" s="135" t="str">
        <f>IF(A72&lt;&gt;"",maxAxial(A72,1,1),"")</f>
        <v/>
      </c>
      <c r="E72" s="135" t="str">
        <f>IF(A72&lt;&gt;"",maxAxial(A72,2,1),"")</f>
        <v/>
      </c>
      <c r="F72" s="135" t="str">
        <f>IF(A72&lt;&gt;"",maxAxial(A72,3,1),"")</f>
        <v/>
      </c>
      <c r="G72" s="135" t="str">
        <f>IF(A72&lt;&gt;"",maxAxial(A72,1,2),"")</f>
        <v/>
      </c>
      <c r="H72" s="135" t="str">
        <f>IF(A72&lt;&gt;"",maxAxial(A72,2,2),"")</f>
        <v/>
      </c>
      <c r="I72" s="135" t="str">
        <f>IF(A72&lt;&gt;"",maxAxial(A72,3,2),"")</f>
        <v/>
      </c>
    </row>
    <row r="73" spans="1:9" x14ac:dyDescent="0.3">
      <c r="A73" s="9" t="str">
        <f t="shared" si="3"/>
        <v/>
      </c>
      <c r="B73" s="135" t="str">
        <f>IF('Girder Bracing Data'!A73&lt;&gt;"",'Girder Bracing Data'!A73,"")</f>
        <v/>
      </c>
      <c r="C73" s="135" t="str">
        <f t="shared" si="2"/>
        <v/>
      </c>
      <c r="D73" s="135" t="str">
        <f>IF(A73&lt;&gt;"",maxAxial(A73,1,1),"")</f>
        <v/>
      </c>
      <c r="E73" s="135" t="str">
        <f>IF(A73&lt;&gt;"",maxAxial(A73,2,1),"")</f>
        <v/>
      </c>
      <c r="F73" s="135" t="str">
        <f>IF(A73&lt;&gt;"",maxAxial(A73,3,1),"")</f>
        <v/>
      </c>
      <c r="G73" s="135" t="str">
        <f>IF(A73&lt;&gt;"",maxAxial(A73,1,2),"")</f>
        <v/>
      </c>
      <c r="H73" s="135" t="str">
        <f>IF(A73&lt;&gt;"",maxAxial(A73,2,2),"")</f>
        <v/>
      </c>
      <c r="I73" s="135" t="str">
        <f>IF(A73&lt;&gt;"",maxAxial(A73,3,2),"")</f>
        <v/>
      </c>
    </row>
    <row r="74" spans="1:9" x14ac:dyDescent="0.3">
      <c r="A74" s="9" t="str">
        <f t="shared" si="3"/>
        <v/>
      </c>
      <c r="B74" s="135" t="str">
        <f>IF('Girder Bracing Data'!A74&lt;&gt;"",'Girder Bracing Data'!A74,"")</f>
        <v/>
      </c>
      <c r="C74" s="135" t="str">
        <f t="shared" si="2"/>
        <v/>
      </c>
      <c r="D74" s="135" t="str">
        <f>IF(A74&lt;&gt;"",maxAxial(A74,1,1),"")</f>
        <v/>
      </c>
      <c r="E74" s="135" t="str">
        <f>IF(A74&lt;&gt;"",maxAxial(A74,2,1),"")</f>
        <v/>
      </c>
      <c r="F74" s="135" t="str">
        <f>IF(A74&lt;&gt;"",maxAxial(A74,3,1),"")</f>
        <v/>
      </c>
      <c r="G74" s="135" t="str">
        <f>IF(A74&lt;&gt;"",maxAxial(A74,1,2),"")</f>
        <v/>
      </c>
      <c r="H74" s="135" t="str">
        <f>IF(A74&lt;&gt;"",maxAxial(A74,2,2),"")</f>
        <v/>
      </c>
      <c r="I74" s="135" t="str">
        <f>IF(A74&lt;&gt;"",maxAxial(A74,3,2),"")</f>
        <v/>
      </c>
    </row>
    <row r="75" spans="1:9" x14ac:dyDescent="0.3">
      <c r="A75" s="9" t="str">
        <f t="shared" si="3"/>
        <v/>
      </c>
      <c r="B75" s="135" t="str">
        <f>IF('Girder Bracing Data'!A75&lt;&gt;"",'Girder Bracing Data'!A75,"")</f>
        <v/>
      </c>
      <c r="C75" s="135" t="str">
        <f t="shared" si="2"/>
        <v/>
      </c>
      <c r="D75" s="135" t="str">
        <f>IF(A75&lt;&gt;"",maxAxial(A75,1,1),"")</f>
        <v/>
      </c>
      <c r="E75" s="135" t="str">
        <f>IF(A75&lt;&gt;"",maxAxial(A75,2,1),"")</f>
        <v/>
      </c>
      <c r="F75" s="135" t="str">
        <f>IF(A75&lt;&gt;"",maxAxial(A75,3,1),"")</f>
        <v/>
      </c>
      <c r="G75" s="135" t="str">
        <f>IF(A75&lt;&gt;"",maxAxial(A75,1,2),"")</f>
        <v/>
      </c>
      <c r="H75" s="135" t="str">
        <f>IF(A75&lt;&gt;"",maxAxial(A75,2,2),"")</f>
        <v/>
      </c>
      <c r="I75" s="135" t="str">
        <f>IF(A75&lt;&gt;"",maxAxial(A75,3,2),"")</f>
        <v/>
      </c>
    </row>
    <row r="76" spans="1:9" x14ac:dyDescent="0.3">
      <c r="A76" s="9" t="str">
        <f t="shared" si="3"/>
        <v/>
      </c>
      <c r="B76" s="135" t="str">
        <f>IF('Girder Bracing Data'!A76&lt;&gt;"",'Girder Bracing Data'!A76,"")</f>
        <v/>
      </c>
      <c r="C76" s="135" t="str">
        <f t="shared" si="2"/>
        <v/>
      </c>
      <c r="D76" s="135" t="str">
        <f>IF(A76&lt;&gt;"",maxAxial(A76,1,1),"")</f>
        <v/>
      </c>
      <c r="E76" s="135" t="str">
        <f>IF(A76&lt;&gt;"",maxAxial(A76,2,1),"")</f>
        <v/>
      </c>
      <c r="F76" s="135" t="str">
        <f>IF(A76&lt;&gt;"",maxAxial(A76,3,1),"")</f>
        <v/>
      </c>
      <c r="G76" s="135" t="str">
        <f>IF(A76&lt;&gt;"",maxAxial(A76,1,2),"")</f>
        <v/>
      </c>
      <c r="H76" s="135" t="str">
        <f>IF(A76&lt;&gt;"",maxAxial(A76,2,2),"")</f>
        <v/>
      </c>
      <c r="I76" s="135" t="str">
        <f>IF(A76&lt;&gt;"",maxAxial(A76,3,2),"")</f>
        <v/>
      </c>
    </row>
    <row r="77" spans="1:9" x14ac:dyDescent="0.3">
      <c r="A77" s="9" t="str">
        <f t="shared" si="3"/>
        <v/>
      </c>
      <c r="B77" s="135" t="str">
        <f>IF('Girder Bracing Data'!A77&lt;&gt;"",'Girder Bracing Data'!A77,"")</f>
        <v/>
      </c>
      <c r="C77" s="135" t="str">
        <f t="shared" si="2"/>
        <v/>
      </c>
      <c r="D77" s="135" t="str">
        <f>IF(A77&lt;&gt;"",maxAxial(A77,1,1),"")</f>
        <v/>
      </c>
      <c r="E77" s="135" t="str">
        <f>IF(A77&lt;&gt;"",maxAxial(A77,2,1),"")</f>
        <v/>
      </c>
      <c r="F77" s="135" t="str">
        <f>IF(A77&lt;&gt;"",maxAxial(A77,3,1),"")</f>
        <v/>
      </c>
      <c r="G77" s="135" t="str">
        <f>IF(A77&lt;&gt;"",maxAxial(A77,1,2),"")</f>
        <v/>
      </c>
      <c r="H77" s="135" t="str">
        <f>IF(A77&lt;&gt;"",maxAxial(A77,2,2),"")</f>
        <v/>
      </c>
      <c r="I77" s="135" t="str">
        <f>IF(A77&lt;&gt;"",maxAxial(A77,3,2),"")</f>
        <v/>
      </c>
    </row>
    <row r="78" spans="1:9" x14ac:dyDescent="0.3">
      <c r="A78" s="9" t="str">
        <f t="shared" si="3"/>
        <v/>
      </c>
      <c r="B78" s="135" t="str">
        <f>IF('Girder Bracing Data'!A78&lt;&gt;"",'Girder Bracing Data'!A78,"")</f>
        <v/>
      </c>
      <c r="C78" s="135" t="str">
        <f t="shared" si="2"/>
        <v/>
      </c>
      <c r="D78" s="135" t="str">
        <f>IF(A78&lt;&gt;"",maxAxial(A78,1,1),"")</f>
        <v/>
      </c>
      <c r="E78" s="135" t="str">
        <f>IF(A78&lt;&gt;"",maxAxial(A78,2,1),"")</f>
        <v/>
      </c>
      <c r="F78" s="135" t="str">
        <f>IF(A78&lt;&gt;"",maxAxial(A78,3,1),"")</f>
        <v/>
      </c>
      <c r="G78" s="135" t="str">
        <f>IF(A78&lt;&gt;"",maxAxial(A78,1,2),"")</f>
        <v/>
      </c>
      <c r="H78" s="135" t="str">
        <f>IF(A78&lt;&gt;"",maxAxial(A78,2,2),"")</f>
        <v/>
      </c>
      <c r="I78" s="135" t="str">
        <f>IF(A78&lt;&gt;"",maxAxial(A78,3,2),"")</f>
        <v/>
      </c>
    </row>
    <row r="79" spans="1:9" x14ac:dyDescent="0.3">
      <c r="A79" s="9" t="str">
        <f t="shared" si="3"/>
        <v/>
      </c>
      <c r="B79" s="135" t="str">
        <f>IF('Girder Bracing Data'!A79&lt;&gt;"",'Girder Bracing Data'!A79,"")</f>
        <v/>
      </c>
      <c r="C79" s="135" t="str">
        <f t="shared" si="2"/>
        <v/>
      </c>
      <c r="D79" s="135" t="str">
        <f>IF(A79&lt;&gt;"",maxAxial(A79,1,1),"")</f>
        <v/>
      </c>
      <c r="E79" s="135" t="str">
        <f>IF(A79&lt;&gt;"",maxAxial(A79,2,1),"")</f>
        <v/>
      </c>
      <c r="F79" s="135" t="str">
        <f>IF(A79&lt;&gt;"",maxAxial(A79,3,1),"")</f>
        <v/>
      </c>
      <c r="G79" s="135" t="str">
        <f>IF(A79&lt;&gt;"",maxAxial(A79,1,2),"")</f>
        <v/>
      </c>
      <c r="H79" s="135" t="str">
        <f>IF(A79&lt;&gt;"",maxAxial(A79,2,2),"")</f>
        <v/>
      </c>
      <c r="I79" s="135" t="str">
        <f>IF(A79&lt;&gt;"",maxAxial(A79,3,2),"")</f>
        <v/>
      </c>
    </row>
    <row r="80" spans="1:9" x14ac:dyDescent="0.3">
      <c r="A80" s="9" t="str">
        <f t="shared" si="3"/>
        <v/>
      </c>
      <c r="B80" s="135" t="str">
        <f>IF('Girder Bracing Data'!A80&lt;&gt;"",'Girder Bracing Data'!A80,"")</f>
        <v/>
      </c>
      <c r="C80" s="135" t="str">
        <f t="shared" si="2"/>
        <v/>
      </c>
      <c r="D80" s="135" t="str">
        <f>IF(A80&lt;&gt;"",maxAxial(A80,1,1),"")</f>
        <v/>
      </c>
      <c r="E80" s="135" t="str">
        <f>IF(A80&lt;&gt;"",maxAxial(A80,2,1),"")</f>
        <v/>
      </c>
      <c r="F80" s="135" t="str">
        <f>IF(A80&lt;&gt;"",maxAxial(A80,3,1),"")</f>
        <v/>
      </c>
      <c r="G80" s="135" t="str">
        <f>IF(A80&lt;&gt;"",maxAxial(A80,1,2),"")</f>
        <v/>
      </c>
      <c r="H80" s="135" t="str">
        <f>IF(A80&lt;&gt;"",maxAxial(A80,2,2),"")</f>
        <v/>
      </c>
      <c r="I80" s="135" t="str">
        <f>IF(A80&lt;&gt;"",maxAxial(A80,3,2),"")</f>
        <v/>
      </c>
    </row>
    <row r="81" spans="1:9" x14ac:dyDescent="0.3">
      <c r="A81" s="9" t="str">
        <f t="shared" si="3"/>
        <v/>
      </c>
      <c r="B81" s="135" t="str">
        <f>IF('Girder Bracing Data'!A81&lt;&gt;"",'Girder Bracing Data'!A81,"")</f>
        <v/>
      </c>
      <c r="C81" s="135" t="str">
        <f t="shared" si="2"/>
        <v/>
      </c>
      <c r="D81" s="135" t="str">
        <f>IF(A81&lt;&gt;"",maxAxial(A81,1,1),"")</f>
        <v/>
      </c>
      <c r="E81" s="135" t="str">
        <f>IF(A81&lt;&gt;"",maxAxial(A81,2,1),"")</f>
        <v/>
      </c>
      <c r="F81" s="135" t="str">
        <f>IF(A81&lt;&gt;"",maxAxial(A81,3,1),"")</f>
        <v/>
      </c>
      <c r="G81" s="135" t="str">
        <f>IF(A81&lt;&gt;"",maxAxial(A81,1,2),"")</f>
        <v/>
      </c>
      <c r="H81" s="135" t="str">
        <f>IF(A81&lt;&gt;"",maxAxial(A81,2,2),"")</f>
        <v/>
      </c>
      <c r="I81" s="135" t="str">
        <f>IF(A81&lt;&gt;"",maxAxial(A81,3,2),"")</f>
        <v/>
      </c>
    </row>
    <row r="82" spans="1:9" x14ac:dyDescent="0.3">
      <c r="A82" s="9" t="str">
        <f t="shared" si="3"/>
        <v/>
      </c>
      <c r="B82" s="135" t="str">
        <f>IF('Girder Bracing Data'!A82&lt;&gt;"",'Girder Bracing Data'!A82,"")</f>
        <v/>
      </c>
      <c r="C82" s="135" t="str">
        <f t="shared" si="2"/>
        <v/>
      </c>
      <c r="D82" s="135" t="str">
        <f>IF(A82&lt;&gt;"",maxAxial(A82,1,1),"")</f>
        <v/>
      </c>
      <c r="E82" s="135" t="str">
        <f>IF(A82&lt;&gt;"",maxAxial(A82,2,1),"")</f>
        <v/>
      </c>
      <c r="F82" s="135" t="str">
        <f>IF(A82&lt;&gt;"",maxAxial(A82,3,1),"")</f>
        <v/>
      </c>
      <c r="G82" s="135" t="str">
        <f>IF(A82&lt;&gt;"",maxAxial(A82,1,2),"")</f>
        <v/>
      </c>
      <c r="H82" s="135" t="str">
        <f>IF(A82&lt;&gt;"",maxAxial(A82,2,2),"")</f>
        <v/>
      </c>
      <c r="I82" s="135" t="str">
        <f>IF(A82&lt;&gt;"",maxAxial(A82,3,2),"")</f>
        <v/>
      </c>
    </row>
    <row r="83" spans="1:9" x14ac:dyDescent="0.3">
      <c r="A83" s="9" t="str">
        <f t="shared" si="3"/>
        <v/>
      </c>
      <c r="B83" s="135" t="str">
        <f>IF('Girder Bracing Data'!A83&lt;&gt;"",'Girder Bracing Data'!A83,"")</f>
        <v/>
      </c>
      <c r="C83" s="135" t="str">
        <f t="shared" si="2"/>
        <v/>
      </c>
      <c r="D83" s="135" t="str">
        <f>IF(A83&lt;&gt;"",maxAxial(A83,1,1),"")</f>
        <v/>
      </c>
      <c r="E83" s="135" t="str">
        <f>IF(A83&lt;&gt;"",maxAxial(A83,2,1),"")</f>
        <v/>
      </c>
      <c r="F83" s="135" t="str">
        <f>IF(A83&lt;&gt;"",maxAxial(A83,3,1),"")</f>
        <v/>
      </c>
      <c r="G83" s="135" t="str">
        <f>IF(A83&lt;&gt;"",maxAxial(A83,1,2),"")</f>
        <v/>
      </c>
      <c r="H83" s="135" t="str">
        <f>IF(A83&lt;&gt;"",maxAxial(A83,2,2),"")</f>
        <v/>
      </c>
      <c r="I83" s="135" t="str">
        <f>IF(A83&lt;&gt;"",maxAxial(A83,3,2),"")</f>
        <v/>
      </c>
    </row>
    <row r="84" spans="1:9" x14ac:dyDescent="0.3">
      <c r="A84" s="9" t="str">
        <f t="shared" si="3"/>
        <v/>
      </c>
      <c r="B84" s="135" t="str">
        <f>IF('Girder Bracing Data'!A84&lt;&gt;"",'Girder Bracing Data'!A84,"")</f>
        <v/>
      </c>
      <c r="C84" s="135" t="str">
        <f t="shared" si="2"/>
        <v/>
      </c>
      <c r="D84" s="135" t="str">
        <f>IF(A84&lt;&gt;"",maxAxial(A84,1,1),"")</f>
        <v/>
      </c>
      <c r="E84" s="135" t="str">
        <f>IF(A84&lt;&gt;"",maxAxial(A84,2,1),"")</f>
        <v/>
      </c>
      <c r="F84" s="135" t="str">
        <f>IF(A84&lt;&gt;"",maxAxial(A84,3,1),"")</f>
        <v/>
      </c>
      <c r="G84" s="135" t="str">
        <f>IF(A84&lt;&gt;"",maxAxial(A84,1,2),"")</f>
        <v/>
      </c>
      <c r="H84" s="135" t="str">
        <f>IF(A84&lt;&gt;"",maxAxial(A84,2,2),"")</f>
        <v/>
      </c>
      <c r="I84" s="135" t="str">
        <f>IF(A84&lt;&gt;"",maxAxial(A84,3,2),"")</f>
        <v/>
      </c>
    </row>
    <row r="85" spans="1:9" x14ac:dyDescent="0.3">
      <c r="A85" s="9" t="str">
        <f t="shared" si="3"/>
        <v/>
      </c>
      <c r="B85" s="135" t="str">
        <f>IF('Girder Bracing Data'!A85&lt;&gt;"",'Girder Bracing Data'!A85,"")</f>
        <v/>
      </c>
      <c r="C85" s="135" t="str">
        <f t="shared" si="2"/>
        <v/>
      </c>
      <c r="D85" s="135" t="str">
        <f>IF(A85&lt;&gt;"",maxAxial(A85,1,1),"")</f>
        <v/>
      </c>
      <c r="E85" s="135" t="str">
        <f>IF(A85&lt;&gt;"",maxAxial(A85,2,1),"")</f>
        <v/>
      </c>
      <c r="F85" s="135" t="str">
        <f>IF(A85&lt;&gt;"",maxAxial(A85,3,1),"")</f>
        <v/>
      </c>
      <c r="G85" s="135" t="str">
        <f>IF(A85&lt;&gt;"",maxAxial(A85,1,2),"")</f>
        <v/>
      </c>
      <c r="H85" s="135" t="str">
        <f>IF(A85&lt;&gt;"",maxAxial(A85,2,2),"")</f>
        <v/>
      </c>
      <c r="I85" s="135" t="str">
        <f>IF(A85&lt;&gt;"",maxAxial(A85,3,2),"")</f>
        <v/>
      </c>
    </row>
    <row r="86" spans="1:9" x14ac:dyDescent="0.3">
      <c r="A86" s="9" t="str">
        <f t="shared" si="3"/>
        <v/>
      </c>
      <c r="B86" s="135" t="str">
        <f>IF('Girder Bracing Data'!A86&lt;&gt;"",'Girder Bracing Data'!A86,"")</f>
        <v/>
      </c>
      <c r="C86" s="135" t="str">
        <f t="shared" si="2"/>
        <v/>
      </c>
      <c r="D86" s="135" t="str">
        <f>IF(A86&lt;&gt;"",maxAxial(A86,1,1),"")</f>
        <v/>
      </c>
      <c r="E86" s="135" t="str">
        <f>IF(A86&lt;&gt;"",maxAxial(A86,2,1),"")</f>
        <v/>
      </c>
      <c r="F86" s="135" t="str">
        <f>IF(A86&lt;&gt;"",maxAxial(A86,3,1),"")</f>
        <v/>
      </c>
      <c r="G86" s="135" t="str">
        <f>IF(A86&lt;&gt;"",maxAxial(A86,1,2),"")</f>
        <v/>
      </c>
      <c r="H86" s="135" t="str">
        <f>IF(A86&lt;&gt;"",maxAxial(A86,2,2),"")</f>
        <v/>
      </c>
      <c r="I86" s="135" t="str">
        <f>IF(A86&lt;&gt;"",maxAxial(A86,3,2),"")</f>
        <v/>
      </c>
    </row>
    <row r="87" spans="1:9" x14ac:dyDescent="0.3">
      <c r="A87" s="9" t="str">
        <f t="shared" si="3"/>
        <v/>
      </c>
      <c r="B87" s="135" t="str">
        <f>IF('Girder Bracing Data'!A87&lt;&gt;"",'Girder Bracing Data'!A87,"")</f>
        <v/>
      </c>
      <c r="C87" s="135" t="str">
        <f t="shared" si="2"/>
        <v/>
      </c>
      <c r="D87" s="135" t="str">
        <f>IF(A87&lt;&gt;"",maxAxial(A87,1,1),"")</f>
        <v/>
      </c>
      <c r="E87" s="135" t="str">
        <f>IF(A87&lt;&gt;"",maxAxial(A87,2,1),"")</f>
        <v/>
      </c>
      <c r="F87" s="135" t="str">
        <f>IF(A87&lt;&gt;"",maxAxial(A87,3,1),"")</f>
        <v/>
      </c>
      <c r="G87" s="135" t="str">
        <f>IF(A87&lt;&gt;"",maxAxial(A87,1,2),"")</f>
        <v/>
      </c>
      <c r="H87" s="135" t="str">
        <f>IF(A87&lt;&gt;"",maxAxial(A87,2,2),"")</f>
        <v/>
      </c>
      <c r="I87" s="135" t="str">
        <f>IF(A87&lt;&gt;"",maxAxial(A87,3,2),"")</f>
        <v/>
      </c>
    </row>
    <row r="88" spans="1:9" x14ac:dyDescent="0.3">
      <c r="A88" s="9" t="str">
        <f t="shared" si="3"/>
        <v/>
      </c>
      <c r="B88" s="135" t="str">
        <f>IF('Girder Bracing Data'!A88&lt;&gt;"",'Girder Bracing Data'!A88,"")</f>
        <v/>
      </c>
      <c r="C88" s="135" t="str">
        <f t="shared" si="2"/>
        <v/>
      </c>
      <c r="D88" s="135" t="str">
        <f>IF(A88&lt;&gt;"",maxAxial(A88,1,1),"")</f>
        <v/>
      </c>
      <c r="E88" s="135" t="str">
        <f>IF(A88&lt;&gt;"",maxAxial(A88,2,1),"")</f>
        <v/>
      </c>
      <c r="F88" s="135" t="str">
        <f>IF(A88&lt;&gt;"",maxAxial(A88,3,1),"")</f>
        <v/>
      </c>
      <c r="G88" s="135" t="str">
        <f>IF(A88&lt;&gt;"",maxAxial(A88,1,2),"")</f>
        <v/>
      </c>
      <c r="H88" s="135" t="str">
        <f>IF(A88&lt;&gt;"",maxAxial(A88,2,2),"")</f>
        <v/>
      </c>
      <c r="I88" s="135" t="str">
        <f>IF(A88&lt;&gt;"",maxAxial(A88,3,2),"")</f>
        <v/>
      </c>
    </row>
    <row r="89" spans="1:9" x14ac:dyDescent="0.3">
      <c r="A89" s="9" t="str">
        <f t="shared" si="3"/>
        <v/>
      </c>
      <c r="B89" s="135" t="str">
        <f>IF('Girder Bracing Data'!A89&lt;&gt;"",'Girder Bracing Data'!A89,"")</f>
        <v/>
      </c>
      <c r="C89" s="135" t="str">
        <f t="shared" si="2"/>
        <v/>
      </c>
      <c r="D89" s="135" t="str">
        <f>IF(A89&lt;&gt;"",maxAxial(A89,1,1),"")</f>
        <v/>
      </c>
      <c r="E89" s="135" t="str">
        <f>IF(A89&lt;&gt;"",maxAxial(A89,2,1),"")</f>
        <v/>
      </c>
      <c r="F89" s="135" t="str">
        <f>IF(A89&lt;&gt;"",maxAxial(A89,3,1),"")</f>
        <v/>
      </c>
      <c r="G89" s="135" t="str">
        <f>IF(A89&lt;&gt;"",maxAxial(A89,1,2),"")</f>
        <v/>
      </c>
      <c r="H89" s="135" t="str">
        <f>IF(A89&lt;&gt;"",maxAxial(A89,2,2),"")</f>
        <v/>
      </c>
      <c r="I89" s="135" t="str">
        <f>IF(A89&lt;&gt;"",maxAxial(A89,3,2),"")</f>
        <v/>
      </c>
    </row>
    <row r="90" spans="1:9" x14ac:dyDescent="0.3">
      <c r="A90" s="9" t="str">
        <f t="shared" si="3"/>
        <v/>
      </c>
      <c r="B90" s="135" t="str">
        <f>IF('Girder Bracing Data'!A90&lt;&gt;"",'Girder Bracing Data'!A90,"")</f>
        <v/>
      </c>
      <c r="C90" s="135" t="str">
        <f t="shared" si="2"/>
        <v/>
      </c>
      <c r="D90" s="135" t="str">
        <f>IF(A90&lt;&gt;"",maxAxial(A90,1,1),"")</f>
        <v/>
      </c>
      <c r="E90" s="135" t="str">
        <f>IF(A90&lt;&gt;"",maxAxial(A90,2,1),"")</f>
        <v/>
      </c>
      <c r="F90" s="135" t="str">
        <f>IF(A90&lt;&gt;"",maxAxial(A90,3,1),"")</f>
        <v/>
      </c>
      <c r="G90" s="135" t="str">
        <f>IF(A90&lt;&gt;"",maxAxial(A90,1,2),"")</f>
        <v/>
      </c>
      <c r="H90" s="135" t="str">
        <f>IF(A90&lt;&gt;"",maxAxial(A90,2,2),"")</f>
        <v/>
      </c>
      <c r="I90" s="135" t="str">
        <f>IF(A90&lt;&gt;"",maxAxial(A90,3,2),"")</f>
        <v/>
      </c>
    </row>
    <row r="91" spans="1:9" x14ac:dyDescent="0.3">
      <c r="A91" s="9" t="str">
        <f t="shared" si="3"/>
        <v/>
      </c>
      <c r="B91" s="135" t="str">
        <f>IF('Girder Bracing Data'!A91&lt;&gt;"",'Girder Bracing Data'!A91,"")</f>
        <v/>
      </c>
      <c r="C91" s="135" t="str">
        <f t="shared" si="2"/>
        <v/>
      </c>
      <c r="D91" s="135" t="str">
        <f>IF(A91&lt;&gt;"",maxAxial(A91,1,1),"")</f>
        <v/>
      </c>
      <c r="E91" s="135" t="str">
        <f>IF(A91&lt;&gt;"",maxAxial(A91,2,1),"")</f>
        <v/>
      </c>
      <c r="F91" s="135" t="str">
        <f>IF(A91&lt;&gt;"",maxAxial(A91,3,1),"")</f>
        <v/>
      </c>
      <c r="G91" s="135" t="str">
        <f>IF(A91&lt;&gt;"",maxAxial(A91,1,2),"")</f>
        <v/>
      </c>
      <c r="H91" s="135" t="str">
        <f>IF(A91&lt;&gt;"",maxAxial(A91,2,2),"")</f>
        <v/>
      </c>
      <c r="I91" s="135" t="str">
        <f>IF(A91&lt;&gt;"",maxAxial(A91,3,2),"")</f>
        <v/>
      </c>
    </row>
    <row r="92" spans="1:9" x14ac:dyDescent="0.3">
      <c r="A92" s="9" t="str">
        <f t="shared" si="3"/>
        <v/>
      </c>
      <c r="B92" s="135" t="str">
        <f>IF('Girder Bracing Data'!A92&lt;&gt;"",'Girder Bracing Data'!A92,"")</f>
        <v/>
      </c>
      <c r="C92" s="135" t="str">
        <f t="shared" si="2"/>
        <v/>
      </c>
      <c r="D92" s="135" t="str">
        <f>IF(A92&lt;&gt;"",maxAxial(A92,1,1),"")</f>
        <v/>
      </c>
      <c r="E92" s="135" t="str">
        <f>IF(A92&lt;&gt;"",maxAxial(A92,2,1),"")</f>
        <v/>
      </c>
      <c r="F92" s="135" t="str">
        <f>IF(A92&lt;&gt;"",maxAxial(A92,3,1),"")</f>
        <v/>
      </c>
      <c r="G92" s="135" t="str">
        <f>IF(A92&lt;&gt;"",maxAxial(A92,1,2),"")</f>
        <v/>
      </c>
      <c r="H92" s="135" t="str">
        <f>IF(A92&lt;&gt;"",maxAxial(A92,2,2),"")</f>
        <v/>
      </c>
      <c r="I92" s="135" t="str">
        <f>IF(A92&lt;&gt;"",maxAxial(A92,3,2),"")</f>
        <v/>
      </c>
    </row>
    <row r="93" spans="1:9" x14ac:dyDescent="0.3">
      <c r="A93" s="9" t="str">
        <f t="shared" si="3"/>
        <v/>
      </c>
      <c r="B93" s="135" t="str">
        <f>IF('Girder Bracing Data'!A93&lt;&gt;"",'Girder Bracing Data'!A93,"")</f>
        <v/>
      </c>
      <c r="C93" s="135" t="str">
        <f t="shared" si="2"/>
        <v/>
      </c>
      <c r="D93" s="135" t="str">
        <f>IF(A93&lt;&gt;"",maxAxial(A93,1,1),"")</f>
        <v/>
      </c>
      <c r="E93" s="135" t="str">
        <f>IF(A93&lt;&gt;"",maxAxial(A93,2,1),"")</f>
        <v/>
      </c>
      <c r="F93" s="135" t="str">
        <f>IF(A93&lt;&gt;"",maxAxial(A93,3,1),"")</f>
        <v/>
      </c>
      <c r="G93" s="135" t="str">
        <f>IF(A93&lt;&gt;"",maxAxial(A93,1,2),"")</f>
        <v/>
      </c>
      <c r="H93" s="135" t="str">
        <f>IF(A93&lt;&gt;"",maxAxial(A93,2,2),"")</f>
        <v/>
      </c>
      <c r="I93" s="135" t="str">
        <f>IF(A93&lt;&gt;"",maxAxial(A93,3,2),"")</f>
        <v/>
      </c>
    </row>
    <row r="94" spans="1:9" x14ac:dyDescent="0.3">
      <c r="A94" s="9" t="str">
        <f t="shared" si="3"/>
        <v/>
      </c>
      <c r="B94" s="135" t="str">
        <f>IF('Girder Bracing Data'!A94&lt;&gt;"",'Girder Bracing Data'!A94,"")</f>
        <v/>
      </c>
      <c r="C94" s="135" t="str">
        <f t="shared" si="2"/>
        <v/>
      </c>
      <c r="D94" s="135" t="str">
        <f>IF(A94&lt;&gt;"",maxAxial(A94,1,1),"")</f>
        <v/>
      </c>
      <c r="E94" s="135" t="str">
        <f>IF(A94&lt;&gt;"",maxAxial(A94,2,1),"")</f>
        <v/>
      </c>
      <c r="F94" s="135" t="str">
        <f>IF(A94&lt;&gt;"",maxAxial(A94,3,1),"")</f>
        <v/>
      </c>
      <c r="G94" s="135" t="str">
        <f>IF(A94&lt;&gt;"",maxAxial(A94,1,2),"")</f>
        <v/>
      </c>
      <c r="H94" s="135" t="str">
        <f>IF(A94&lt;&gt;"",maxAxial(A94,2,2),"")</f>
        <v/>
      </c>
      <c r="I94" s="135" t="str">
        <f>IF(A94&lt;&gt;"",maxAxial(A94,3,2),"")</f>
        <v/>
      </c>
    </row>
    <row r="95" spans="1:9" x14ac:dyDescent="0.3">
      <c r="A95" s="9" t="str">
        <f t="shared" si="3"/>
        <v/>
      </c>
      <c r="B95" s="135" t="str">
        <f>IF('Girder Bracing Data'!A95&lt;&gt;"",'Girder Bracing Data'!A95,"")</f>
        <v/>
      </c>
      <c r="C95" s="135" t="str">
        <f t="shared" si="2"/>
        <v/>
      </c>
      <c r="D95" s="135" t="str">
        <f>IF(A95&lt;&gt;"",maxAxial(A95,1,1),"")</f>
        <v/>
      </c>
      <c r="E95" s="135" t="str">
        <f>IF(A95&lt;&gt;"",maxAxial(A95,2,1),"")</f>
        <v/>
      </c>
      <c r="F95" s="135" t="str">
        <f>IF(A95&lt;&gt;"",maxAxial(A95,3,1),"")</f>
        <v/>
      </c>
      <c r="G95" s="135" t="str">
        <f>IF(A95&lt;&gt;"",maxAxial(A95,1,2),"")</f>
        <v/>
      </c>
      <c r="H95" s="135" t="str">
        <f>IF(A95&lt;&gt;"",maxAxial(A95,2,2),"")</f>
        <v/>
      </c>
      <c r="I95" s="135" t="str">
        <f>IF(A95&lt;&gt;"",maxAxial(A95,3,2),"")</f>
        <v/>
      </c>
    </row>
    <row r="96" spans="1:9" x14ac:dyDescent="0.3">
      <c r="B96" s="135" t="str">
        <f>IF('Girder Bracing Data'!A96&lt;&gt;"",'Girder Bracing Data'!A96,"")</f>
        <v/>
      </c>
      <c r="C96" s="135" t="str">
        <f t="shared" si="2"/>
        <v/>
      </c>
      <c r="D96" s="135" t="str">
        <f>IF(A96&lt;&gt;"",maxAxial(A96,1,1),"")</f>
        <v/>
      </c>
      <c r="E96" s="135" t="str">
        <f>IF(A96&lt;&gt;"",maxAxial(A96,2,1),"")</f>
        <v/>
      </c>
      <c r="F96" s="135" t="str">
        <f>IF(A96&lt;&gt;"",maxAxial(A96,3,1),"")</f>
        <v/>
      </c>
      <c r="G96" s="135" t="str">
        <f>IF(A96&lt;&gt;"",maxAxial(A96,1,2),"")</f>
        <v/>
      </c>
      <c r="H96" s="135" t="str">
        <f>IF(A96&lt;&gt;"",maxAxial(A96,2,2),"")</f>
        <v/>
      </c>
      <c r="I96" s="135" t="str">
        <f>IF(A96&lt;&gt;"",maxAxial(A96,3,2),"")</f>
        <v/>
      </c>
    </row>
    <row r="97" spans="2:9" x14ac:dyDescent="0.3">
      <c r="B97" s="135" t="str">
        <f>IF('Girder Bracing Data'!A97&lt;&gt;"",'Girder Bracing Data'!A97,"")</f>
        <v/>
      </c>
      <c r="C97" s="135" t="str">
        <f t="shared" si="2"/>
        <v/>
      </c>
      <c r="D97" s="135" t="str">
        <f>IF(A97&lt;&gt;"",maxAxial(A97,1,1),"")</f>
        <v/>
      </c>
      <c r="E97" s="135" t="str">
        <f>IF(A97&lt;&gt;"",maxAxial(A97,2,1),"")</f>
        <v/>
      </c>
      <c r="F97" s="135" t="str">
        <f>IF(A97&lt;&gt;"",maxAxial(A97,3,1),"")</f>
        <v/>
      </c>
      <c r="G97" s="135" t="str">
        <f>IF(A97&lt;&gt;"",maxAxial(A97,1,2),"")</f>
        <v/>
      </c>
      <c r="H97" s="135" t="str">
        <f>IF(A97&lt;&gt;"",maxAxial(A97,2,2),"")</f>
        <v/>
      </c>
      <c r="I97" s="135" t="str">
        <f>IF(A97&lt;&gt;"",maxAxial(A97,3,2),"")</f>
        <v/>
      </c>
    </row>
    <row r="98" spans="2:9" x14ac:dyDescent="0.3">
      <c r="B98" s="135" t="str">
        <f>IF('Girder Bracing Data'!A98&lt;&gt;"",'Girder Bracing Data'!A98,"")</f>
        <v/>
      </c>
      <c r="C98" s="135" t="str">
        <f t="shared" si="2"/>
        <v/>
      </c>
      <c r="D98" s="135" t="str">
        <f>IF(A98&lt;&gt;"",maxAxial(A98,1,1),"")</f>
        <v/>
      </c>
      <c r="E98" s="135" t="str">
        <f>IF(A98&lt;&gt;"",maxAxial(A98,2,1),"")</f>
        <v/>
      </c>
      <c r="F98" s="135" t="str">
        <f>IF(A98&lt;&gt;"",maxAxial(A98,3,1),"")</f>
        <v/>
      </c>
      <c r="G98" s="135" t="str">
        <f>IF(A98&lt;&gt;"",maxAxial(A98,1,2),"")</f>
        <v/>
      </c>
      <c r="H98" s="135" t="str">
        <f>IF(A98&lt;&gt;"",maxAxial(A98,2,2),"")</f>
        <v/>
      </c>
      <c r="I98" s="135" t="str">
        <f>IF(A98&lt;&gt;"",maxAxial(A98,3,2),"")</f>
        <v/>
      </c>
    </row>
    <row r="99" spans="2:9" x14ac:dyDescent="0.3">
      <c r="B99" s="135" t="str">
        <f>IF('Girder Bracing Data'!A99&lt;&gt;"",'Girder Bracing Data'!A99,"")</f>
        <v/>
      </c>
      <c r="C99" s="135" t="str">
        <f t="shared" si="2"/>
        <v/>
      </c>
      <c r="D99" s="135" t="str">
        <f>IF(A99&lt;&gt;"",maxAxial(A99,1,1),"")</f>
        <v/>
      </c>
      <c r="E99" s="135" t="str">
        <f>IF(A99&lt;&gt;"",maxAxial(A99,2,1),"")</f>
        <v/>
      </c>
      <c r="F99" s="135" t="str">
        <f>IF(A99&lt;&gt;"",maxAxial(A99,3,1),"")</f>
        <v/>
      </c>
      <c r="G99" s="135" t="str">
        <f>IF(A99&lt;&gt;"",maxAxial(A99,1,2),"")</f>
        <v/>
      </c>
      <c r="H99" s="135" t="str">
        <f>IF(A99&lt;&gt;"",maxAxial(A99,2,2),"")</f>
        <v/>
      </c>
      <c r="I99" s="135" t="str">
        <f>IF(A99&lt;&gt;"",maxAxial(A99,3,2),"")</f>
        <v/>
      </c>
    </row>
    <row r="100" spans="2:9" x14ac:dyDescent="0.3">
      <c r="B100" s="135" t="str">
        <f>IF('Girder Bracing Data'!A100&lt;&gt;"",'Girder Bracing Data'!A100,"")</f>
        <v/>
      </c>
      <c r="C100" s="135" t="str">
        <f t="shared" si="2"/>
        <v/>
      </c>
      <c r="D100" s="135" t="str">
        <f>IF(A100&lt;&gt;"",maxAxial(A100,1,1),"")</f>
        <v/>
      </c>
      <c r="E100" s="135" t="str">
        <f>IF(A100&lt;&gt;"",maxAxial(A100,2,1),"")</f>
        <v/>
      </c>
      <c r="F100" s="135" t="str">
        <f>IF(A100&lt;&gt;"",maxAxial(A100,3,1),"")</f>
        <v/>
      </c>
      <c r="G100" s="135" t="str">
        <f>IF(A100&lt;&gt;"",maxAxial(A100,1,2),"")</f>
        <v/>
      </c>
      <c r="H100" s="135" t="str">
        <f>IF(A100&lt;&gt;"",maxAxial(A100,2,2),"")</f>
        <v/>
      </c>
      <c r="I100" s="135" t="str">
        <f>IF(A100&lt;&gt;"",maxAxial(A100,3,2),"")</f>
        <v/>
      </c>
    </row>
    <row r="101" spans="2:9" x14ac:dyDescent="0.3">
      <c r="B101" s="135" t="str">
        <f>IF('Girder Bracing Data'!A101&lt;&gt;"",'Girder Bracing Data'!A101,"")</f>
        <v/>
      </c>
      <c r="C101" s="135" t="str">
        <f t="shared" si="2"/>
        <v/>
      </c>
      <c r="D101" s="135" t="str">
        <f>IF(A101&lt;&gt;"",maxAxial(A101,1,1),"")</f>
        <v/>
      </c>
      <c r="E101" s="135" t="str">
        <f>IF(A101&lt;&gt;"",maxAxial(A101,2,1),"")</f>
        <v/>
      </c>
      <c r="F101" s="135" t="str">
        <f>IF(A101&lt;&gt;"",maxAxial(A101,3,1),"")</f>
        <v/>
      </c>
      <c r="G101" s="135" t="str">
        <f>IF(A101&lt;&gt;"",maxAxial(A101,1,2),"")</f>
        <v/>
      </c>
      <c r="H101" s="135" t="str">
        <f>IF(A101&lt;&gt;"",maxAxial(A101,2,2),"")</f>
        <v/>
      </c>
      <c r="I101" s="135" t="str">
        <f>IF(A101&lt;&gt;"",maxAxial(A101,3,2),"")</f>
        <v/>
      </c>
    </row>
    <row r="102" spans="2:9" x14ac:dyDescent="0.3">
      <c r="B102" s="135" t="str">
        <f>IF('Girder Bracing Data'!A102&lt;&gt;"",'Girder Bracing Data'!A102,"")</f>
        <v/>
      </c>
      <c r="C102" s="135" t="str">
        <f t="shared" si="2"/>
        <v/>
      </c>
      <c r="D102" s="135" t="str">
        <f>IF(A102&lt;&gt;"",maxAxial(A102,1,1),"")</f>
        <v/>
      </c>
      <c r="E102" s="135" t="str">
        <f>IF(A102&lt;&gt;"",maxAxial(A102,2,1),"")</f>
        <v/>
      </c>
      <c r="F102" s="135" t="str">
        <f>IF(A102&lt;&gt;"",maxAxial(A102,3,1),"")</f>
        <v/>
      </c>
      <c r="G102" s="135" t="str">
        <f>IF(A102&lt;&gt;"",maxAxial(A102,1,2),"")</f>
        <v/>
      </c>
      <c r="H102" s="135" t="str">
        <f>IF(A102&lt;&gt;"",maxAxial(A102,2,2),"")</f>
        <v/>
      </c>
      <c r="I102" s="135" t="str">
        <f>IF(A102&lt;&gt;"",maxAxial(A102,3,2),"")</f>
        <v/>
      </c>
    </row>
    <row r="103" spans="2:9" x14ac:dyDescent="0.3">
      <c r="B103" s="135" t="str">
        <f>IF('Girder Bracing Data'!A103&lt;&gt;"",'Girder Bracing Data'!A103,"")</f>
        <v/>
      </c>
      <c r="C103" s="135" t="str">
        <f t="shared" si="2"/>
        <v/>
      </c>
      <c r="D103" s="135" t="str">
        <f>IF(A103&lt;&gt;"",maxAxial(A103,1,1),"")</f>
        <v/>
      </c>
      <c r="E103" s="135" t="str">
        <f>IF(A103&lt;&gt;"",maxAxial(A103,2,1),"")</f>
        <v/>
      </c>
      <c r="F103" s="135" t="str">
        <f>IF(A103&lt;&gt;"",maxAxial(A103,3,1),"")</f>
        <v/>
      </c>
      <c r="G103" s="135" t="str">
        <f>IF(A103&lt;&gt;"",maxAxial(A103,1,2),"")</f>
        <v/>
      </c>
      <c r="H103" s="135" t="str">
        <f>IF(A103&lt;&gt;"",maxAxial(A103,2,2),"")</f>
        <v/>
      </c>
      <c r="I103" s="135" t="str">
        <f>IF(A103&lt;&gt;"",maxAxial(A103,3,2),"")</f>
        <v/>
      </c>
    </row>
    <row r="104" spans="2:9" x14ac:dyDescent="0.3">
      <c r="B104" s="135" t="str">
        <f>IF('Girder Bracing Data'!A104&lt;&gt;"",'Girder Bracing Data'!A104,"")</f>
        <v/>
      </c>
      <c r="C104" s="135" t="str">
        <f t="shared" si="2"/>
        <v/>
      </c>
      <c r="D104" s="135" t="str">
        <f>IF(A104&lt;&gt;"",maxAxial(A104,1,1),"")</f>
        <v/>
      </c>
      <c r="E104" s="135" t="str">
        <f>IF(A104&lt;&gt;"",maxAxial(A104,2,1),"")</f>
        <v/>
      </c>
      <c r="F104" s="135" t="str">
        <f>IF(A104&lt;&gt;"",maxAxial(A104,3,1),"")</f>
        <v/>
      </c>
      <c r="G104" s="135" t="str">
        <f>IF(A104&lt;&gt;"",maxAxial(A104,1,2),"")</f>
        <v/>
      </c>
      <c r="H104" s="135" t="str">
        <f>IF(A104&lt;&gt;"",maxAxial(A104,2,2),"")</f>
        <v/>
      </c>
      <c r="I104" s="135" t="str">
        <f>IF(A104&lt;&gt;"",maxAxial(A104,3,2),"")</f>
        <v/>
      </c>
    </row>
    <row r="105" spans="2:9" x14ac:dyDescent="0.3">
      <c r="B105" s="135" t="str">
        <f>IF('Girder Bracing Data'!A105&lt;&gt;"",'Girder Bracing Data'!A105,"")</f>
        <v/>
      </c>
      <c r="C105" s="135" t="str">
        <f t="shared" si="2"/>
        <v/>
      </c>
      <c r="D105" s="135" t="str">
        <f>IF(A105&lt;&gt;"",maxAxial(A105,1,1),"")</f>
        <v/>
      </c>
      <c r="E105" s="135" t="str">
        <f>IF(A105&lt;&gt;"",maxAxial(A105,2,1),"")</f>
        <v/>
      </c>
      <c r="F105" s="135" t="str">
        <f>IF(A105&lt;&gt;"",maxAxial(A105,3,1),"")</f>
        <v/>
      </c>
      <c r="G105" s="135" t="str">
        <f>IF(A105&lt;&gt;"",maxAxial(A105,1,2),"")</f>
        <v/>
      </c>
      <c r="H105" s="135" t="str">
        <f>IF(A105&lt;&gt;"",maxAxial(A105,2,2),"")</f>
        <v/>
      </c>
      <c r="I105" s="135" t="str">
        <f>IF(A105&lt;&gt;"",maxAxial(A105,3,2),"")</f>
        <v/>
      </c>
    </row>
    <row r="106" spans="2:9" x14ac:dyDescent="0.3">
      <c r="B106" s="135" t="str">
        <f>IF('Girder Bracing Data'!A106&lt;&gt;"",'Girder Bracing Data'!A106,"")</f>
        <v/>
      </c>
      <c r="C106" s="135" t="str">
        <f t="shared" si="2"/>
        <v/>
      </c>
      <c r="D106" s="135" t="str">
        <f>IF(A106&lt;&gt;"",maxAxial(A106,1,1),"")</f>
        <v/>
      </c>
      <c r="E106" s="135" t="str">
        <f>IF(A106&lt;&gt;"",maxAxial(A106,2,1),"")</f>
        <v/>
      </c>
      <c r="F106" s="135" t="str">
        <f>IF(A106&lt;&gt;"",maxAxial(A106,3,1),"")</f>
        <v/>
      </c>
      <c r="G106" s="135" t="str">
        <f>IF(A106&lt;&gt;"",maxAxial(A106,1,2),"")</f>
        <v/>
      </c>
      <c r="H106" s="135" t="str">
        <f>IF(A106&lt;&gt;"",maxAxial(A106,2,2),"")</f>
        <v/>
      </c>
      <c r="I106" s="135" t="str">
        <f>IF(A106&lt;&gt;"",maxAxial(A106,3,2),"")</f>
        <v/>
      </c>
    </row>
    <row r="107" spans="2:9" x14ac:dyDescent="0.3">
      <c r="B107" s="135" t="str">
        <f>IF('Girder Bracing Data'!A107&lt;&gt;"",'Girder Bracing Data'!A107,"")</f>
        <v/>
      </c>
      <c r="C107" s="135" t="str">
        <f t="shared" si="2"/>
        <v/>
      </c>
      <c r="D107" s="135" t="str">
        <f>IF(A107&lt;&gt;"",maxAxial(A107,1,1),"")</f>
        <v/>
      </c>
      <c r="E107" s="135" t="str">
        <f>IF(A107&lt;&gt;"",maxAxial(A107,2,1),"")</f>
        <v/>
      </c>
      <c r="F107" s="135" t="str">
        <f>IF(A107&lt;&gt;"",maxAxial(A107,3,1),"")</f>
        <v/>
      </c>
      <c r="G107" s="135" t="str">
        <f>IF(A107&lt;&gt;"",maxAxial(A107,1,2),"")</f>
        <v/>
      </c>
      <c r="H107" s="135" t="str">
        <f>IF(A107&lt;&gt;"",maxAxial(A107,2,2),"")</f>
        <v/>
      </c>
      <c r="I107" s="135" t="str">
        <f>IF(A107&lt;&gt;"",maxAxial(A107,3,2),"")</f>
        <v/>
      </c>
    </row>
    <row r="108" spans="2:9" x14ac:dyDescent="0.3">
      <c r="B108" s="135" t="str">
        <f>IF('Girder Bracing Data'!A108&lt;&gt;"",'Girder Bracing Data'!A108,"")</f>
        <v/>
      </c>
      <c r="C108" s="135" t="str">
        <f t="shared" si="2"/>
        <v/>
      </c>
      <c r="D108" s="135" t="str">
        <f>IF(A108&lt;&gt;"",maxAxial(A108,1,1),"")</f>
        <v/>
      </c>
      <c r="E108" s="135" t="str">
        <f>IF(A108&lt;&gt;"",maxAxial(A108,2,1),"")</f>
        <v/>
      </c>
      <c r="F108" s="135" t="str">
        <f>IF(A108&lt;&gt;"",maxAxial(A108,3,1),"")</f>
        <v/>
      </c>
      <c r="G108" s="135" t="str">
        <f>IF(A108&lt;&gt;"",maxAxial(A108,1,2),"")</f>
        <v/>
      </c>
      <c r="H108" s="135" t="str">
        <f>IF(A108&lt;&gt;"",maxAxial(A108,2,2),"")</f>
        <v/>
      </c>
      <c r="I108" s="135" t="str">
        <f>IF(A108&lt;&gt;"",maxAxial(A108,3,2),"")</f>
        <v/>
      </c>
    </row>
    <row r="109" spans="2:9" x14ac:dyDescent="0.3">
      <c r="B109" s="135" t="str">
        <f>IF('Girder Bracing Data'!A109&lt;&gt;"",'Girder Bracing Data'!A109,"")</f>
        <v/>
      </c>
      <c r="C109" s="135" t="str">
        <f t="shared" si="2"/>
        <v/>
      </c>
      <c r="D109" s="135" t="str">
        <f>IF(A109&lt;&gt;"",maxAxial(A109,1,1),"")</f>
        <v/>
      </c>
      <c r="E109" s="135" t="str">
        <f>IF(A109&lt;&gt;"",maxAxial(A109,2,1),"")</f>
        <v/>
      </c>
      <c r="F109" s="135" t="str">
        <f>IF(A109&lt;&gt;"",maxAxial(A109,3,1),"")</f>
        <v/>
      </c>
      <c r="G109" s="135" t="str">
        <f>IF(A109&lt;&gt;"",maxAxial(A109,1,2),"")</f>
        <v/>
      </c>
      <c r="H109" s="135" t="str">
        <f>IF(A109&lt;&gt;"",maxAxial(A109,2,2),"")</f>
        <v/>
      </c>
      <c r="I109" s="135" t="str">
        <f>IF(A109&lt;&gt;"",maxAxial(A109,3,2),"")</f>
        <v/>
      </c>
    </row>
    <row r="110" spans="2:9" x14ac:dyDescent="0.3">
      <c r="B110" s="135" t="str">
        <f>IF('Girder Bracing Data'!A110&lt;&gt;"",'Girder Bracing Data'!A110,"")</f>
        <v/>
      </c>
      <c r="C110" s="135" t="str">
        <f t="shared" si="2"/>
        <v/>
      </c>
      <c r="D110" s="135" t="str">
        <f>IF(A110&lt;&gt;"",maxAxial(A110,1,1),"")</f>
        <v/>
      </c>
      <c r="E110" s="135" t="str">
        <f>IF(A110&lt;&gt;"",maxAxial(A110,2,1),"")</f>
        <v/>
      </c>
      <c r="F110" s="135" t="str">
        <f>IF(A110&lt;&gt;"",maxAxial(A110,3,1),"")</f>
        <v/>
      </c>
      <c r="G110" s="135" t="str">
        <f>IF(A110&lt;&gt;"",maxAxial(A110,1,2),"")</f>
        <v/>
      </c>
      <c r="H110" s="135" t="str">
        <f>IF(A110&lt;&gt;"",maxAxial(A110,2,2),"")</f>
        <v/>
      </c>
      <c r="I110" s="135" t="str">
        <f>IF(A110&lt;&gt;"",maxAxial(A110,3,2),"")</f>
        <v/>
      </c>
    </row>
    <row r="111" spans="2:9" x14ac:dyDescent="0.3">
      <c r="B111" s="135" t="str">
        <f>IF('Girder Bracing Data'!A111&lt;&gt;"",'Girder Bracing Data'!A111,"")</f>
        <v/>
      </c>
      <c r="C111" s="135" t="str">
        <f t="shared" si="2"/>
        <v/>
      </c>
      <c r="D111" s="135" t="str">
        <f>IF(A111&lt;&gt;"",maxAxial(A111,1,1),"")</f>
        <v/>
      </c>
      <c r="E111" s="135" t="str">
        <f>IF(A111&lt;&gt;"",maxAxial(A111,2,1),"")</f>
        <v/>
      </c>
      <c r="F111" s="135" t="str">
        <f>IF(A111&lt;&gt;"",maxAxial(A111,3,1),"")</f>
        <v/>
      </c>
      <c r="G111" s="135" t="str">
        <f>IF(A111&lt;&gt;"",maxAxial(A111,1,2),"")</f>
        <v/>
      </c>
      <c r="H111" s="135" t="str">
        <f>IF(A111&lt;&gt;"",maxAxial(A111,2,2),"")</f>
        <v/>
      </c>
      <c r="I111" s="135" t="str">
        <f>IF(A111&lt;&gt;"",maxAxial(A111,3,2),"")</f>
        <v/>
      </c>
    </row>
    <row r="112" spans="2:9" x14ac:dyDescent="0.3">
      <c r="B112" s="135" t="str">
        <f>IF('Girder Bracing Data'!A112&lt;&gt;"",'Girder Bracing Data'!A112,"")</f>
        <v/>
      </c>
      <c r="C112" s="135" t="str">
        <f t="shared" si="2"/>
        <v/>
      </c>
      <c r="D112" s="135" t="str">
        <f>IF(A112&lt;&gt;"",maxAxial(A112,1,1),"")</f>
        <v/>
      </c>
      <c r="E112" s="135" t="str">
        <f>IF(A112&lt;&gt;"",maxAxial(A112,2,1),"")</f>
        <v/>
      </c>
      <c r="F112" s="135" t="str">
        <f>IF(A112&lt;&gt;"",maxAxial(A112,3,1),"")</f>
        <v/>
      </c>
      <c r="G112" s="135" t="str">
        <f>IF(A112&lt;&gt;"",maxAxial(A112,1,2),"")</f>
        <v/>
      </c>
      <c r="H112" s="135" t="str">
        <f>IF(A112&lt;&gt;"",maxAxial(A112,2,2),"")</f>
        <v/>
      </c>
      <c r="I112" s="135" t="str">
        <f>IF(A112&lt;&gt;"",maxAxial(A112,3,2),"")</f>
        <v/>
      </c>
    </row>
    <row r="113" spans="2:9" x14ac:dyDescent="0.3">
      <c r="B113" s="135" t="str">
        <f>IF('Girder Bracing Data'!A113&lt;&gt;"",'Girder Bracing Data'!A113,"")</f>
        <v/>
      </c>
      <c r="C113" s="135" t="str">
        <f t="shared" si="2"/>
        <v/>
      </c>
      <c r="D113" s="135" t="str">
        <f>IF(A113&lt;&gt;"",maxAxial(A113,1,1),"")</f>
        <v/>
      </c>
      <c r="E113" s="135" t="str">
        <f>IF(A113&lt;&gt;"",maxAxial(A113,2,1),"")</f>
        <v/>
      </c>
      <c r="F113" s="135" t="str">
        <f>IF(A113&lt;&gt;"",maxAxial(A113,3,1),"")</f>
        <v/>
      </c>
      <c r="G113" s="135" t="str">
        <f>IF(A113&lt;&gt;"",maxAxial(A113,1,2),"")</f>
        <v/>
      </c>
      <c r="H113" s="135" t="str">
        <f>IF(A113&lt;&gt;"",maxAxial(A113,2,2),"")</f>
        <v/>
      </c>
      <c r="I113" s="135" t="str">
        <f>IF(A113&lt;&gt;"",maxAxial(A113,3,2),"")</f>
        <v/>
      </c>
    </row>
    <row r="114" spans="2:9" x14ac:dyDescent="0.3">
      <c r="B114" s="135" t="str">
        <f>IF('Girder Bracing Data'!A114&lt;&gt;"",'Girder Bracing Data'!A114,"")</f>
        <v/>
      </c>
      <c r="C114" s="135" t="str">
        <f t="shared" si="2"/>
        <v/>
      </c>
      <c r="D114" s="135" t="str">
        <f>IF(A114&lt;&gt;"",maxAxial(A114,1,1),"")</f>
        <v/>
      </c>
      <c r="E114" s="135" t="str">
        <f>IF(A114&lt;&gt;"",maxAxial(A114,2,1),"")</f>
        <v/>
      </c>
      <c r="F114" s="135" t="str">
        <f>IF(A114&lt;&gt;"",maxAxial(A114,3,1),"")</f>
        <v/>
      </c>
      <c r="G114" s="135" t="str">
        <f>IF(A114&lt;&gt;"",maxAxial(A114,1,2),"")</f>
        <v/>
      </c>
      <c r="H114" s="135" t="str">
        <f>IF(A114&lt;&gt;"",maxAxial(A114,2,2),"")</f>
        <v/>
      </c>
      <c r="I114" s="135" t="str">
        <f>IF(A114&lt;&gt;"",maxAxial(A114,3,2),"")</f>
        <v/>
      </c>
    </row>
    <row r="115" spans="2:9" x14ac:dyDescent="0.3">
      <c r="B115" s="135" t="str">
        <f>IF('Girder Bracing Data'!A115&lt;&gt;"",'Girder Bracing Data'!A115,"")</f>
        <v/>
      </c>
      <c r="C115" s="135" t="str">
        <f t="shared" si="2"/>
        <v/>
      </c>
      <c r="D115" s="135" t="str">
        <f>IF(A115&lt;&gt;"",maxAxial(A115,1,1),"")</f>
        <v/>
      </c>
      <c r="E115" s="135" t="str">
        <f>IF(A115&lt;&gt;"",maxAxial(A115,2,1),"")</f>
        <v/>
      </c>
      <c r="F115" s="135" t="str">
        <f>IF(A115&lt;&gt;"",maxAxial(A115,3,1),"")</f>
        <v/>
      </c>
      <c r="G115" s="135" t="str">
        <f>IF(A115&lt;&gt;"",maxAxial(A115,1,2),"")</f>
        <v/>
      </c>
      <c r="H115" s="135" t="str">
        <f>IF(A115&lt;&gt;"",maxAxial(A115,2,2),"")</f>
        <v/>
      </c>
      <c r="I115" s="135" t="str">
        <f>IF(A115&lt;&gt;"",maxAxial(A115,3,2),"")</f>
        <v/>
      </c>
    </row>
    <row r="116" spans="2:9" x14ac:dyDescent="0.3">
      <c r="B116" s="135" t="str">
        <f>IF('Girder Bracing Data'!A116&lt;&gt;"",'Girder Bracing Data'!A116,"")</f>
        <v/>
      </c>
      <c r="C116" s="135" t="str">
        <f t="shared" si="2"/>
        <v/>
      </c>
      <c r="D116" s="135" t="str">
        <f>IF(A116&lt;&gt;"",maxAxial(A116,1,1),"")</f>
        <v/>
      </c>
      <c r="E116" s="135" t="str">
        <f>IF(A116&lt;&gt;"",maxAxial(A116,2,1),"")</f>
        <v/>
      </c>
      <c r="F116" s="135" t="str">
        <f>IF(A116&lt;&gt;"",maxAxial(A116,3,1),"")</f>
        <v/>
      </c>
      <c r="G116" s="135" t="str">
        <f>IF(A116&lt;&gt;"",maxAxial(A116,1,2),"")</f>
        <v/>
      </c>
      <c r="H116" s="135" t="str">
        <f>IF(A116&lt;&gt;"",maxAxial(A116,2,2),"")</f>
        <v/>
      </c>
      <c r="I116" s="135" t="str">
        <f>IF(A116&lt;&gt;"",maxAxial(A116,3,2),"")</f>
        <v/>
      </c>
    </row>
    <row r="117" spans="2:9" x14ac:dyDescent="0.3">
      <c r="B117" s="135" t="str">
        <f>IF('Girder Bracing Data'!A117&lt;&gt;"",'Girder Bracing Data'!A117,"")</f>
        <v/>
      </c>
      <c r="C117" s="135" t="str">
        <f t="shared" si="2"/>
        <v/>
      </c>
      <c r="D117" s="135" t="str">
        <f>IF(A117&lt;&gt;"",maxAxial(A117,1,1),"")</f>
        <v/>
      </c>
      <c r="E117" s="135" t="str">
        <f>IF(A117&lt;&gt;"",maxAxial(A117,2,1),"")</f>
        <v/>
      </c>
      <c r="F117" s="135" t="str">
        <f>IF(A117&lt;&gt;"",maxAxial(A117,3,1),"")</f>
        <v/>
      </c>
      <c r="G117" s="135" t="str">
        <f>IF(A117&lt;&gt;"",maxAxial(A117,1,2),"")</f>
        <v/>
      </c>
      <c r="H117" s="135" t="str">
        <f>IF(A117&lt;&gt;"",maxAxial(A117,2,2),"")</f>
        <v/>
      </c>
      <c r="I117" s="135" t="str">
        <f>IF(A117&lt;&gt;"",maxAxial(A117,3,2),"")</f>
        <v/>
      </c>
    </row>
    <row r="118" spans="2:9" x14ac:dyDescent="0.3">
      <c r="B118" s="135" t="str">
        <f>IF('Girder Bracing Data'!A118&lt;&gt;"",'Girder Bracing Data'!A118,"")</f>
        <v/>
      </c>
      <c r="C118" s="135" t="str">
        <f t="shared" si="2"/>
        <v/>
      </c>
      <c r="D118" s="135" t="str">
        <f>IF(A118&lt;&gt;"",maxAxial(A118,1,1),"")</f>
        <v/>
      </c>
      <c r="E118" s="135" t="str">
        <f>IF(A118&lt;&gt;"",maxAxial(A118,2,1),"")</f>
        <v/>
      </c>
      <c r="F118" s="135" t="str">
        <f>IF(A118&lt;&gt;"",maxAxial(A118,3,1),"")</f>
        <v/>
      </c>
      <c r="G118" s="135" t="str">
        <f>IF(A118&lt;&gt;"",maxAxial(A118,1,2),"")</f>
        <v/>
      </c>
      <c r="H118" s="135" t="str">
        <f>IF(A118&lt;&gt;"",maxAxial(A118,2,2),"")</f>
        <v/>
      </c>
      <c r="I118" s="135" t="str">
        <f>IF(A118&lt;&gt;"",maxAxial(A118,3,2),"")</f>
        <v/>
      </c>
    </row>
    <row r="119" spans="2:9" x14ac:dyDescent="0.3">
      <c r="B119" s="135" t="str">
        <f>IF('Girder Bracing Data'!A119&lt;&gt;"",'Girder Bracing Data'!A119,"")</f>
        <v/>
      </c>
      <c r="C119" s="135" t="str">
        <f t="shared" si="2"/>
        <v/>
      </c>
      <c r="D119" s="135" t="str">
        <f>IF(A119&lt;&gt;"",maxAxial(A119,1,1),"")</f>
        <v/>
      </c>
      <c r="E119" s="135" t="str">
        <f>IF(A119&lt;&gt;"",maxAxial(A119,2,1),"")</f>
        <v/>
      </c>
      <c r="F119" s="135" t="str">
        <f>IF(A119&lt;&gt;"",maxAxial(A119,3,1),"")</f>
        <v/>
      </c>
      <c r="G119" s="135" t="str">
        <f>IF(A119&lt;&gt;"",maxAxial(A119,1,2),"")</f>
        <v/>
      </c>
      <c r="H119" s="135" t="str">
        <f>IF(A119&lt;&gt;"",maxAxial(A119,2,2),"")</f>
        <v/>
      </c>
      <c r="I119" s="135" t="str">
        <f>IF(A119&lt;&gt;"",maxAxial(A119,3,2),"")</f>
        <v/>
      </c>
    </row>
    <row r="120" spans="2:9" x14ac:dyDescent="0.3">
      <c r="B120" s="135" t="str">
        <f>IF('Girder Bracing Data'!A120&lt;&gt;"",'Girder Bracing Data'!A120,"")</f>
        <v/>
      </c>
      <c r="C120" s="135" t="str">
        <f t="shared" si="2"/>
        <v/>
      </c>
      <c r="D120" s="135" t="str">
        <f>IF(A120&lt;&gt;"",maxAxial(A120,1,1),"")</f>
        <v/>
      </c>
      <c r="E120" s="135" t="str">
        <f>IF(A120&lt;&gt;"",maxAxial(A120,2,1),"")</f>
        <v/>
      </c>
      <c r="F120" s="135" t="str">
        <f>IF(A120&lt;&gt;"",maxAxial(A120,3,1),"")</f>
        <v/>
      </c>
      <c r="G120" s="135" t="str">
        <f>IF(A120&lt;&gt;"",maxAxial(A120,1,2),"")</f>
        <v/>
      </c>
      <c r="H120" s="135" t="str">
        <f>IF(A120&lt;&gt;"",maxAxial(A120,2,2),"")</f>
        <v/>
      </c>
      <c r="I120" s="135" t="str">
        <f>IF(A120&lt;&gt;"",maxAxial(A120,3,2),"")</f>
        <v/>
      </c>
    </row>
    <row r="121" spans="2:9" x14ac:dyDescent="0.3">
      <c r="B121" s="135" t="str">
        <f>IF('Girder Bracing Data'!A121&lt;&gt;"",'Girder Bracing Data'!A121,"")</f>
        <v/>
      </c>
      <c r="C121" s="135" t="str">
        <f t="shared" si="2"/>
        <v/>
      </c>
      <c r="D121" s="135" t="str">
        <f>IF(A121&lt;&gt;"",maxAxial(A121,1,1),"")</f>
        <v/>
      </c>
      <c r="E121" s="135" t="str">
        <f>IF(A121&lt;&gt;"",maxAxial(A121,2,1),"")</f>
        <v/>
      </c>
      <c r="F121" s="135" t="str">
        <f>IF(A121&lt;&gt;"",maxAxial(A121,3,1),"")</f>
        <v/>
      </c>
      <c r="G121" s="135" t="str">
        <f>IF(A121&lt;&gt;"",maxAxial(A121,1,2),"")</f>
        <v/>
      </c>
      <c r="H121" s="135" t="str">
        <f>IF(A121&lt;&gt;"",maxAxial(A121,2,2),"")</f>
        <v/>
      </c>
      <c r="I121" s="135" t="str">
        <f>IF(A121&lt;&gt;"",maxAxial(A121,3,2),"")</f>
        <v/>
      </c>
    </row>
    <row r="122" spans="2:9" x14ac:dyDescent="0.3">
      <c r="B122" s="135" t="str">
        <f>IF('Girder Bracing Data'!A122&lt;&gt;"",'Girder Bracing Data'!A122,"")</f>
        <v/>
      </c>
      <c r="C122" s="135" t="str">
        <f t="shared" si="2"/>
        <v/>
      </c>
      <c r="D122" s="135" t="str">
        <f>IF(A122&lt;&gt;"",maxAxial(A122,1,1),"")</f>
        <v/>
      </c>
      <c r="E122" s="135" t="str">
        <f>IF(A122&lt;&gt;"",maxAxial(A122,2,1),"")</f>
        <v/>
      </c>
      <c r="F122" s="135" t="str">
        <f>IF(A122&lt;&gt;"",maxAxial(A122,3,1),"")</f>
        <v/>
      </c>
      <c r="G122" s="135" t="str">
        <f>IF(A122&lt;&gt;"",maxAxial(A122,1,2),"")</f>
        <v/>
      </c>
      <c r="H122" s="135" t="str">
        <f>IF(A122&lt;&gt;"",maxAxial(A122,2,2),"")</f>
        <v/>
      </c>
      <c r="I122" s="135" t="str">
        <f>IF(A122&lt;&gt;"",maxAxial(A122,3,2),"")</f>
        <v/>
      </c>
    </row>
    <row r="123" spans="2:9" x14ac:dyDescent="0.3">
      <c r="B123" s="135" t="str">
        <f>IF('Girder Bracing Data'!A123&lt;&gt;"",'Girder Bracing Data'!A123,"")</f>
        <v/>
      </c>
      <c r="C123" s="135" t="str">
        <f t="shared" si="2"/>
        <v/>
      </c>
      <c r="D123" s="135" t="str">
        <f>IF(A123&lt;&gt;"",maxAxial(A123,1,1),"")</f>
        <v/>
      </c>
      <c r="E123" s="135" t="str">
        <f>IF(A123&lt;&gt;"",maxAxial(A123,2,1),"")</f>
        <v/>
      </c>
      <c r="F123" s="135" t="str">
        <f>IF(A123&lt;&gt;"",maxAxial(A123,3,1),"")</f>
        <v/>
      </c>
      <c r="G123" s="135" t="str">
        <f>IF(A123&lt;&gt;"",maxAxial(A123,1,2),"")</f>
        <v/>
      </c>
      <c r="H123" s="135" t="str">
        <f>IF(A123&lt;&gt;"",maxAxial(A123,2,2),"")</f>
        <v/>
      </c>
      <c r="I123" s="135" t="str">
        <f>IF(A123&lt;&gt;"",maxAxial(A123,3,2),"")</f>
        <v/>
      </c>
    </row>
    <row r="124" spans="2:9" x14ac:dyDescent="0.3">
      <c r="B124" s="135" t="str">
        <f>IF('Girder Bracing Data'!A124&lt;&gt;"",'Girder Bracing Data'!A124,"")</f>
        <v/>
      </c>
      <c r="C124" s="135" t="str">
        <f t="shared" si="2"/>
        <v/>
      </c>
      <c r="D124" s="135" t="str">
        <f>IF(A124&lt;&gt;"",maxAxial(A124,1,1),"")</f>
        <v/>
      </c>
      <c r="E124" s="135" t="str">
        <f>IF(A124&lt;&gt;"",maxAxial(A124,2,1),"")</f>
        <v/>
      </c>
      <c r="F124" s="135" t="str">
        <f>IF(A124&lt;&gt;"",maxAxial(A124,3,1),"")</f>
        <v/>
      </c>
      <c r="G124" s="135" t="str">
        <f>IF(A124&lt;&gt;"",maxAxial(A124,1,2),"")</f>
        <v/>
      </c>
      <c r="H124" s="135" t="str">
        <f>IF(A124&lt;&gt;"",maxAxial(A124,2,2),"")</f>
        <v/>
      </c>
      <c r="I124" s="135" t="str">
        <f>IF(A124&lt;&gt;"",maxAxial(A124,3,2),"")</f>
        <v/>
      </c>
    </row>
    <row r="125" spans="2:9" x14ac:dyDescent="0.3">
      <c r="B125" s="135" t="str">
        <f>IF('Girder Bracing Data'!A125&lt;&gt;"",'Girder Bracing Data'!A125,"")</f>
        <v/>
      </c>
      <c r="C125" s="135" t="str">
        <f t="shared" si="2"/>
        <v/>
      </c>
      <c r="D125" s="135" t="str">
        <f>IF(A125&lt;&gt;"",maxAxial(A125,1,1),"")</f>
        <v/>
      </c>
      <c r="E125" s="135" t="str">
        <f>IF(A125&lt;&gt;"",maxAxial(A125,2,1),"")</f>
        <v/>
      </c>
      <c r="F125" s="135" t="str">
        <f>IF(A125&lt;&gt;"",maxAxial(A125,3,1),"")</f>
        <v/>
      </c>
      <c r="G125" s="135" t="str">
        <f>IF(A125&lt;&gt;"",maxAxial(A125,1,2),"")</f>
        <v/>
      </c>
      <c r="H125" s="135" t="str">
        <f>IF(A125&lt;&gt;"",maxAxial(A125,2,2),"")</f>
        <v/>
      </c>
      <c r="I125" s="135" t="str">
        <f>IF(A125&lt;&gt;"",maxAxial(A125,3,2),"")</f>
        <v/>
      </c>
    </row>
    <row r="126" spans="2:9" x14ac:dyDescent="0.3">
      <c r="B126" s="135" t="str">
        <f>IF('Girder Bracing Data'!A126&lt;&gt;"",'Girder Bracing Data'!A126,"")</f>
        <v/>
      </c>
      <c r="C126" s="135" t="str">
        <f t="shared" si="2"/>
        <v/>
      </c>
      <c r="D126" s="135" t="str">
        <f>IF(A126&lt;&gt;"",maxAxial(A126,1,1),"")</f>
        <v/>
      </c>
      <c r="E126" s="135" t="str">
        <f>IF(A126&lt;&gt;"",maxAxial(A126,2,1),"")</f>
        <v/>
      </c>
      <c r="F126" s="135" t="str">
        <f>IF(A126&lt;&gt;"",maxAxial(A126,3,1),"")</f>
        <v/>
      </c>
      <c r="G126" s="135" t="str">
        <f>IF(A126&lt;&gt;"",maxAxial(A126,1,2),"")</f>
        <v/>
      </c>
      <c r="H126" s="135" t="str">
        <f>IF(A126&lt;&gt;"",maxAxial(A126,2,2),"")</f>
        <v/>
      </c>
      <c r="I126" s="135" t="str">
        <f>IF(A126&lt;&gt;"",maxAxial(A126,3,2),"")</f>
        <v/>
      </c>
    </row>
    <row r="127" spans="2:9" x14ac:dyDescent="0.3">
      <c r="B127" s="135" t="str">
        <f>IF('Girder Bracing Data'!A127&lt;&gt;"",'Girder Bracing Data'!A127,"")</f>
        <v/>
      </c>
      <c r="C127" s="135" t="str">
        <f t="shared" si="2"/>
        <v/>
      </c>
      <c r="D127" s="135" t="str">
        <f>IF(A127&lt;&gt;"",maxAxial(A127,1,1),"")</f>
        <v/>
      </c>
      <c r="E127" s="135" t="str">
        <f>IF(A127&lt;&gt;"",maxAxial(A127,2,1),"")</f>
        <v/>
      </c>
      <c r="F127" s="135" t="str">
        <f>IF(A127&lt;&gt;"",maxAxial(A127,3,1),"")</f>
        <v/>
      </c>
      <c r="G127" s="135" t="str">
        <f>IF(A127&lt;&gt;"",maxAxial(A127,1,2),"")</f>
        <v/>
      </c>
      <c r="H127" s="135" t="str">
        <f>IF(A127&lt;&gt;"",maxAxial(A127,2,2),"")</f>
        <v/>
      </c>
      <c r="I127" s="135" t="str">
        <f>IF(A127&lt;&gt;"",maxAxial(A127,3,2),"")</f>
        <v/>
      </c>
    </row>
    <row r="128" spans="2:9" x14ac:dyDescent="0.3">
      <c r="B128" s="135" t="str">
        <f>IF('Girder Bracing Data'!A128&lt;&gt;"",'Girder Bracing Data'!A128,"")</f>
        <v/>
      </c>
      <c r="C128" s="135" t="str">
        <f t="shared" si="2"/>
        <v/>
      </c>
      <c r="D128" s="135" t="str">
        <f>IF(A128&lt;&gt;"",maxAxial(A128,1,1),"")</f>
        <v/>
      </c>
      <c r="E128" s="135" t="str">
        <f>IF(A128&lt;&gt;"",maxAxial(A128,2,1),"")</f>
        <v/>
      </c>
      <c r="F128" s="135" t="str">
        <f>IF(A128&lt;&gt;"",maxAxial(A128,3,1),"")</f>
        <v/>
      </c>
      <c r="G128" s="135" t="str">
        <f>IF(A128&lt;&gt;"",maxAxial(A128,1,2),"")</f>
        <v/>
      </c>
      <c r="H128" s="135" t="str">
        <f>IF(A128&lt;&gt;"",maxAxial(A128,2,2),"")</f>
        <v/>
      </c>
      <c r="I128" s="135" t="str">
        <f>IF(A128&lt;&gt;"",maxAxial(A128,3,2),"")</f>
        <v/>
      </c>
    </row>
    <row r="129" spans="2:9" x14ac:dyDescent="0.3">
      <c r="B129" s="135" t="str">
        <f>IF('Girder Bracing Data'!A129&lt;&gt;"",'Girder Bracing Data'!A129,"")</f>
        <v/>
      </c>
      <c r="C129" s="135" t="str">
        <f t="shared" si="2"/>
        <v/>
      </c>
      <c r="D129" s="135" t="str">
        <f>IF(A129&lt;&gt;"",maxAxial(A129,1,1),"")</f>
        <v/>
      </c>
      <c r="E129" s="135" t="str">
        <f>IF(A129&lt;&gt;"",maxAxial(A129,2,1),"")</f>
        <v/>
      </c>
      <c r="F129" s="135" t="str">
        <f>IF(A129&lt;&gt;"",maxAxial(A129,3,1),"")</f>
        <v/>
      </c>
      <c r="G129" s="135" t="str">
        <f>IF(A129&lt;&gt;"",maxAxial(A129,1,2),"")</f>
        <v/>
      </c>
      <c r="H129" s="135" t="str">
        <f>IF(A129&lt;&gt;"",maxAxial(A129,2,2),"")</f>
        <v/>
      </c>
      <c r="I129" s="135" t="str">
        <f>IF(A129&lt;&gt;"",maxAxial(A129,3,2),"")</f>
        <v/>
      </c>
    </row>
    <row r="130" spans="2:9" x14ac:dyDescent="0.3">
      <c r="B130" s="135" t="str">
        <f>IF('Girder Bracing Data'!A130&lt;&gt;"",'Girder Bracing Data'!A130,"")</f>
        <v/>
      </c>
      <c r="C130" s="135" t="str">
        <f t="shared" ref="C130:C193" si="4">IF(A130&lt;&gt;"",stiffness(A130),"")</f>
        <v/>
      </c>
      <c r="D130" s="135" t="str">
        <f>IF(A130&lt;&gt;"",maxAxial(A130,1,1),"")</f>
        <v/>
      </c>
      <c r="E130" s="135" t="str">
        <f>IF(A130&lt;&gt;"",maxAxial(A130,2,1),"")</f>
        <v/>
      </c>
      <c r="F130" s="135" t="str">
        <f>IF(A130&lt;&gt;"",maxAxial(A130,3,1),"")</f>
        <v/>
      </c>
      <c r="G130" s="135" t="str">
        <f>IF(A130&lt;&gt;"",maxAxial(A130,1,2),"")</f>
        <v/>
      </c>
      <c r="H130" s="135" t="str">
        <f>IF(A130&lt;&gt;"",maxAxial(A130,2,2),"")</f>
        <v/>
      </c>
      <c r="I130" s="135" t="str">
        <f>IF(A130&lt;&gt;"",maxAxial(A130,3,2),"")</f>
        <v/>
      </c>
    </row>
    <row r="131" spans="2:9" x14ac:dyDescent="0.3">
      <c r="B131" s="135" t="str">
        <f>IF('Girder Bracing Data'!A131&lt;&gt;"",'Girder Bracing Data'!A131,"")</f>
        <v/>
      </c>
      <c r="C131" s="135" t="str">
        <f t="shared" si="4"/>
        <v/>
      </c>
      <c r="D131" s="135" t="str">
        <f>IF(A131&lt;&gt;"",maxAxial(A131,1,1),"")</f>
        <v/>
      </c>
      <c r="E131" s="135" t="str">
        <f>IF(A131&lt;&gt;"",maxAxial(A131,2,1),"")</f>
        <v/>
      </c>
      <c r="F131" s="135" t="str">
        <f>IF(A131&lt;&gt;"",maxAxial(A131,3,1),"")</f>
        <v/>
      </c>
      <c r="G131" s="135" t="str">
        <f>IF(A131&lt;&gt;"",maxAxial(A131,1,2),"")</f>
        <v/>
      </c>
      <c r="H131" s="135" t="str">
        <f>IF(A131&lt;&gt;"",maxAxial(A131,2,2),"")</f>
        <v/>
      </c>
      <c r="I131" s="135" t="str">
        <f>IF(A131&lt;&gt;"",maxAxial(A131,3,2),"")</f>
        <v/>
      </c>
    </row>
    <row r="132" spans="2:9" x14ac:dyDescent="0.3">
      <c r="B132" s="135" t="str">
        <f>IF('Girder Bracing Data'!A132&lt;&gt;"",'Girder Bracing Data'!A132,"")</f>
        <v/>
      </c>
      <c r="C132" s="135" t="str">
        <f t="shared" si="4"/>
        <v/>
      </c>
      <c r="D132" s="135" t="str">
        <f>IF(A132&lt;&gt;"",maxAxial(A132,1,1),"")</f>
        <v/>
      </c>
      <c r="E132" s="135" t="str">
        <f>IF(A132&lt;&gt;"",maxAxial(A132,2,1),"")</f>
        <v/>
      </c>
      <c r="F132" s="135" t="str">
        <f>IF(A132&lt;&gt;"",maxAxial(A132,3,1),"")</f>
        <v/>
      </c>
      <c r="G132" s="135" t="str">
        <f>IF(A132&lt;&gt;"",maxAxial(A132,1,2),"")</f>
        <v/>
      </c>
      <c r="H132" s="135" t="str">
        <f>IF(A132&lt;&gt;"",maxAxial(A132,2,2),"")</f>
        <v/>
      </c>
      <c r="I132" s="135" t="str">
        <f>IF(A132&lt;&gt;"",maxAxial(A132,3,2),"")</f>
        <v/>
      </c>
    </row>
    <row r="133" spans="2:9" x14ac:dyDescent="0.3">
      <c r="B133" s="135" t="str">
        <f>IF('Girder Bracing Data'!A133&lt;&gt;"",'Girder Bracing Data'!A133,"")</f>
        <v/>
      </c>
      <c r="C133" s="135" t="str">
        <f t="shared" si="4"/>
        <v/>
      </c>
      <c r="D133" s="135" t="str">
        <f>IF(A133&lt;&gt;"",maxAxial(A133,1,1),"")</f>
        <v/>
      </c>
      <c r="E133" s="135" t="str">
        <f>IF(A133&lt;&gt;"",maxAxial(A133,2,1),"")</f>
        <v/>
      </c>
      <c r="F133" s="135" t="str">
        <f>IF(A133&lt;&gt;"",maxAxial(A133,3,1),"")</f>
        <v/>
      </c>
      <c r="G133" s="135" t="str">
        <f>IF(A133&lt;&gt;"",maxAxial(A133,1,2),"")</f>
        <v/>
      </c>
      <c r="H133" s="135" t="str">
        <f>IF(A133&lt;&gt;"",maxAxial(A133,2,2),"")</f>
        <v/>
      </c>
      <c r="I133" s="135" t="str">
        <f>IF(A133&lt;&gt;"",maxAxial(A133,3,2),"")</f>
        <v/>
      </c>
    </row>
    <row r="134" spans="2:9" x14ac:dyDescent="0.3">
      <c r="B134" s="135" t="str">
        <f>IF('Girder Bracing Data'!A134&lt;&gt;"",'Girder Bracing Data'!A134,"")</f>
        <v/>
      </c>
      <c r="C134" s="135" t="str">
        <f t="shared" si="4"/>
        <v/>
      </c>
      <c r="D134" s="135" t="str">
        <f>IF(A134&lt;&gt;"",maxAxial(A134,1,1),"")</f>
        <v/>
      </c>
      <c r="E134" s="135" t="str">
        <f>IF(A134&lt;&gt;"",maxAxial(A134,2,1),"")</f>
        <v/>
      </c>
      <c r="F134" s="135" t="str">
        <f>IF(A134&lt;&gt;"",maxAxial(A134,3,1),"")</f>
        <v/>
      </c>
      <c r="G134" s="135" t="str">
        <f>IF(A134&lt;&gt;"",maxAxial(A134,1,2),"")</f>
        <v/>
      </c>
      <c r="H134" s="135" t="str">
        <f>IF(A134&lt;&gt;"",maxAxial(A134,2,2),"")</f>
        <v/>
      </c>
      <c r="I134" s="135" t="str">
        <f>IF(A134&lt;&gt;"",maxAxial(A134,3,2),"")</f>
        <v/>
      </c>
    </row>
    <row r="135" spans="2:9" x14ac:dyDescent="0.3">
      <c r="B135" s="135" t="str">
        <f>IF('Girder Bracing Data'!A135&lt;&gt;"",'Girder Bracing Data'!A135,"")</f>
        <v/>
      </c>
      <c r="C135" s="135" t="str">
        <f t="shared" si="4"/>
        <v/>
      </c>
      <c r="D135" s="135" t="str">
        <f>IF(A135&lt;&gt;"",maxAxial(A135,1,1),"")</f>
        <v/>
      </c>
      <c r="E135" s="135" t="str">
        <f>IF(A135&lt;&gt;"",maxAxial(A135,2,1),"")</f>
        <v/>
      </c>
      <c r="F135" s="135" t="str">
        <f>IF(A135&lt;&gt;"",maxAxial(A135,3,1),"")</f>
        <v/>
      </c>
      <c r="G135" s="135" t="str">
        <f>IF(A135&lt;&gt;"",maxAxial(A135,1,2),"")</f>
        <v/>
      </c>
      <c r="H135" s="135" t="str">
        <f>IF(A135&lt;&gt;"",maxAxial(A135,2,2),"")</f>
        <v/>
      </c>
      <c r="I135" s="135" t="str">
        <f>IF(A135&lt;&gt;"",maxAxial(A135,3,2),"")</f>
        <v/>
      </c>
    </row>
    <row r="136" spans="2:9" x14ac:dyDescent="0.3">
      <c r="B136" s="135" t="str">
        <f>IF('Girder Bracing Data'!A136&lt;&gt;"",'Girder Bracing Data'!A136,"")</f>
        <v/>
      </c>
      <c r="C136" s="135" t="str">
        <f t="shared" si="4"/>
        <v/>
      </c>
      <c r="D136" s="135" t="str">
        <f>IF(A136&lt;&gt;"",maxAxial(A136,1,1),"")</f>
        <v/>
      </c>
      <c r="E136" s="135" t="str">
        <f>IF(A136&lt;&gt;"",maxAxial(A136,2,1),"")</f>
        <v/>
      </c>
      <c r="F136" s="135" t="str">
        <f>IF(A136&lt;&gt;"",maxAxial(A136,3,1),"")</f>
        <v/>
      </c>
      <c r="G136" s="135" t="str">
        <f>IF(A136&lt;&gt;"",maxAxial(A136,1,2),"")</f>
        <v/>
      </c>
      <c r="H136" s="135" t="str">
        <f>IF(A136&lt;&gt;"",maxAxial(A136,2,2),"")</f>
        <v/>
      </c>
      <c r="I136" s="135" t="str">
        <f>IF(A136&lt;&gt;"",maxAxial(A136,3,2),"")</f>
        <v/>
      </c>
    </row>
    <row r="137" spans="2:9" x14ac:dyDescent="0.3">
      <c r="B137" s="135" t="str">
        <f>IF('Girder Bracing Data'!A137&lt;&gt;"",'Girder Bracing Data'!A137,"")</f>
        <v/>
      </c>
      <c r="C137" s="135" t="str">
        <f t="shared" si="4"/>
        <v/>
      </c>
      <c r="D137" s="135" t="str">
        <f>IF(A137&lt;&gt;"",maxAxial(A137,1,1),"")</f>
        <v/>
      </c>
      <c r="E137" s="135" t="str">
        <f>IF(A137&lt;&gt;"",maxAxial(A137,2,1),"")</f>
        <v/>
      </c>
      <c r="F137" s="135" t="str">
        <f>IF(A137&lt;&gt;"",maxAxial(A137,3,1),"")</f>
        <v/>
      </c>
      <c r="G137" s="135" t="str">
        <f>IF(A137&lt;&gt;"",maxAxial(A137,1,2),"")</f>
        <v/>
      </c>
      <c r="H137" s="135" t="str">
        <f>IF(A137&lt;&gt;"",maxAxial(A137,2,2),"")</f>
        <v/>
      </c>
      <c r="I137" s="135" t="str">
        <f>IF(A137&lt;&gt;"",maxAxial(A137,3,2),"")</f>
        <v/>
      </c>
    </row>
    <row r="138" spans="2:9" x14ac:dyDescent="0.3">
      <c r="B138" s="135" t="str">
        <f>IF('Girder Bracing Data'!A138&lt;&gt;"",'Girder Bracing Data'!A138,"")</f>
        <v/>
      </c>
      <c r="C138" s="135" t="str">
        <f t="shared" si="4"/>
        <v/>
      </c>
      <c r="D138" s="135" t="str">
        <f>IF(A138&lt;&gt;"",maxAxial(A138,1,1),"")</f>
        <v/>
      </c>
      <c r="E138" s="135" t="str">
        <f>IF(A138&lt;&gt;"",maxAxial(A138,2,1),"")</f>
        <v/>
      </c>
      <c r="F138" s="135" t="str">
        <f>IF(A138&lt;&gt;"",maxAxial(A138,3,1),"")</f>
        <v/>
      </c>
      <c r="G138" s="135" t="str">
        <f>IF(A138&lt;&gt;"",maxAxial(A138,1,2),"")</f>
        <v/>
      </c>
      <c r="H138" s="135" t="str">
        <f>IF(A138&lt;&gt;"",maxAxial(A138,2,2),"")</f>
        <v/>
      </c>
      <c r="I138" s="135" t="str">
        <f>IF(A138&lt;&gt;"",maxAxial(A138,3,2),"")</f>
        <v/>
      </c>
    </row>
    <row r="139" spans="2:9" x14ac:dyDescent="0.3">
      <c r="B139" s="135" t="str">
        <f>IF('Girder Bracing Data'!A139&lt;&gt;"",'Girder Bracing Data'!A139,"")</f>
        <v/>
      </c>
      <c r="C139" s="135" t="str">
        <f t="shared" si="4"/>
        <v/>
      </c>
      <c r="D139" s="135" t="str">
        <f>IF(A139&lt;&gt;"",maxAxial(A139,1,1),"")</f>
        <v/>
      </c>
      <c r="E139" s="135" t="str">
        <f>IF(A139&lt;&gt;"",maxAxial(A139,2,1),"")</f>
        <v/>
      </c>
      <c r="F139" s="135" t="str">
        <f>IF(A139&lt;&gt;"",maxAxial(A139,3,1),"")</f>
        <v/>
      </c>
      <c r="G139" s="135" t="str">
        <f>IF(A139&lt;&gt;"",maxAxial(A139,1,2),"")</f>
        <v/>
      </c>
      <c r="H139" s="135" t="str">
        <f>IF(A139&lt;&gt;"",maxAxial(A139,2,2),"")</f>
        <v/>
      </c>
      <c r="I139" s="135" t="str">
        <f>IF(A139&lt;&gt;"",maxAxial(A139,3,2),"")</f>
        <v/>
      </c>
    </row>
    <row r="140" spans="2:9" x14ac:dyDescent="0.3">
      <c r="B140" s="135" t="str">
        <f>IF('Girder Bracing Data'!A140&lt;&gt;"",'Girder Bracing Data'!A140,"")</f>
        <v/>
      </c>
      <c r="C140" s="135" t="str">
        <f t="shared" si="4"/>
        <v/>
      </c>
      <c r="D140" s="135" t="str">
        <f>IF(A140&lt;&gt;"",maxAxial(A140,1,1),"")</f>
        <v/>
      </c>
      <c r="E140" s="135" t="str">
        <f>IF(A140&lt;&gt;"",maxAxial(A140,2,1),"")</f>
        <v/>
      </c>
      <c r="F140" s="135" t="str">
        <f>IF(A140&lt;&gt;"",maxAxial(A140,3,1),"")</f>
        <v/>
      </c>
      <c r="G140" s="135" t="str">
        <f>IF(A140&lt;&gt;"",maxAxial(A140,1,2),"")</f>
        <v/>
      </c>
      <c r="H140" s="135" t="str">
        <f>IF(A140&lt;&gt;"",maxAxial(A140,2,2),"")</f>
        <v/>
      </c>
      <c r="I140" s="135" t="str">
        <f>IF(A140&lt;&gt;"",maxAxial(A140,3,2),"")</f>
        <v/>
      </c>
    </row>
    <row r="141" spans="2:9" x14ac:dyDescent="0.3">
      <c r="B141" s="135" t="str">
        <f>IF('Girder Bracing Data'!A141&lt;&gt;"",'Girder Bracing Data'!A141,"")</f>
        <v/>
      </c>
      <c r="C141" s="135" t="str">
        <f t="shared" si="4"/>
        <v/>
      </c>
      <c r="D141" s="135" t="str">
        <f>IF(A141&lt;&gt;"",maxAxial(A141,1,1),"")</f>
        <v/>
      </c>
      <c r="E141" s="135" t="str">
        <f>IF(A141&lt;&gt;"",maxAxial(A141,2,1),"")</f>
        <v/>
      </c>
      <c r="F141" s="135" t="str">
        <f>IF(A141&lt;&gt;"",maxAxial(A141,3,1),"")</f>
        <v/>
      </c>
      <c r="G141" s="135" t="str">
        <f>IF(A141&lt;&gt;"",maxAxial(A141,1,2),"")</f>
        <v/>
      </c>
      <c r="H141" s="135" t="str">
        <f>IF(A141&lt;&gt;"",maxAxial(A141,2,2),"")</f>
        <v/>
      </c>
      <c r="I141" s="135" t="str">
        <f>IF(A141&lt;&gt;"",maxAxial(A141,3,2),"")</f>
        <v/>
      </c>
    </row>
    <row r="142" spans="2:9" x14ac:dyDescent="0.3">
      <c r="B142" s="135" t="str">
        <f>IF('Girder Bracing Data'!A142&lt;&gt;"",'Girder Bracing Data'!A142,"")</f>
        <v/>
      </c>
      <c r="C142" s="135" t="str">
        <f t="shared" si="4"/>
        <v/>
      </c>
      <c r="D142" s="135" t="str">
        <f>IF(A142&lt;&gt;"",maxAxial(A142,1,1),"")</f>
        <v/>
      </c>
      <c r="E142" s="135" t="str">
        <f>IF(A142&lt;&gt;"",maxAxial(A142,2,1),"")</f>
        <v/>
      </c>
      <c r="F142" s="135" t="str">
        <f>IF(A142&lt;&gt;"",maxAxial(A142,3,1),"")</f>
        <v/>
      </c>
      <c r="G142" s="135" t="str">
        <f>IF(A142&lt;&gt;"",maxAxial(A142,1,2),"")</f>
        <v/>
      </c>
      <c r="H142" s="135" t="str">
        <f>IF(A142&lt;&gt;"",maxAxial(A142,2,2),"")</f>
        <v/>
      </c>
      <c r="I142" s="135" t="str">
        <f>IF(A142&lt;&gt;"",maxAxial(A142,3,2),"")</f>
        <v/>
      </c>
    </row>
    <row r="143" spans="2:9" x14ac:dyDescent="0.3">
      <c r="B143" s="135" t="str">
        <f>IF('Girder Bracing Data'!A143&lt;&gt;"",'Girder Bracing Data'!A143,"")</f>
        <v/>
      </c>
      <c r="C143" s="135" t="str">
        <f t="shared" si="4"/>
        <v/>
      </c>
      <c r="D143" s="135" t="str">
        <f>IF(A143&lt;&gt;"",maxAxial(A143,1,1),"")</f>
        <v/>
      </c>
      <c r="E143" s="135" t="str">
        <f>IF(A143&lt;&gt;"",maxAxial(A143,2,1),"")</f>
        <v/>
      </c>
      <c r="F143" s="135" t="str">
        <f>IF(A143&lt;&gt;"",maxAxial(A143,3,1),"")</f>
        <v/>
      </c>
      <c r="G143" s="135" t="str">
        <f>IF(A143&lt;&gt;"",maxAxial(A143,1,2),"")</f>
        <v/>
      </c>
      <c r="H143" s="135" t="str">
        <f>IF(A143&lt;&gt;"",maxAxial(A143,2,2),"")</f>
        <v/>
      </c>
      <c r="I143" s="135" t="str">
        <f>IF(A143&lt;&gt;"",maxAxial(A143,3,2),"")</f>
        <v/>
      </c>
    </row>
    <row r="144" spans="2:9" x14ac:dyDescent="0.3">
      <c r="B144" s="135" t="str">
        <f>IF('Girder Bracing Data'!A144&lt;&gt;"",'Girder Bracing Data'!A144,"")</f>
        <v/>
      </c>
      <c r="C144" s="135" t="str">
        <f t="shared" si="4"/>
        <v/>
      </c>
      <c r="D144" s="135" t="str">
        <f>IF(A144&lt;&gt;"",maxAxial(A144,1,1),"")</f>
        <v/>
      </c>
      <c r="E144" s="135" t="str">
        <f>IF(A144&lt;&gt;"",maxAxial(A144,2,1),"")</f>
        <v/>
      </c>
      <c r="F144" s="135" t="str">
        <f>IF(A144&lt;&gt;"",maxAxial(A144,3,1),"")</f>
        <v/>
      </c>
      <c r="G144" s="135" t="str">
        <f>IF(A144&lt;&gt;"",maxAxial(A144,1,2),"")</f>
        <v/>
      </c>
      <c r="H144" s="135" t="str">
        <f>IF(A144&lt;&gt;"",maxAxial(A144,2,2),"")</f>
        <v/>
      </c>
      <c r="I144" s="135" t="str">
        <f>IF(A144&lt;&gt;"",maxAxial(A144,3,2),"")</f>
        <v/>
      </c>
    </row>
    <row r="145" spans="2:9" x14ac:dyDescent="0.3">
      <c r="B145" s="135" t="str">
        <f>IF('Girder Bracing Data'!A145&lt;&gt;"",'Girder Bracing Data'!A145,"")</f>
        <v/>
      </c>
      <c r="C145" s="135" t="str">
        <f t="shared" si="4"/>
        <v/>
      </c>
      <c r="D145" s="135" t="str">
        <f>IF(A145&lt;&gt;"",maxAxial(A145,1,1),"")</f>
        <v/>
      </c>
      <c r="E145" s="135" t="str">
        <f>IF(A145&lt;&gt;"",maxAxial(A145,2,1),"")</f>
        <v/>
      </c>
      <c r="F145" s="135" t="str">
        <f>IF(A145&lt;&gt;"",maxAxial(A145,3,1),"")</f>
        <v/>
      </c>
      <c r="G145" s="135" t="str">
        <f>IF(A145&lt;&gt;"",maxAxial(A145,1,2),"")</f>
        <v/>
      </c>
      <c r="H145" s="135" t="str">
        <f>IF(A145&lt;&gt;"",maxAxial(A145,2,2),"")</f>
        <v/>
      </c>
      <c r="I145" s="135" t="str">
        <f>IF(A145&lt;&gt;"",maxAxial(A145,3,2),"")</f>
        <v/>
      </c>
    </row>
    <row r="146" spans="2:9" x14ac:dyDescent="0.3">
      <c r="B146" s="135" t="str">
        <f>IF('Girder Bracing Data'!A146&lt;&gt;"",'Girder Bracing Data'!A146,"")</f>
        <v/>
      </c>
      <c r="C146" s="135" t="str">
        <f t="shared" si="4"/>
        <v/>
      </c>
      <c r="D146" s="135" t="str">
        <f>IF(A146&lt;&gt;"",maxAxial(A146,1,1),"")</f>
        <v/>
      </c>
      <c r="E146" s="135" t="str">
        <f>IF(A146&lt;&gt;"",maxAxial(A146,2,1),"")</f>
        <v/>
      </c>
      <c r="F146" s="135" t="str">
        <f>IF(A146&lt;&gt;"",maxAxial(A146,3,1),"")</f>
        <v/>
      </c>
      <c r="G146" s="135" t="str">
        <f>IF(A146&lt;&gt;"",maxAxial(A146,1,2),"")</f>
        <v/>
      </c>
      <c r="H146" s="135" t="str">
        <f>IF(A146&lt;&gt;"",maxAxial(A146,2,2),"")</f>
        <v/>
      </c>
      <c r="I146" s="135" t="str">
        <f>IF(A146&lt;&gt;"",maxAxial(A146,3,2),"")</f>
        <v/>
      </c>
    </row>
    <row r="147" spans="2:9" x14ac:dyDescent="0.3">
      <c r="B147" s="135" t="str">
        <f>IF('Girder Bracing Data'!A147&lt;&gt;"",'Girder Bracing Data'!A147,"")</f>
        <v/>
      </c>
      <c r="C147" s="135" t="str">
        <f t="shared" si="4"/>
        <v/>
      </c>
      <c r="D147" s="135" t="str">
        <f>IF(A147&lt;&gt;"",maxAxial(A147,1,1),"")</f>
        <v/>
      </c>
      <c r="E147" s="135" t="str">
        <f>IF(A147&lt;&gt;"",maxAxial(A147,2,1),"")</f>
        <v/>
      </c>
      <c r="F147" s="135" t="str">
        <f>IF(A147&lt;&gt;"",maxAxial(A147,3,1),"")</f>
        <v/>
      </c>
      <c r="G147" s="135" t="str">
        <f>IF(A147&lt;&gt;"",maxAxial(A147,1,2),"")</f>
        <v/>
      </c>
      <c r="H147" s="135" t="str">
        <f>IF(A147&lt;&gt;"",maxAxial(A147,2,2),"")</f>
        <v/>
      </c>
      <c r="I147" s="135" t="str">
        <f>IF(A147&lt;&gt;"",maxAxial(A147,3,2),"")</f>
        <v/>
      </c>
    </row>
    <row r="148" spans="2:9" x14ac:dyDescent="0.3">
      <c r="B148" s="135" t="str">
        <f>IF('Girder Bracing Data'!A148&lt;&gt;"",'Girder Bracing Data'!A148,"")</f>
        <v/>
      </c>
      <c r="C148" s="135" t="str">
        <f t="shared" si="4"/>
        <v/>
      </c>
      <c r="D148" s="135" t="str">
        <f>IF(A148&lt;&gt;"",maxAxial(A148,1,1),"")</f>
        <v/>
      </c>
      <c r="E148" s="135" t="str">
        <f>IF(A148&lt;&gt;"",maxAxial(A148,2,1),"")</f>
        <v/>
      </c>
      <c r="F148" s="135" t="str">
        <f>IF(A148&lt;&gt;"",maxAxial(A148,3,1),"")</f>
        <v/>
      </c>
      <c r="G148" s="135" t="str">
        <f>IF(A148&lt;&gt;"",maxAxial(A148,1,2),"")</f>
        <v/>
      </c>
      <c r="H148" s="135" t="str">
        <f>IF(A148&lt;&gt;"",maxAxial(A148,2,2),"")</f>
        <v/>
      </c>
      <c r="I148" s="135" t="str">
        <f>IF(A148&lt;&gt;"",maxAxial(A148,3,2),"")</f>
        <v/>
      </c>
    </row>
    <row r="149" spans="2:9" x14ac:dyDescent="0.3">
      <c r="B149" s="135" t="str">
        <f>IF('Girder Bracing Data'!A149&lt;&gt;"",'Girder Bracing Data'!A149,"")</f>
        <v/>
      </c>
      <c r="C149" s="135" t="str">
        <f t="shared" si="4"/>
        <v/>
      </c>
      <c r="D149" s="135" t="str">
        <f>IF(A149&lt;&gt;"",maxAxial(A149,1,1),"")</f>
        <v/>
      </c>
      <c r="E149" s="135" t="str">
        <f>IF(A149&lt;&gt;"",maxAxial(A149,2,1),"")</f>
        <v/>
      </c>
      <c r="F149" s="135" t="str">
        <f>IF(A149&lt;&gt;"",maxAxial(A149,3,1),"")</f>
        <v/>
      </c>
      <c r="G149" s="135" t="str">
        <f>IF(A149&lt;&gt;"",maxAxial(A149,1,2),"")</f>
        <v/>
      </c>
      <c r="H149" s="135" t="str">
        <f>IF(A149&lt;&gt;"",maxAxial(A149,2,2),"")</f>
        <v/>
      </c>
      <c r="I149" s="135" t="str">
        <f>IF(A149&lt;&gt;"",maxAxial(A149,3,2),"")</f>
        <v/>
      </c>
    </row>
    <row r="150" spans="2:9" x14ac:dyDescent="0.3">
      <c r="B150" s="135" t="str">
        <f>IF('Girder Bracing Data'!A150&lt;&gt;"",'Girder Bracing Data'!A150,"")</f>
        <v/>
      </c>
      <c r="C150" s="135" t="str">
        <f t="shared" si="4"/>
        <v/>
      </c>
      <c r="D150" s="135" t="str">
        <f>IF(A150&lt;&gt;"",maxAxial(A150,1,1),"")</f>
        <v/>
      </c>
      <c r="E150" s="135" t="str">
        <f>IF(A150&lt;&gt;"",maxAxial(A150,2,1),"")</f>
        <v/>
      </c>
      <c r="F150" s="135" t="str">
        <f>IF(A150&lt;&gt;"",maxAxial(A150,3,1),"")</f>
        <v/>
      </c>
      <c r="G150" s="135" t="str">
        <f>IF(A150&lt;&gt;"",maxAxial(A150,1,2),"")</f>
        <v/>
      </c>
      <c r="H150" s="135" t="str">
        <f>IF(A150&lt;&gt;"",maxAxial(A150,2,2),"")</f>
        <v/>
      </c>
      <c r="I150" s="135" t="str">
        <f>IF(A150&lt;&gt;"",maxAxial(A150,3,2),"")</f>
        <v/>
      </c>
    </row>
    <row r="151" spans="2:9" x14ac:dyDescent="0.3">
      <c r="B151" s="135" t="str">
        <f>IF('Girder Bracing Data'!A151&lt;&gt;"",'Girder Bracing Data'!A151,"")</f>
        <v/>
      </c>
      <c r="C151" s="135" t="str">
        <f t="shared" si="4"/>
        <v/>
      </c>
      <c r="D151" s="135" t="str">
        <f>IF(A151&lt;&gt;"",maxAxial(A151,1,1),"")</f>
        <v/>
      </c>
      <c r="E151" s="135" t="str">
        <f>IF(A151&lt;&gt;"",maxAxial(A151,2,1),"")</f>
        <v/>
      </c>
      <c r="F151" s="135" t="str">
        <f>IF(A151&lt;&gt;"",maxAxial(A151,3,1),"")</f>
        <v/>
      </c>
      <c r="G151" s="135" t="str">
        <f>IF(A151&lt;&gt;"",maxAxial(A151,1,2),"")</f>
        <v/>
      </c>
      <c r="H151" s="135" t="str">
        <f>IF(A151&lt;&gt;"",maxAxial(A151,2,2),"")</f>
        <v/>
      </c>
      <c r="I151" s="135" t="str">
        <f>IF(A151&lt;&gt;"",maxAxial(A151,3,2),"")</f>
        <v/>
      </c>
    </row>
    <row r="152" spans="2:9" x14ac:dyDescent="0.3">
      <c r="B152" s="135" t="str">
        <f>IF('Girder Bracing Data'!A152&lt;&gt;"",'Girder Bracing Data'!A152,"")</f>
        <v/>
      </c>
      <c r="C152" s="135" t="str">
        <f t="shared" si="4"/>
        <v/>
      </c>
      <c r="D152" s="135" t="str">
        <f>IF(A152&lt;&gt;"",maxAxial(A152,1,1),"")</f>
        <v/>
      </c>
      <c r="E152" s="135" t="str">
        <f>IF(A152&lt;&gt;"",maxAxial(A152,2,1),"")</f>
        <v/>
      </c>
      <c r="F152" s="135" t="str">
        <f>IF(A152&lt;&gt;"",maxAxial(A152,3,1),"")</f>
        <v/>
      </c>
      <c r="G152" s="135" t="str">
        <f>IF(A152&lt;&gt;"",maxAxial(A152,1,2),"")</f>
        <v/>
      </c>
      <c r="H152" s="135" t="str">
        <f>IF(A152&lt;&gt;"",maxAxial(A152,2,2),"")</f>
        <v/>
      </c>
      <c r="I152" s="135" t="str">
        <f>IF(A152&lt;&gt;"",maxAxial(A152,3,2),"")</f>
        <v/>
      </c>
    </row>
    <row r="153" spans="2:9" x14ac:dyDescent="0.3">
      <c r="B153" s="135" t="str">
        <f>IF('Girder Bracing Data'!A153&lt;&gt;"",'Girder Bracing Data'!A153,"")</f>
        <v/>
      </c>
      <c r="C153" s="135" t="str">
        <f t="shared" si="4"/>
        <v/>
      </c>
      <c r="D153" s="135" t="str">
        <f>IF(A153&lt;&gt;"",maxAxial(A153,1,1),"")</f>
        <v/>
      </c>
      <c r="E153" s="135" t="str">
        <f>IF(A153&lt;&gt;"",maxAxial(A153,2,1),"")</f>
        <v/>
      </c>
      <c r="F153" s="135" t="str">
        <f>IF(A153&lt;&gt;"",maxAxial(A153,3,1),"")</f>
        <v/>
      </c>
      <c r="G153" s="135" t="str">
        <f>IF(A153&lt;&gt;"",maxAxial(A153,1,2),"")</f>
        <v/>
      </c>
      <c r="H153" s="135" t="str">
        <f>IF(A153&lt;&gt;"",maxAxial(A153,2,2),"")</f>
        <v/>
      </c>
      <c r="I153" s="135" t="str">
        <f>IF(A153&lt;&gt;"",maxAxial(A153,3,2),"")</f>
        <v/>
      </c>
    </row>
    <row r="154" spans="2:9" x14ac:dyDescent="0.3">
      <c r="B154" s="135" t="str">
        <f>IF('Girder Bracing Data'!A154&lt;&gt;"",'Girder Bracing Data'!A154,"")</f>
        <v/>
      </c>
      <c r="C154" s="135" t="str">
        <f t="shared" si="4"/>
        <v/>
      </c>
      <c r="D154" s="135" t="str">
        <f>IF(A154&lt;&gt;"",maxAxial(A154,1,1),"")</f>
        <v/>
      </c>
      <c r="E154" s="135" t="str">
        <f>IF(A154&lt;&gt;"",maxAxial(A154,2,1),"")</f>
        <v/>
      </c>
      <c r="F154" s="135" t="str">
        <f>IF(A154&lt;&gt;"",maxAxial(A154,3,1),"")</f>
        <v/>
      </c>
      <c r="G154" s="135" t="str">
        <f>IF(A154&lt;&gt;"",maxAxial(A154,1,2),"")</f>
        <v/>
      </c>
      <c r="H154" s="135" t="str">
        <f>IF(A154&lt;&gt;"",maxAxial(A154,2,2),"")</f>
        <v/>
      </c>
      <c r="I154" s="135" t="str">
        <f>IF(A154&lt;&gt;"",maxAxial(A154,3,2),"")</f>
        <v/>
      </c>
    </row>
    <row r="155" spans="2:9" x14ac:dyDescent="0.3">
      <c r="B155" s="135" t="str">
        <f>IF('Girder Bracing Data'!A155&lt;&gt;"",'Girder Bracing Data'!A155,"")</f>
        <v/>
      </c>
      <c r="C155" s="135" t="str">
        <f t="shared" si="4"/>
        <v/>
      </c>
      <c r="D155" s="135" t="str">
        <f>IF(A155&lt;&gt;"",maxAxial(A155,1,1),"")</f>
        <v/>
      </c>
      <c r="E155" s="135" t="str">
        <f>IF(A155&lt;&gt;"",maxAxial(A155,2,1),"")</f>
        <v/>
      </c>
      <c r="F155" s="135" t="str">
        <f>IF(A155&lt;&gt;"",maxAxial(A155,3,1),"")</f>
        <v/>
      </c>
      <c r="G155" s="135" t="str">
        <f>IF(A155&lt;&gt;"",maxAxial(A155,1,2),"")</f>
        <v/>
      </c>
      <c r="H155" s="135" t="str">
        <f>IF(A155&lt;&gt;"",maxAxial(A155,2,2),"")</f>
        <v/>
      </c>
      <c r="I155" s="135" t="str">
        <f>IF(A155&lt;&gt;"",maxAxial(A155,3,2),"")</f>
        <v/>
      </c>
    </row>
    <row r="156" spans="2:9" x14ac:dyDescent="0.3">
      <c r="B156" s="135" t="str">
        <f>IF('Girder Bracing Data'!A156&lt;&gt;"",'Girder Bracing Data'!A156,"")</f>
        <v/>
      </c>
      <c r="C156" s="135" t="str">
        <f t="shared" si="4"/>
        <v/>
      </c>
      <c r="D156" s="135" t="str">
        <f>IF(A156&lt;&gt;"",maxAxial(A156,1,1),"")</f>
        <v/>
      </c>
      <c r="E156" s="135" t="str">
        <f>IF(A156&lt;&gt;"",maxAxial(A156,2,1),"")</f>
        <v/>
      </c>
      <c r="F156" s="135" t="str">
        <f>IF(A156&lt;&gt;"",maxAxial(A156,3,1),"")</f>
        <v/>
      </c>
      <c r="G156" s="135" t="str">
        <f>IF(A156&lt;&gt;"",maxAxial(A156,1,2),"")</f>
        <v/>
      </c>
      <c r="H156" s="135" t="str">
        <f>IF(A156&lt;&gt;"",maxAxial(A156,2,2),"")</f>
        <v/>
      </c>
      <c r="I156" s="135" t="str">
        <f>IF(A156&lt;&gt;"",maxAxial(A156,3,2),"")</f>
        <v/>
      </c>
    </row>
    <row r="157" spans="2:9" x14ac:dyDescent="0.3">
      <c r="B157" s="135" t="str">
        <f>IF('Girder Bracing Data'!A157&lt;&gt;"",'Girder Bracing Data'!A157,"")</f>
        <v/>
      </c>
      <c r="C157" s="135" t="str">
        <f t="shared" si="4"/>
        <v/>
      </c>
      <c r="D157" s="135" t="str">
        <f>IF(A157&lt;&gt;"",maxAxial(A157,1,1),"")</f>
        <v/>
      </c>
      <c r="E157" s="135" t="str">
        <f>IF(A157&lt;&gt;"",maxAxial(A157,2,1),"")</f>
        <v/>
      </c>
      <c r="F157" s="135" t="str">
        <f>IF(A157&lt;&gt;"",maxAxial(A157,3,1),"")</f>
        <v/>
      </c>
      <c r="G157" s="135" t="str">
        <f>IF(A157&lt;&gt;"",maxAxial(A157,1,2),"")</f>
        <v/>
      </c>
      <c r="H157" s="135" t="str">
        <f>IF(A157&lt;&gt;"",maxAxial(A157,2,2),"")</f>
        <v/>
      </c>
      <c r="I157" s="135" t="str">
        <f>IF(A157&lt;&gt;"",maxAxial(A157,3,2),"")</f>
        <v/>
      </c>
    </row>
    <row r="158" spans="2:9" x14ac:dyDescent="0.3">
      <c r="B158" s="135" t="str">
        <f>IF('Girder Bracing Data'!A158&lt;&gt;"",'Girder Bracing Data'!A158,"")</f>
        <v/>
      </c>
      <c r="C158" s="135" t="str">
        <f t="shared" si="4"/>
        <v/>
      </c>
      <c r="D158" s="135" t="str">
        <f>IF(A158&lt;&gt;"",maxAxial(A158,1,1),"")</f>
        <v/>
      </c>
      <c r="E158" s="135" t="str">
        <f>IF(A158&lt;&gt;"",maxAxial(A158,2,1),"")</f>
        <v/>
      </c>
      <c r="F158" s="135" t="str">
        <f>IF(A158&lt;&gt;"",maxAxial(A158,3,1),"")</f>
        <v/>
      </c>
      <c r="G158" s="135" t="str">
        <f>IF(A158&lt;&gt;"",maxAxial(A158,1,2),"")</f>
        <v/>
      </c>
      <c r="H158" s="135" t="str">
        <f>IF(A158&lt;&gt;"",maxAxial(A158,2,2),"")</f>
        <v/>
      </c>
      <c r="I158" s="135" t="str">
        <f>IF(A158&lt;&gt;"",maxAxial(A158,3,2),"")</f>
        <v/>
      </c>
    </row>
    <row r="159" spans="2:9" x14ac:dyDescent="0.3">
      <c r="B159" s="135" t="str">
        <f>IF('Girder Bracing Data'!A159&lt;&gt;"",'Girder Bracing Data'!A159,"")</f>
        <v/>
      </c>
      <c r="C159" s="135" t="str">
        <f t="shared" si="4"/>
        <v/>
      </c>
      <c r="D159" s="135" t="str">
        <f>IF(A159&lt;&gt;"",maxAxial(A159,1,1),"")</f>
        <v/>
      </c>
      <c r="E159" s="135" t="str">
        <f>IF(A159&lt;&gt;"",maxAxial(A159,2,1),"")</f>
        <v/>
      </c>
      <c r="F159" s="135" t="str">
        <f>IF(A159&lt;&gt;"",maxAxial(A159,3,1),"")</f>
        <v/>
      </c>
      <c r="G159" s="135" t="str">
        <f>IF(A159&lt;&gt;"",maxAxial(A159,1,2),"")</f>
        <v/>
      </c>
      <c r="H159" s="135" t="str">
        <f>IF(A159&lt;&gt;"",maxAxial(A159,2,2),"")</f>
        <v/>
      </c>
      <c r="I159" s="135" t="str">
        <f>IF(A159&lt;&gt;"",maxAxial(A159,3,2),"")</f>
        <v/>
      </c>
    </row>
    <row r="160" spans="2:9" x14ac:dyDescent="0.3">
      <c r="B160" s="135" t="str">
        <f>IF('Girder Bracing Data'!A160&lt;&gt;"",'Girder Bracing Data'!A160,"")</f>
        <v/>
      </c>
      <c r="C160" s="135" t="str">
        <f t="shared" si="4"/>
        <v/>
      </c>
      <c r="D160" s="135" t="str">
        <f>IF(A160&lt;&gt;"",maxAxial(A160,1,1),"")</f>
        <v/>
      </c>
      <c r="E160" s="135" t="str">
        <f>IF(A160&lt;&gt;"",maxAxial(A160,2,1),"")</f>
        <v/>
      </c>
      <c r="F160" s="135" t="str">
        <f>IF(A160&lt;&gt;"",maxAxial(A160,3,1),"")</f>
        <v/>
      </c>
      <c r="G160" s="135" t="str">
        <f>IF(A160&lt;&gt;"",maxAxial(A160,1,2),"")</f>
        <v/>
      </c>
      <c r="H160" s="135" t="str">
        <f>IF(A160&lt;&gt;"",maxAxial(A160,2,2),"")</f>
        <v/>
      </c>
      <c r="I160" s="135" t="str">
        <f>IF(A160&lt;&gt;"",maxAxial(A160,3,2),"")</f>
        <v/>
      </c>
    </row>
    <row r="161" spans="2:9" x14ac:dyDescent="0.3">
      <c r="B161" s="135" t="str">
        <f>IF('Girder Bracing Data'!A161&lt;&gt;"",'Girder Bracing Data'!A161,"")</f>
        <v/>
      </c>
      <c r="C161" s="135" t="str">
        <f t="shared" si="4"/>
        <v/>
      </c>
      <c r="D161" s="135" t="str">
        <f>IF(A161&lt;&gt;"",maxAxial(A161,1,1),"")</f>
        <v/>
      </c>
      <c r="E161" s="135" t="str">
        <f>IF(A161&lt;&gt;"",maxAxial(A161,2,1),"")</f>
        <v/>
      </c>
      <c r="F161" s="135" t="str">
        <f>IF(A161&lt;&gt;"",maxAxial(A161,3,1),"")</f>
        <v/>
      </c>
      <c r="G161" s="135" t="str">
        <f>IF(A161&lt;&gt;"",maxAxial(A161,1,2),"")</f>
        <v/>
      </c>
      <c r="H161" s="135" t="str">
        <f>IF(A161&lt;&gt;"",maxAxial(A161,2,2),"")</f>
        <v/>
      </c>
      <c r="I161" s="135" t="str">
        <f>IF(A161&lt;&gt;"",maxAxial(A161,3,2),"")</f>
        <v/>
      </c>
    </row>
    <row r="162" spans="2:9" x14ac:dyDescent="0.3">
      <c r="B162" s="135" t="str">
        <f>IF('Girder Bracing Data'!A162&lt;&gt;"",'Girder Bracing Data'!A162,"")</f>
        <v/>
      </c>
      <c r="C162" s="135" t="str">
        <f t="shared" si="4"/>
        <v/>
      </c>
      <c r="D162" s="135" t="str">
        <f>IF(A162&lt;&gt;"",maxAxial(A162,1,1),"")</f>
        <v/>
      </c>
      <c r="E162" s="135" t="str">
        <f>IF(A162&lt;&gt;"",maxAxial(A162,2,1),"")</f>
        <v/>
      </c>
      <c r="F162" s="135" t="str">
        <f>IF(A162&lt;&gt;"",maxAxial(A162,3,1),"")</f>
        <v/>
      </c>
      <c r="G162" s="135" t="str">
        <f>IF(A162&lt;&gt;"",maxAxial(A162,1,2),"")</f>
        <v/>
      </c>
      <c r="H162" s="135" t="str">
        <f>IF(A162&lt;&gt;"",maxAxial(A162,2,2),"")</f>
        <v/>
      </c>
      <c r="I162" s="135" t="str">
        <f>IF(A162&lt;&gt;"",maxAxial(A162,3,2),"")</f>
        <v/>
      </c>
    </row>
    <row r="163" spans="2:9" x14ac:dyDescent="0.3">
      <c r="B163" s="135" t="str">
        <f>IF('Girder Bracing Data'!A163&lt;&gt;"",'Girder Bracing Data'!A163,"")</f>
        <v/>
      </c>
      <c r="C163" s="135" t="str">
        <f t="shared" si="4"/>
        <v/>
      </c>
      <c r="D163" s="135" t="str">
        <f>IF(A163&lt;&gt;"",maxAxial(A163,1,1),"")</f>
        <v/>
      </c>
      <c r="E163" s="135" t="str">
        <f>IF(A163&lt;&gt;"",maxAxial(A163,2,1),"")</f>
        <v/>
      </c>
      <c r="F163" s="135" t="str">
        <f>IF(A163&lt;&gt;"",maxAxial(A163,3,1),"")</f>
        <v/>
      </c>
      <c r="G163" s="135" t="str">
        <f>IF(A163&lt;&gt;"",maxAxial(A163,1,2),"")</f>
        <v/>
      </c>
      <c r="H163" s="135" t="str">
        <f>IF(A163&lt;&gt;"",maxAxial(A163,2,2),"")</f>
        <v/>
      </c>
      <c r="I163" s="135" t="str">
        <f>IF(A163&lt;&gt;"",maxAxial(A163,3,2),"")</f>
        <v/>
      </c>
    </row>
    <row r="164" spans="2:9" x14ac:dyDescent="0.3">
      <c r="B164" s="135" t="str">
        <f>IF('Girder Bracing Data'!A164&lt;&gt;"",'Girder Bracing Data'!A164,"")</f>
        <v/>
      </c>
      <c r="C164" s="135" t="str">
        <f t="shared" si="4"/>
        <v/>
      </c>
      <c r="D164" s="135" t="str">
        <f>IF(A164&lt;&gt;"",maxAxial(A164,1,1),"")</f>
        <v/>
      </c>
      <c r="E164" s="135" t="str">
        <f>IF(A164&lt;&gt;"",maxAxial(A164,2,1),"")</f>
        <v/>
      </c>
      <c r="F164" s="135" t="str">
        <f>IF(A164&lt;&gt;"",maxAxial(A164,3,1),"")</f>
        <v/>
      </c>
      <c r="G164" s="135" t="str">
        <f>IF(A164&lt;&gt;"",maxAxial(A164,1,2),"")</f>
        <v/>
      </c>
      <c r="H164" s="135" t="str">
        <f>IF(A164&lt;&gt;"",maxAxial(A164,2,2),"")</f>
        <v/>
      </c>
      <c r="I164" s="135" t="str">
        <f>IF(A164&lt;&gt;"",maxAxial(A164,3,2),"")</f>
        <v/>
      </c>
    </row>
    <row r="165" spans="2:9" x14ac:dyDescent="0.3">
      <c r="B165" s="135" t="str">
        <f>IF('Girder Bracing Data'!A165&lt;&gt;"",'Girder Bracing Data'!A165,"")</f>
        <v/>
      </c>
      <c r="C165" s="135" t="str">
        <f t="shared" si="4"/>
        <v/>
      </c>
      <c r="D165" s="135" t="str">
        <f>IF(A165&lt;&gt;"",maxAxial(A165,1,1),"")</f>
        <v/>
      </c>
      <c r="E165" s="135" t="str">
        <f>IF(A165&lt;&gt;"",maxAxial(A165,2,1),"")</f>
        <v/>
      </c>
      <c r="F165" s="135" t="str">
        <f>IF(A165&lt;&gt;"",maxAxial(A165,3,1),"")</f>
        <v/>
      </c>
      <c r="G165" s="135" t="str">
        <f>IF(A165&lt;&gt;"",maxAxial(A165,1,2),"")</f>
        <v/>
      </c>
      <c r="H165" s="135" t="str">
        <f>IF(A165&lt;&gt;"",maxAxial(A165,2,2),"")</f>
        <v/>
      </c>
      <c r="I165" s="135" t="str">
        <f>IF(A165&lt;&gt;"",maxAxial(A165,3,2),"")</f>
        <v/>
      </c>
    </row>
    <row r="166" spans="2:9" x14ac:dyDescent="0.3">
      <c r="B166" s="135" t="str">
        <f>IF('Girder Bracing Data'!A166&lt;&gt;"",'Girder Bracing Data'!A166,"")</f>
        <v/>
      </c>
      <c r="C166" s="135" t="str">
        <f t="shared" si="4"/>
        <v/>
      </c>
      <c r="D166" s="135" t="str">
        <f>IF(A166&lt;&gt;"",maxAxial(A166,1,1),"")</f>
        <v/>
      </c>
      <c r="E166" s="135" t="str">
        <f>IF(A166&lt;&gt;"",maxAxial(A166,2,1),"")</f>
        <v/>
      </c>
      <c r="F166" s="135" t="str">
        <f>IF(A166&lt;&gt;"",maxAxial(A166,3,1),"")</f>
        <v/>
      </c>
      <c r="G166" s="135" t="str">
        <f>IF(A166&lt;&gt;"",maxAxial(A166,1,2),"")</f>
        <v/>
      </c>
      <c r="H166" s="135" t="str">
        <f>IF(A166&lt;&gt;"",maxAxial(A166,2,2),"")</f>
        <v/>
      </c>
      <c r="I166" s="135" t="str">
        <f>IF(A166&lt;&gt;"",maxAxial(A166,3,2),"")</f>
        <v/>
      </c>
    </row>
    <row r="167" spans="2:9" x14ac:dyDescent="0.3">
      <c r="B167" s="135" t="str">
        <f>IF('Girder Bracing Data'!A167&lt;&gt;"",'Girder Bracing Data'!A167,"")</f>
        <v/>
      </c>
      <c r="C167" s="135" t="str">
        <f t="shared" si="4"/>
        <v/>
      </c>
      <c r="D167" s="135" t="str">
        <f>IF(A167&lt;&gt;"",maxAxial(A167,1,1),"")</f>
        <v/>
      </c>
      <c r="E167" s="135" t="str">
        <f>IF(A167&lt;&gt;"",maxAxial(A167,2,1),"")</f>
        <v/>
      </c>
      <c r="F167" s="135" t="str">
        <f>IF(A167&lt;&gt;"",maxAxial(A167,3,1),"")</f>
        <v/>
      </c>
      <c r="G167" s="135" t="str">
        <f>IF(A167&lt;&gt;"",maxAxial(A167,1,2),"")</f>
        <v/>
      </c>
      <c r="H167" s="135" t="str">
        <f>IF(A167&lt;&gt;"",maxAxial(A167,2,2),"")</f>
        <v/>
      </c>
      <c r="I167" s="135" t="str">
        <f>IF(A167&lt;&gt;"",maxAxial(A167,3,2),"")</f>
        <v/>
      </c>
    </row>
    <row r="168" spans="2:9" x14ac:dyDescent="0.3">
      <c r="B168" s="135" t="str">
        <f>IF('Girder Bracing Data'!A168&lt;&gt;"",'Girder Bracing Data'!A168,"")</f>
        <v/>
      </c>
      <c r="C168" s="135" t="str">
        <f t="shared" si="4"/>
        <v/>
      </c>
      <c r="D168" s="135" t="str">
        <f>IF(A168&lt;&gt;"",maxAxial(A168,1,1),"")</f>
        <v/>
      </c>
      <c r="E168" s="135" t="str">
        <f>IF(A168&lt;&gt;"",maxAxial(A168,2,1),"")</f>
        <v/>
      </c>
      <c r="F168" s="135" t="str">
        <f>IF(A168&lt;&gt;"",maxAxial(A168,3,1),"")</f>
        <v/>
      </c>
      <c r="G168" s="135" t="str">
        <f>IF(A168&lt;&gt;"",maxAxial(A168,1,2),"")</f>
        <v/>
      </c>
      <c r="H168" s="135" t="str">
        <f>IF(A168&lt;&gt;"",maxAxial(A168,2,2),"")</f>
        <v/>
      </c>
      <c r="I168" s="135" t="str">
        <f>IF(A168&lt;&gt;"",maxAxial(A168,3,2),"")</f>
        <v/>
      </c>
    </row>
    <row r="169" spans="2:9" x14ac:dyDescent="0.3">
      <c r="B169" s="135" t="str">
        <f>IF('Girder Bracing Data'!A169&lt;&gt;"",'Girder Bracing Data'!A169,"")</f>
        <v/>
      </c>
      <c r="C169" s="135" t="str">
        <f t="shared" si="4"/>
        <v/>
      </c>
      <c r="D169" s="135" t="str">
        <f>IF(A169&lt;&gt;"",maxAxial(A169,1,1),"")</f>
        <v/>
      </c>
      <c r="E169" s="135" t="str">
        <f>IF(A169&lt;&gt;"",maxAxial(A169,2,1),"")</f>
        <v/>
      </c>
      <c r="F169" s="135" t="str">
        <f>IF(A169&lt;&gt;"",maxAxial(A169,3,1),"")</f>
        <v/>
      </c>
      <c r="G169" s="135" t="str">
        <f>IF(A169&lt;&gt;"",maxAxial(A169,1,2),"")</f>
        <v/>
      </c>
      <c r="H169" s="135" t="str">
        <f>IF(A169&lt;&gt;"",maxAxial(A169,2,2),"")</f>
        <v/>
      </c>
      <c r="I169" s="135" t="str">
        <f>IF(A169&lt;&gt;"",maxAxial(A169,3,2),"")</f>
        <v/>
      </c>
    </row>
    <row r="170" spans="2:9" x14ac:dyDescent="0.3">
      <c r="B170" s="135" t="str">
        <f>IF('Girder Bracing Data'!A170&lt;&gt;"",'Girder Bracing Data'!A170,"")</f>
        <v/>
      </c>
      <c r="C170" s="135" t="str">
        <f t="shared" si="4"/>
        <v/>
      </c>
      <c r="D170" s="135" t="str">
        <f>IF(A170&lt;&gt;"",maxAxial(A170,1,1),"")</f>
        <v/>
      </c>
      <c r="E170" s="135" t="str">
        <f>IF(A170&lt;&gt;"",maxAxial(A170,2,1),"")</f>
        <v/>
      </c>
      <c r="F170" s="135" t="str">
        <f>IF(A170&lt;&gt;"",maxAxial(A170,3,1),"")</f>
        <v/>
      </c>
      <c r="G170" s="135" t="str">
        <f>IF(A170&lt;&gt;"",maxAxial(A170,1,2),"")</f>
        <v/>
      </c>
      <c r="H170" s="135" t="str">
        <f>IF(A170&lt;&gt;"",maxAxial(A170,2,2),"")</f>
        <v/>
      </c>
      <c r="I170" s="135" t="str">
        <f>IF(A170&lt;&gt;"",maxAxial(A170,3,2),"")</f>
        <v/>
      </c>
    </row>
    <row r="171" spans="2:9" x14ac:dyDescent="0.3">
      <c r="B171" s="135" t="str">
        <f>IF('Girder Bracing Data'!A171&lt;&gt;"",'Girder Bracing Data'!A171,"")</f>
        <v/>
      </c>
      <c r="C171" s="135" t="str">
        <f t="shared" si="4"/>
        <v/>
      </c>
      <c r="D171" s="135" t="str">
        <f>IF(A171&lt;&gt;"",maxAxial(A171,1,1),"")</f>
        <v/>
      </c>
      <c r="E171" s="135" t="str">
        <f>IF(A171&lt;&gt;"",maxAxial(A171,2,1),"")</f>
        <v/>
      </c>
      <c r="F171" s="135" t="str">
        <f>IF(A171&lt;&gt;"",maxAxial(A171,3,1),"")</f>
        <v/>
      </c>
      <c r="G171" s="135" t="str">
        <f>IF(A171&lt;&gt;"",maxAxial(A171,1,2),"")</f>
        <v/>
      </c>
      <c r="H171" s="135" t="str">
        <f>IF(A171&lt;&gt;"",maxAxial(A171,2,2),"")</f>
        <v/>
      </c>
      <c r="I171" s="135" t="str">
        <f>IF(A171&lt;&gt;"",maxAxial(A171,3,2),"")</f>
        <v/>
      </c>
    </row>
    <row r="172" spans="2:9" x14ac:dyDescent="0.3">
      <c r="B172" s="135" t="str">
        <f>IF('Girder Bracing Data'!A172&lt;&gt;"",'Girder Bracing Data'!A172,"")</f>
        <v/>
      </c>
      <c r="C172" s="135" t="str">
        <f t="shared" si="4"/>
        <v/>
      </c>
      <c r="D172" s="135" t="str">
        <f>IF(A172&lt;&gt;"",maxAxial(A172,1,1),"")</f>
        <v/>
      </c>
      <c r="E172" s="135" t="str">
        <f>IF(A172&lt;&gt;"",maxAxial(A172,2,1),"")</f>
        <v/>
      </c>
      <c r="F172" s="135" t="str">
        <f>IF(A172&lt;&gt;"",maxAxial(A172,3,1),"")</f>
        <v/>
      </c>
      <c r="G172" s="135" t="str">
        <f>IF(A172&lt;&gt;"",maxAxial(A172,1,2),"")</f>
        <v/>
      </c>
      <c r="H172" s="135" t="str">
        <f>IF(A172&lt;&gt;"",maxAxial(A172,2,2),"")</f>
        <v/>
      </c>
      <c r="I172" s="135" t="str">
        <f>IF(A172&lt;&gt;"",maxAxial(A172,3,2),"")</f>
        <v/>
      </c>
    </row>
    <row r="173" spans="2:9" x14ac:dyDescent="0.3">
      <c r="B173" s="135" t="str">
        <f>IF('Girder Bracing Data'!A173&lt;&gt;"",'Girder Bracing Data'!A173,"")</f>
        <v/>
      </c>
      <c r="C173" s="135" t="str">
        <f t="shared" si="4"/>
        <v/>
      </c>
      <c r="D173" s="135" t="str">
        <f>IF(A173&lt;&gt;"",maxAxial(A173,1,1),"")</f>
        <v/>
      </c>
      <c r="E173" s="135" t="str">
        <f>IF(A173&lt;&gt;"",maxAxial(A173,2,1),"")</f>
        <v/>
      </c>
      <c r="F173" s="135" t="str">
        <f>IF(A173&lt;&gt;"",maxAxial(A173,3,1),"")</f>
        <v/>
      </c>
      <c r="G173" s="135" t="str">
        <f>IF(A173&lt;&gt;"",maxAxial(A173,1,2),"")</f>
        <v/>
      </c>
      <c r="H173" s="135" t="str">
        <f>IF(A173&lt;&gt;"",maxAxial(A173,2,2),"")</f>
        <v/>
      </c>
      <c r="I173" s="135" t="str">
        <f>IF(A173&lt;&gt;"",maxAxial(A173,3,2),"")</f>
        <v/>
      </c>
    </row>
    <row r="174" spans="2:9" x14ac:dyDescent="0.3">
      <c r="B174" s="135" t="str">
        <f>IF('Girder Bracing Data'!A174&lt;&gt;"",'Girder Bracing Data'!A174,"")</f>
        <v/>
      </c>
      <c r="C174" s="135" t="str">
        <f t="shared" si="4"/>
        <v/>
      </c>
      <c r="D174" s="135" t="str">
        <f>IF(A174&lt;&gt;"",maxAxial(A174,1,1),"")</f>
        <v/>
      </c>
      <c r="E174" s="135" t="str">
        <f>IF(A174&lt;&gt;"",maxAxial(A174,2,1),"")</f>
        <v/>
      </c>
      <c r="F174" s="135" t="str">
        <f>IF(A174&lt;&gt;"",maxAxial(A174,3,1),"")</f>
        <v/>
      </c>
      <c r="G174" s="135" t="str">
        <f>IF(A174&lt;&gt;"",maxAxial(A174,1,2),"")</f>
        <v/>
      </c>
      <c r="H174" s="135" t="str">
        <f>IF(A174&lt;&gt;"",maxAxial(A174,2,2),"")</f>
        <v/>
      </c>
      <c r="I174" s="135" t="str">
        <f>IF(A174&lt;&gt;"",maxAxial(A174,3,2),"")</f>
        <v/>
      </c>
    </row>
    <row r="175" spans="2:9" x14ac:dyDescent="0.3">
      <c r="B175" s="135" t="str">
        <f>IF('Girder Bracing Data'!A175&lt;&gt;"",'Girder Bracing Data'!A175,"")</f>
        <v/>
      </c>
      <c r="C175" s="135" t="str">
        <f t="shared" si="4"/>
        <v/>
      </c>
      <c r="D175" s="135" t="str">
        <f>IF(A175&lt;&gt;"",maxAxial(A175,1,1),"")</f>
        <v/>
      </c>
      <c r="E175" s="135" t="str">
        <f>IF(A175&lt;&gt;"",maxAxial(A175,2,1),"")</f>
        <v/>
      </c>
      <c r="F175" s="135" t="str">
        <f>IF(A175&lt;&gt;"",maxAxial(A175,3,1),"")</f>
        <v/>
      </c>
      <c r="G175" s="135" t="str">
        <f>IF(A175&lt;&gt;"",maxAxial(A175,1,2),"")</f>
        <v/>
      </c>
      <c r="H175" s="135" t="str">
        <f>IF(A175&lt;&gt;"",maxAxial(A175,2,2),"")</f>
        <v/>
      </c>
      <c r="I175" s="135" t="str">
        <f>IF(A175&lt;&gt;"",maxAxial(A175,3,2),"")</f>
        <v/>
      </c>
    </row>
    <row r="176" spans="2:9" x14ac:dyDescent="0.3">
      <c r="B176" s="135" t="str">
        <f>IF('Girder Bracing Data'!A176&lt;&gt;"",'Girder Bracing Data'!A176,"")</f>
        <v/>
      </c>
      <c r="C176" s="135" t="str">
        <f t="shared" si="4"/>
        <v/>
      </c>
      <c r="D176" s="135" t="str">
        <f>IF(A176&lt;&gt;"",maxAxial(A176,1,1),"")</f>
        <v/>
      </c>
      <c r="E176" s="135" t="str">
        <f>IF(A176&lt;&gt;"",maxAxial(A176,2,1),"")</f>
        <v/>
      </c>
      <c r="F176" s="135" t="str">
        <f>IF(A176&lt;&gt;"",maxAxial(A176,3,1),"")</f>
        <v/>
      </c>
      <c r="G176" s="135" t="str">
        <f>IF(A176&lt;&gt;"",maxAxial(A176,1,2),"")</f>
        <v/>
      </c>
      <c r="H176" s="135" t="str">
        <f>IF(A176&lt;&gt;"",maxAxial(A176,2,2),"")</f>
        <v/>
      </c>
      <c r="I176" s="135" t="str">
        <f>IF(A176&lt;&gt;"",maxAxial(A176,3,2),"")</f>
        <v/>
      </c>
    </row>
    <row r="177" spans="2:9" x14ac:dyDescent="0.3">
      <c r="B177" s="135" t="str">
        <f>IF('Girder Bracing Data'!A177&lt;&gt;"",'Girder Bracing Data'!A177,"")</f>
        <v/>
      </c>
      <c r="C177" s="135" t="str">
        <f t="shared" si="4"/>
        <v/>
      </c>
      <c r="D177" s="135" t="str">
        <f>IF(A177&lt;&gt;"",maxAxial(A177,1,1),"")</f>
        <v/>
      </c>
      <c r="E177" s="135" t="str">
        <f>IF(A177&lt;&gt;"",maxAxial(A177,2,1),"")</f>
        <v/>
      </c>
      <c r="F177" s="135" t="str">
        <f>IF(A177&lt;&gt;"",maxAxial(A177,3,1),"")</f>
        <v/>
      </c>
      <c r="G177" s="135" t="str">
        <f>IF(A177&lt;&gt;"",maxAxial(A177,1,2),"")</f>
        <v/>
      </c>
      <c r="H177" s="135" t="str">
        <f>IF(A177&lt;&gt;"",maxAxial(A177,2,2),"")</f>
        <v/>
      </c>
      <c r="I177" s="135" t="str">
        <f>IF(A177&lt;&gt;"",maxAxial(A177,3,2),"")</f>
        <v/>
      </c>
    </row>
    <row r="178" spans="2:9" x14ac:dyDescent="0.3">
      <c r="B178" s="135" t="str">
        <f>IF('Girder Bracing Data'!A178&lt;&gt;"",'Girder Bracing Data'!A178,"")</f>
        <v/>
      </c>
      <c r="C178" s="135" t="str">
        <f t="shared" si="4"/>
        <v/>
      </c>
      <c r="D178" s="135" t="str">
        <f>IF(A178&lt;&gt;"",maxAxial(A178,1,1),"")</f>
        <v/>
      </c>
      <c r="E178" s="135" t="str">
        <f>IF(A178&lt;&gt;"",maxAxial(A178,2,1),"")</f>
        <v/>
      </c>
      <c r="F178" s="135" t="str">
        <f>IF(A178&lt;&gt;"",maxAxial(A178,3,1),"")</f>
        <v/>
      </c>
      <c r="G178" s="135" t="str">
        <f>IF(A178&lt;&gt;"",maxAxial(A178,1,2),"")</f>
        <v/>
      </c>
      <c r="H178" s="135" t="str">
        <f>IF(A178&lt;&gt;"",maxAxial(A178,2,2),"")</f>
        <v/>
      </c>
      <c r="I178" s="135" t="str">
        <f>IF(A178&lt;&gt;"",maxAxial(A178,3,2),"")</f>
        <v/>
      </c>
    </row>
    <row r="179" spans="2:9" x14ac:dyDescent="0.3">
      <c r="B179" s="135" t="str">
        <f>IF('Girder Bracing Data'!A179&lt;&gt;"",'Girder Bracing Data'!A179,"")</f>
        <v/>
      </c>
      <c r="C179" s="135" t="str">
        <f t="shared" si="4"/>
        <v/>
      </c>
      <c r="D179" s="135" t="str">
        <f>IF(A179&lt;&gt;"",maxAxial(A179,1,1),"")</f>
        <v/>
      </c>
      <c r="E179" s="135" t="str">
        <f>IF(A179&lt;&gt;"",maxAxial(A179,2,1),"")</f>
        <v/>
      </c>
      <c r="F179" s="135" t="str">
        <f>IF(A179&lt;&gt;"",maxAxial(A179,3,1),"")</f>
        <v/>
      </c>
      <c r="G179" s="135" t="str">
        <f>IF(A179&lt;&gt;"",maxAxial(A179,1,2),"")</f>
        <v/>
      </c>
      <c r="H179" s="135" t="str">
        <f>IF(A179&lt;&gt;"",maxAxial(A179,2,2),"")</f>
        <v/>
      </c>
      <c r="I179" s="135" t="str">
        <f>IF(A179&lt;&gt;"",maxAxial(A179,3,2),"")</f>
        <v/>
      </c>
    </row>
    <row r="180" spans="2:9" x14ac:dyDescent="0.3">
      <c r="B180" s="135" t="str">
        <f>IF('Girder Bracing Data'!A180&lt;&gt;"",'Girder Bracing Data'!A180,"")</f>
        <v/>
      </c>
      <c r="C180" s="135" t="str">
        <f t="shared" si="4"/>
        <v/>
      </c>
      <c r="D180" s="135" t="str">
        <f>IF(A180&lt;&gt;"",maxAxial(A180,1,1),"")</f>
        <v/>
      </c>
      <c r="E180" s="135" t="str">
        <f>IF(A180&lt;&gt;"",maxAxial(A180,2,1),"")</f>
        <v/>
      </c>
      <c r="F180" s="135" t="str">
        <f>IF(A180&lt;&gt;"",maxAxial(A180,3,1),"")</f>
        <v/>
      </c>
      <c r="G180" s="135" t="str">
        <f>IF(A180&lt;&gt;"",maxAxial(A180,1,2),"")</f>
        <v/>
      </c>
      <c r="H180" s="135" t="str">
        <f>IF(A180&lt;&gt;"",maxAxial(A180,2,2),"")</f>
        <v/>
      </c>
      <c r="I180" s="135" t="str">
        <f>IF(A180&lt;&gt;"",maxAxial(A180,3,2),"")</f>
        <v/>
      </c>
    </row>
    <row r="181" spans="2:9" x14ac:dyDescent="0.3">
      <c r="B181" s="135" t="str">
        <f>IF('Girder Bracing Data'!A181&lt;&gt;"",'Girder Bracing Data'!A181,"")</f>
        <v/>
      </c>
      <c r="C181" s="135" t="str">
        <f t="shared" si="4"/>
        <v/>
      </c>
      <c r="D181" s="135" t="str">
        <f>IF(A181&lt;&gt;"",maxAxial(A181,1,1),"")</f>
        <v/>
      </c>
      <c r="E181" s="135" t="str">
        <f>IF(A181&lt;&gt;"",maxAxial(A181,2,1),"")</f>
        <v/>
      </c>
      <c r="F181" s="135" t="str">
        <f>IF(A181&lt;&gt;"",maxAxial(A181,3,1),"")</f>
        <v/>
      </c>
      <c r="G181" s="135" t="str">
        <f>IF(A181&lt;&gt;"",maxAxial(A181,1,2),"")</f>
        <v/>
      </c>
      <c r="H181" s="135" t="str">
        <f>IF(A181&lt;&gt;"",maxAxial(A181,2,2),"")</f>
        <v/>
      </c>
      <c r="I181" s="135" t="str">
        <f>IF(A181&lt;&gt;"",maxAxial(A181,3,2),"")</f>
        <v/>
      </c>
    </row>
    <row r="182" spans="2:9" x14ac:dyDescent="0.3">
      <c r="B182" s="135" t="str">
        <f>IF('Girder Bracing Data'!A182&lt;&gt;"",'Girder Bracing Data'!A182,"")</f>
        <v/>
      </c>
      <c r="C182" s="135" t="str">
        <f t="shared" si="4"/>
        <v/>
      </c>
      <c r="D182" s="135" t="str">
        <f>IF(A182&lt;&gt;"",maxAxial(A182,1,1),"")</f>
        <v/>
      </c>
      <c r="E182" s="135" t="str">
        <f>IF(A182&lt;&gt;"",maxAxial(A182,2,1),"")</f>
        <v/>
      </c>
      <c r="F182" s="135" t="str">
        <f>IF(A182&lt;&gt;"",maxAxial(A182,3,1),"")</f>
        <v/>
      </c>
      <c r="G182" s="135" t="str">
        <f>IF(A182&lt;&gt;"",maxAxial(A182,1,2),"")</f>
        <v/>
      </c>
      <c r="H182" s="135" t="str">
        <f>IF(A182&lt;&gt;"",maxAxial(A182,2,2),"")</f>
        <v/>
      </c>
      <c r="I182" s="135" t="str">
        <f>IF(A182&lt;&gt;"",maxAxial(A182,3,2),"")</f>
        <v/>
      </c>
    </row>
    <row r="183" spans="2:9" x14ac:dyDescent="0.3">
      <c r="B183" s="135" t="str">
        <f>IF('Girder Bracing Data'!A183&lt;&gt;"",'Girder Bracing Data'!A183,"")</f>
        <v/>
      </c>
      <c r="C183" s="135" t="str">
        <f t="shared" si="4"/>
        <v/>
      </c>
      <c r="D183" s="135" t="str">
        <f>IF(A183&lt;&gt;"",maxAxial(A183,1,1),"")</f>
        <v/>
      </c>
      <c r="E183" s="135" t="str">
        <f>IF(A183&lt;&gt;"",maxAxial(A183,2,1),"")</f>
        <v/>
      </c>
      <c r="F183" s="135" t="str">
        <f>IF(A183&lt;&gt;"",maxAxial(A183,3,1),"")</f>
        <v/>
      </c>
      <c r="G183" s="135" t="str">
        <f>IF(A183&lt;&gt;"",maxAxial(A183,1,2),"")</f>
        <v/>
      </c>
      <c r="H183" s="135" t="str">
        <f>IF(A183&lt;&gt;"",maxAxial(A183,2,2),"")</f>
        <v/>
      </c>
      <c r="I183" s="135" t="str">
        <f>IF(A183&lt;&gt;"",maxAxial(A183,3,2),"")</f>
        <v/>
      </c>
    </row>
    <row r="184" spans="2:9" x14ac:dyDescent="0.3">
      <c r="B184" s="135" t="str">
        <f>IF('Girder Bracing Data'!A184&lt;&gt;"",'Girder Bracing Data'!A184,"")</f>
        <v/>
      </c>
      <c r="C184" s="135" t="str">
        <f t="shared" si="4"/>
        <v/>
      </c>
      <c r="D184" s="135" t="str">
        <f>IF(A184&lt;&gt;"",maxAxial(A184,1,1),"")</f>
        <v/>
      </c>
      <c r="E184" s="135" t="str">
        <f>IF(A184&lt;&gt;"",maxAxial(A184,2,1),"")</f>
        <v/>
      </c>
      <c r="F184" s="135" t="str">
        <f>IF(A184&lt;&gt;"",maxAxial(A184,3,1),"")</f>
        <v/>
      </c>
      <c r="G184" s="135" t="str">
        <f>IF(A184&lt;&gt;"",maxAxial(A184,1,2),"")</f>
        <v/>
      </c>
      <c r="H184" s="135" t="str">
        <f>IF(A184&lt;&gt;"",maxAxial(A184,2,2),"")</f>
        <v/>
      </c>
      <c r="I184" s="135" t="str">
        <f>IF(A184&lt;&gt;"",maxAxial(A184,3,2),"")</f>
        <v/>
      </c>
    </row>
    <row r="185" spans="2:9" x14ac:dyDescent="0.3">
      <c r="B185" s="135" t="str">
        <f>IF('Girder Bracing Data'!A185&lt;&gt;"",'Girder Bracing Data'!A185,"")</f>
        <v/>
      </c>
      <c r="C185" s="135" t="str">
        <f t="shared" si="4"/>
        <v/>
      </c>
      <c r="D185" s="135" t="str">
        <f>IF(A185&lt;&gt;"",maxAxial(A185,1,1),"")</f>
        <v/>
      </c>
      <c r="E185" s="135" t="str">
        <f>IF(A185&lt;&gt;"",maxAxial(A185,2,1),"")</f>
        <v/>
      </c>
      <c r="F185" s="135" t="str">
        <f>IF(A185&lt;&gt;"",maxAxial(A185,3,1),"")</f>
        <v/>
      </c>
      <c r="G185" s="135" t="str">
        <f>IF(A185&lt;&gt;"",maxAxial(A185,1,2),"")</f>
        <v/>
      </c>
      <c r="H185" s="135" t="str">
        <f>IF(A185&lt;&gt;"",maxAxial(A185,2,2),"")</f>
        <v/>
      </c>
      <c r="I185" s="135" t="str">
        <f>IF(A185&lt;&gt;"",maxAxial(A185,3,2),"")</f>
        <v/>
      </c>
    </row>
    <row r="186" spans="2:9" x14ac:dyDescent="0.3">
      <c r="B186" s="135" t="str">
        <f>IF('Girder Bracing Data'!A186&lt;&gt;"",'Girder Bracing Data'!A186,"")</f>
        <v/>
      </c>
      <c r="C186" s="135" t="str">
        <f t="shared" si="4"/>
        <v/>
      </c>
      <c r="D186" s="135" t="str">
        <f>IF(A186&lt;&gt;"",maxAxial(A186,1,1),"")</f>
        <v/>
      </c>
      <c r="E186" s="135" t="str">
        <f>IF(A186&lt;&gt;"",maxAxial(A186,2,1),"")</f>
        <v/>
      </c>
      <c r="F186" s="135" t="str">
        <f>IF(A186&lt;&gt;"",maxAxial(A186,3,1),"")</f>
        <v/>
      </c>
      <c r="G186" s="135" t="str">
        <f>IF(A186&lt;&gt;"",maxAxial(A186,1,2),"")</f>
        <v/>
      </c>
      <c r="H186" s="135" t="str">
        <f>IF(A186&lt;&gt;"",maxAxial(A186,2,2),"")</f>
        <v/>
      </c>
      <c r="I186" s="135" t="str">
        <f>IF(A186&lt;&gt;"",maxAxial(A186,3,2),"")</f>
        <v/>
      </c>
    </row>
    <row r="187" spans="2:9" x14ac:dyDescent="0.3">
      <c r="B187" s="135" t="str">
        <f>IF('Girder Bracing Data'!A187&lt;&gt;"",'Girder Bracing Data'!A187,"")</f>
        <v/>
      </c>
      <c r="C187" s="135" t="str">
        <f t="shared" si="4"/>
        <v/>
      </c>
      <c r="D187" s="135" t="str">
        <f>IF(A187&lt;&gt;"",maxAxial(A187,1,1),"")</f>
        <v/>
      </c>
      <c r="E187" s="135" t="str">
        <f>IF(A187&lt;&gt;"",maxAxial(A187,2,1),"")</f>
        <v/>
      </c>
      <c r="F187" s="135" t="str">
        <f>IF(A187&lt;&gt;"",maxAxial(A187,3,1),"")</f>
        <v/>
      </c>
      <c r="G187" s="135" t="str">
        <f>IF(A187&lt;&gt;"",maxAxial(A187,1,2),"")</f>
        <v/>
      </c>
      <c r="H187" s="135" t="str">
        <f>IF(A187&lt;&gt;"",maxAxial(A187,2,2),"")</f>
        <v/>
      </c>
      <c r="I187" s="135" t="str">
        <f>IF(A187&lt;&gt;"",maxAxial(A187,3,2),"")</f>
        <v/>
      </c>
    </row>
    <row r="188" spans="2:9" x14ac:dyDescent="0.3">
      <c r="B188" s="135" t="str">
        <f>IF('Girder Bracing Data'!A188&lt;&gt;"",'Girder Bracing Data'!A188,"")</f>
        <v/>
      </c>
      <c r="C188" s="135" t="str">
        <f t="shared" si="4"/>
        <v/>
      </c>
      <c r="D188" s="135" t="str">
        <f>IF(A188&lt;&gt;"",maxAxial(A188,1,1),"")</f>
        <v/>
      </c>
      <c r="E188" s="135" t="str">
        <f>IF(A188&lt;&gt;"",maxAxial(A188,2,1),"")</f>
        <v/>
      </c>
      <c r="F188" s="135" t="str">
        <f>IF(A188&lt;&gt;"",maxAxial(A188,3,1),"")</f>
        <v/>
      </c>
      <c r="G188" s="135" t="str">
        <f>IF(A188&lt;&gt;"",maxAxial(A188,1,2),"")</f>
        <v/>
      </c>
      <c r="H188" s="135" t="str">
        <f>IF(A188&lt;&gt;"",maxAxial(A188,2,2),"")</f>
        <v/>
      </c>
      <c r="I188" s="135" t="str">
        <f>IF(A188&lt;&gt;"",maxAxial(A188,3,2),"")</f>
        <v/>
      </c>
    </row>
    <row r="189" spans="2:9" x14ac:dyDescent="0.3">
      <c r="B189" s="135" t="str">
        <f>IF('Girder Bracing Data'!A189&lt;&gt;"",'Girder Bracing Data'!A189,"")</f>
        <v/>
      </c>
      <c r="C189" s="135" t="str">
        <f t="shared" si="4"/>
        <v/>
      </c>
      <c r="D189" s="135" t="str">
        <f>IF(A189&lt;&gt;"",maxAxial(A189,1,1),"")</f>
        <v/>
      </c>
      <c r="E189" s="135" t="str">
        <f>IF(A189&lt;&gt;"",maxAxial(A189,2,1),"")</f>
        <v/>
      </c>
      <c r="F189" s="135" t="str">
        <f>IF(A189&lt;&gt;"",maxAxial(A189,3,1),"")</f>
        <v/>
      </c>
      <c r="G189" s="135" t="str">
        <f>IF(A189&lt;&gt;"",maxAxial(A189,1,2),"")</f>
        <v/>
      </c>
      <c r="H189" s="135" t="str">
        <f>IF(A189&lt;&gt;"",maxAxial(A189,2,2),"")</f>
        <v/>
      </c>
      <c r="I189" s="135" t="str">
        <f>IF(A189&lt;&gt;"",maxAxial(A189,3,2),"")</f>
        <v/>
      </c>
    </row>
    <row r="190" spans="2:9" x14ac:dyDescent="0.3">
      <c r="B190" s="135" t="str">
        <f>IF('Girder Bracing Data'!A190&lt;&gt;"",'Girder Bracing Data'!A190,"")</f>
        <v/>
      </c>
      <c r="C190" s="135" t="str">
        <f t="shared" si="4"/>
        <v/>
      </c>
      <c r="D190" s="135" t="str">
        <f>IF(A190&lt;&gt;"",maxAxial(A190,1,1),"")</f>
        <v/>
      </c>
      <c r="E190" s="135" t="str">
        <f>IF(A190&lt;&gt;"",maxAxial(A190,2,1),"")</f>
        <v/>
      </c>
      <c r="F190" s="135" t="str">
        <f>IF(A190&lt;&gt;"",maxAxial(A190,3,1),"")</f>
        <v/>
      </c>
      <c r="G190" s="135" t="str">
        <f>IF(A190&lt;&gt;"",maxAxial(A190,1,2),"")</f>
        <v/>
      </c>
      <c r="H190" s="135" t="str">
        <f>IF(A190&lt;&gt;"",maxAxial(A190,2,2),"")</f>
        <v/>
      </c>
      <c r="I190" s="135" t="str">
        <f>IF(A190&lt;&gt;"",maxAxial(A190,3,2),"")</f>
        <v/>
      </c>
    </row>
    <row r="191" spans="2:9" x14ac:dyDescent="0.3">
      <c r="B191" s="135" t="str">
        <f>IF('Girder Bracing Data'!A191&lt;&gt;"",'Girder Bracing Data'!A191,"")</f>
        <v/>
      </c>
      <c r="C191" s="135" t="str">
        <f t="shared" si="4"/>
        <v/>
      </c>
      <c r="D191" s="135" t="str">
        <f>IF(A191&lt;&gt;"",maxAxial(A191,1,1),"")</f>
        <v/>
      </c>
      <c r="E191" s="135" t="str">
        <f>IF(A191&lt;&gt;"",maxAxial(A191,2,1),"")</f>
        <v/>
      </c>
      <c r="F191" s="135" t="str">
        <f>IF(A191&lt;&gt;"",maxAxial(A191,3,1),"")</f>
        <v/>
      </c>
      <c r="G191" s="135" t="str">
        <f>IF(A191&lt;&gt;"",maxAxial(A191,1,2),"")</f>
        <v/>
      </c>
      <c r="H191" s="135" t="str">
        <f>IF(A191&lt;&gt;"",maxAxial(A191,2,2),"")</f>
        <v/>
      </c>
      <c r="I191" s="135" t="str">
        <f>IF(A191&lt;&gt;"",maxAxial(A191,3,2),"")</f>
        <v/>
      </c>
    </row>
    <row r="192" spans="2:9" x14ac:dyDescent="0.3">
      <c r="B192" s="135" t="str">
        <f>IF('Girder Bracing Data'!A192&lt;&gt;"",'Girder Bracing Data'!A192,"")</f>
        <v/>
      </c>
      <c r="C192" s="135" t="str">
        <f t="shared" si="4"/>
        <v/>
      </c>
      <c r="D192" s="135" t="str">
        <f>IF(A192&lt;&gt;"",maxAxial(A192,1,1),"")</f>
        <v/>
      </c>
      <c r="E192" s="135" t="str">
        <f>IF(A192&lt;&gt;"",maxAxial(A192,2,1),"")</f>
        <v/>
      </c>
      <c r="F192" s="135" t="str">
        <f>IF(A192&lt;&gt;"",maxAxial(A192,3,1),"")</f>
        <v/>
      </c>
      <c r="G192" s="135" t="str">
        <f>IF(A192&lt;&gt;"",maxAxial(A192,1,2),"")</f>
        <v/>
      </c>
      <c r="H192" s="135" t="str">
        <f>IF(A192&lt;&gt;"",maxAxial(A192,2,2),"")</f>
        <v/>
      </c>
      <c r="I192" s="135" t="str">
        <f>IF(A192&lt;&gt;"",maxAxial(A192,3,2),"")</f>
        <v/>
      </c>
    </row>
    <row r="193" spans="2:9" x14ac:dyDescent="0.3">
      <c r="B193" s="135" t="str">
        <f>IF('Girder Bracing Data'!A193&lt;&gt;"",'Girder Bracing Data'!A193,"")</f>
        <v/>
      </c>
      <c r="C193" s="135" t="str">
        <f t="shared" si="4"/>
        <v/>
      </c>
      <c r="D193" s="135" t="str">
        <f>IF(A193&lt;&gt;"",maxAxial(A193,1,1),"")</f>
        <v/>
      </c>
      <c r="E193" s="135" t="str">
        <f>IF(A193&lt;&gt;"",maxAxial(A193,2,1),"")</f>
        <v/>
      </c>
      <c r="F193" s="135" t="str">
        <f>IF(A193&lt;&gt;"",maxAxial(A193,3,1),"")</f>
        <v/>
      </c>
      <c r="G193" s="135" t="str">
        <f>IF(A193&lt;&gt;"",maxAxial(A193,1,2),"")</f>
        <v/>
      </c>
      <c r="H193" s="135" t="str">
        <f>IF(A193&lt;&gt;"",maxAxial(A193,2,2),"")</f>
        <v/>
      </c>
      <c r="I193" s="135" t="str">
        <f>IF(A193&lt;&gt;"",maxAxial(A193,3,2),"")</f>
        <v/>
      </c>
    </row>
    <row r="194" spans="2:9" x14ac:dyDescent="0.3">
      <c r="B194" s="135" t="str">
        <f>IF('Girder Bracing Data'!A194&lt;&gt;"",'Girder Bracing Data'!A194,"")</f>
        <v/>
      </c>
      <c r="C194" s="135" t="str">
        <f t="shared" ref="C194:C257" si="5">IF(A194&lt;&gt;"",stiffness(A194),"")</f>
        <v/>
      </c>
      <c r="D194" s="135" t="str">
        <f>IF(A194&lt;&gt;"",maxAxial(A194,1,1),"")</f>
        <v/>
      </c>
      <c r="E194" s="135" t="str">
        <f>IF(A194&lt;&gt;"",maxAxial(A194,2,1),"")</f>
        <v/>
      </c>
      <c r="F194" s="135" t="str">
        <f>IF(A194&lt;&gt;"",maxAxial(A194,3,1),"")</f>
        <v/>
      </c>
      <c r="G194" s="135" t="str">
        <f>IF(A194&lt;&gt;"",maxAxial(A194,1,2),"")</f>
        <v/>
      </c>
      <c r="H194" s="135" t="str">
        <f>IF(A194&lt;&gt;"",maxAxial(A194,2,2),"")</f>
        <v/>
      </c>
      <c r="I194" s="135" t="str">
        <f>IF(A194&lt;&gt;"",maxAxial(A194,3,2),"")</f>
        <v/>
      </c>
    </row>
    <row r="195" spans="2:9" x14ac:dyDescent="0.3">
      <c r="B195" s="135" t="str">
        <f>IF('Girder Bracing Data'!A195&lt;&gt;"",'Girder Bracing Data'!A195,"")</f>
        <v/>
      </c>
      <c r="C195" s="135" t="str">
        <f t="shared" si="5"/>
        <v/>
      </c>
      <c r="D195" s="135" t="str">
        <f>IF(A195&lt;&gt;"",maxAxial(A195,1,1),"")</f>
        <v/>
      </c>
      <c r="E195" s="135" t="str">
        <f>IF(A195&lt;&gt;"",maxAxial(A195,2,1),"")</f>
        <v/>
      </c>
      <c r="F195" s="135" t="str">
        <f>IF(A195&lt;&gt;"",maxAxial(A195,3,1),"")</f>
        <v/>
      </c>
      <c r="G195" s="135" t="str">
        <f>IF(A195&lt;&gt;"",maxAxial(A195,1,2),"")</f>
        <v/>
      </c>
      <c r="H195" s="135" t="str">
        <f>IF(A195&lt;&gt;"",maxAxial(A195,2,2),"")</f>
        <v/>
      </c>
      <c r="I195" s="135" t="str">
        <f>IF(A195&lt;&gt;"",maxAxial(A195,3,2),"")</f>
        <v/>
      </c>
    </row>
    <row r="196" spans="2:9" x14ac:dyDescent="0.3">
      <c r="B196" s="135" t="str">
        <f>IF('Girder Bracing Data'!A196&lt;&gt;"",'Girder Bracing Data'!A196,"")</f>
        <v/>
      </c>
      <c r="C196" s="135" t="str">
        <f t="shared" si="5"/>
        <v/>
      </c>
      <c r="D196" s="135" t="str">
        <f>IF(A196&lt;&gt;"",maxAxial(A196,1,1),"")</f>
        <v/>
      </c>
      <c r="E196" s="135" t="str">
        <f>IF(A196&lt;&gt;"",maxAxial(A196,2,1),"")</f>
        <v/>
      </c>
      <c r="F196" s="135" t="str">
        <f>IF(A196&lt;&gt;"",maxAxial(A196,3,1),"")</f>
        <v/>
      </c>
      <c r="G196" s="135" t="str">
        <f>IF(A196&lt;&gt;"",maxAxial(A196,1,2),"")</f>
        <v/>
      </c>
      <c r="H196" s="135" t="str">
        <f>IF(A196&lt;&gt;"",maxAxial(A196,2,2),"")</f>
        <v/>
      </c>
      <c r="I196" s="135" t="str">
        <f>IF(A196&lt;&gt;"",maxAxial(A196,3,2),"")</f>
        <v/>
      </c>
    </row>
    <row r="197" spans="2:9" x14ac:dyDescent="0.3">
      <c r="B197" s="135" t="str">
        <f>IF('Girder Bracing Data'!A197&lt;&gt;"",'Girder Bracing Data'!A197,"")</f>
        <v/>
      </c>
      <c r="C197" s="135" t="str">
        <f t="shared" si="5"/>
        <v/>
      </c>
      <c r="D197" s="135" t="str">
        <f>IF(A197&lt;&gt;"",maxAxial(A197,1,1),"")</f>
        <v/>
      </c>
      <c r="E197" s="135" t="str">
        <f>IF(A197&lt;&gt;"",maxAxial(A197,2,1),"")</f>
        <v/>
      </c>
      <c r="F197" s="135" t="str">
        <f>IF(A197&lt;&gt;"",maxAxial(A197,3,1),"")</f>
        <v/>
      </c>
      <c r="G197" s="135" t="str">
        <f>IF(A197&lt;&gt;"",maxAxial(A197,1,2),"")</f>
        <v/>
      </c>
      <c r="H197" s="135" t="str">
        <f>IF(A197&lt;&gt;"",maxAxial(A197,2,2),"")</f>
        <v/>
      </c>
      <c r="I197" s="135" t="str">
        <f>IF(A197&lt;&gt;"",maxAxial(A197,3,2),"")</f>
        <v/>
      </c>
    </row>
    <row r="198" spans="2:9" x14ac:dyDescent="0.3">
      <c r="B198" s="135" t="str">
        <f>IF('Girder Bracing Data'!A198&lt;&gt;"",'Girder Bracing Data'!A198,"")</f>
        <v/>
      </c>
      <c r="C198" s="135" t="str">
        <f t="shared" si="5"/>
        <v/>
      </c>
      <c r="D198" s="135" t="str">
        <f>IF(A198&lt;&gt;"",maxAxial(A198,1,1),"")</f>
        <v/>
      </c>
      <c r="E198" s="135" t="str">
        <f>IF(A198&lt;&gt;"",maxAxial(A198,2,1),"")</f>
        <v/>
      </c>
      <c r="F198" s="135" t="str">
        <f>IF(A198&lt;&gt;"",maxAxial(A198,3,1),"")</f>
        <v/>
      </c>
      <c r="G198" s="135" t="str">
        <f>IF(A198&lt;&gt;"",maxAxial(A198,1,2),"")</f>
        <v/>
      </c>
      <c r="H198" s="135" t="str">
        <f>IF(A198&lt;&gt;"",maxAxial(A198,2,2),"")</f>
        <v/>
      </c>
      <c r="I198" s="135" t="str">
        <f>IF(A198&lt;&gt;"",maxAxial(A198,3,2),"")</f>
        <v/>
      </c>
    </row>
    <row r="199" spans="2:9" x14ac:dyDescent="0.3">
      <c r="B199" s="135" t="str">
        <f>IF('Girder Bracing Data'!A199&lt;&gt;"",'Girder Bracing Data'!A199,"")</f>
        <v/>
      </c>
      <c r="C199" s="135" t="str">
        <f t="shared" si="5"/>
        <v/>
      </c>
      <c r="D199" s="135" t="str">
        <f>IF(A199&lt;&gt;"",maxAxial(A199,1,1),"")</f>
        <v/>
      </c>
      <c r="E199" s="135" t="str">
        <f>IF(A199&lt;&gt;"",maxAxial(A199,2,1),"")</f>
        <v/>
      </c>
      <c r="F199" s="135" t="str">
        <f>IF(A199&lt;&gt;"",maxAxial(A199,3,1),"")</f>
        <v/>
      </c>
      <c r="G199" s="135" t="str">
        <f>IF(A199&lt;&gt;"",maxAxial(A199,1,2),"")</f>
        <v/>
      </c>
      <c r="H199" s="135" t="str">
        <f>IF(A199&lt;&gt;"",maxAxial(A199,2,2),"")</f>
        <v/>
      </c>
      <c r="I199" s="135" t="str">
        <f>IF(A199&lt;&gt;"",maxAxial(A199,3,2),"")</f>
        <v/>
      </c>
    </row>
    <row r="200" spans="2:9" x14ac:dyDescent="0.3">
      <c r="B200" s="135" t="str">
        <f>IF('Girder Bracing Data'!A200&lt;&gt;"",'Girder Bracing Data'!A200,"")</f>
        <v/>
      </c>
      <c r="C200" s="135" t="str">
        <f t="shared" si="5"/>
        <v/>
      </c>
      <c r="D200" s="135" t="str">
        <f>IF(A200&lt;&gt;"",maxAxial(A200,1,1),"")</f>
        <v/>
      </c>
      <c r="E200" s="135" t="str">
        <f>IF(A200&lt;&gt;"",maxAxial(A200,2,1),"")</f>
        <v/>
      </c>
      <c r="F200" s="135" t="str">
        <f>IF(A200&lt;&gt;"",maxAxial(A200,3,1),"")</f>
        <v/>
      </c>
      <c r="G200" s="135" t="str">
        <f>IF(A200&lt;&gt;"",maxAxial(A200,1,2),"")</f>
        <v/>
      </c>
      <c r="H200" s="135" t="str">
        <f>IF(A200&lt;&gt;"",maxAxial(A200,2,2),"")</f>
        <v/>
      </c>
      <c r="I200" s="135" t="str">
        <f>IF(A200&lt;&gt;"",maxAxial(A200,3,2),"")</f>
        <v/>
      </c>
    </row>
    <row r="201" spans="2:9" x14ac:dyDescent="0.3">
      <c r="B201" s="135" t="str">
        <f>IF('Girder Bracing Data'!A201&lt;&gt;"",'Girder Bracing Data'!A201,"")</f>
        <v/>
      </c>
      <c r="C201" s="135" t="str">
        <f t="shared" si="5"/>
        <v/>
      </c>
      <c r="D201" s="135" t="str">
        <f>IF(A201&lt;&gt;"",maxAxial(A201,1,1),"")</f>
        <v/>
      </c>
      <c r="E201" s="135" t="str">
        <f>IF(A201&lt;&gt;"",maxAxial(A201,2,1),"")</f>
        <v/>
      </c>
      <c r="F201" s="135" t="str">
        <f>IF(A201&lt;&gt;"",maxAxial(A201,3,1),"")</f>
        <v/>
      </c>
      <c r="G201" s="135" t="str">
        <f>IF(A201&lt;&gt;"",maxAxial(A201,1,2),"")</f>
        <v/>
      </c>
      <c r="H201" s="135" t="str">
        <f>IF(A201&lt;&gt;"",maxAxial(A201,2,2),"")</f>
        <v/>
      </c>
      <c r="I201" s="135" t="str">
        <f>IF(A201&lt;&gt;"",maxAxial(A201,3,2),"")</f>
        <v/>
      </c>
    </row>
    <row r="202" spans="2:9" x14ac:dyDescent="0.3">
      <c r="B202" s="135" t="str">
        <f>IF('Girder Bracing Data'!A202&lt;&gt;"",'Girder Bracing Data'!A202,"")</f>
        <v/>
      </c>
      <c r="C202" s="135" t="str">
        <f t="shared" si="5"/>
        <v/>
      </c>
      <c r="D202" s="135" t="str">
        <f>IF(A202&lt;&gt;"",maxAxial(A202,1,1),"")</f>
        <v/>
      </c>
      <c r="E202" s="135" t="str">
        <f>IF(A202&lt;&gt;"",maxAxial(A202,2,1),"")</f>
        <v/>
      </c>
      <c r="F202" s="135" t="str">
        <f>IF(A202&lt;&gt;"",maxAxial(A202,3,1),"")</f>
        <v/>
      </c>
      <c r="G202" s="135" t="str">
        <f>IF(A202&lt;&gt;"",maxAxial(A202,1,2),"")</f>
        <v/>
      </c>
      <c r="H202" s="135" t="str">
        <f>IF(A202&lt;&gt;"",maxAxial(A202,2,2),"")</f>
        <v/>
      </c>
      <c r="I202" s="135" t="str">
        <f>IF(A202&lt;&gt;"",maxAxial(A202,3,2),"")</f>
        <v/>
      </c>
    </row>
    <row r="203" spans="2:9" x14ac:dyDescent="0.3">
      <c r="B203" s="135" t="str">
        <f>IF('Girder Bracing Data'!A203&lt;&gt;"",'Girder Bracing Data'!A203,"")</f>
        <v/>
      </c>
      <c r="C203" s="135" t="str">
        <f t="shared" si="5"/>
        <v/>
      </c>
      <c r="D203" s="135" t="str">
        <f>IF(A203&lt;&gt;"",maxAxial(A203,1,1),"")</f>
        <v/>
      </c>
      <c r="E203" s="135" t="str">
        <f>IF(A203&lt;&gt;"",maxAxial(A203,2,1),"")</f>
        <v/>
      </c>
      <c r="F203" s="135" t="str">
        <f>IF(A203&lt;&gt;"",maxAxial(A203,3,1),"")</f>
        <v/>
      </c>
      <c r="G203" s="135" t="str">
        <f>IF(A203&lt;&gt;"",maxAxial(A203,1,2),"")</f>
        <v/>
      </c>
      <c r="H203" s="135" t="str">
        <f>IF(A203&lt;&gt;"",maxAxial(A203,2,2),"")</f>
        <v/>
      </c>
      <c r="I203" s="135" t="str">
        <f>IF(A203&lt;&gt;"",maxAxial(A203,3,2),"")</f>
        <v/>
      </c>
    </row>
    <row r="204" spans="2:9" x14ac:dyDescent="0.3">
      <c r="B204" s="135" t="str">
        <f>IF('Girder Bracing Data'!A204&lt;&gt;"",'Girder Bracing Data'!A204,"")</f>
        <v/>
      </c>
      <c r="C204" s="135" t="str">
        <f t="shared" si="5"/>
        <v/>
      </c>
      <c r="D204" s="135" t="str">
        <f>IF(A204&lt;&gt;"",maxAxial(A204,1,1),"")</f>
        <v/>
      </c>
      <c r="E204" s="135" t="str">
        <f>IF(A204&lt;&gt;"",maxAxial(A204,2,1),"")</f>
        <v/>
      </c>
      <c r="F204" s="135" t="str">
        <f>IF(A204&lt;&gt;"",maxAxial(A204,3,1),"")</f>
        <v/>
      </c>
      <c r="G204" s="135" t="str">
        <f>IF(A204&lt;&gt;"",maxAxial(A204,1,2),"")</f>
        <v/>
      </c>
      <c r="H204" s="135" t="str">
        <f>IF(A204&lt;&gt;"",maxAxial(A204,2,2),"")</f>
        <v/>
      </c>
      <c r="I204" s="135" t="str">
        <f>IF(A204&lt;&gt;"",maxAxial(A204,3,2),"")</f>
        <v/>
      </c>
    </row>
    <row r="205" spans="2:9" x14ac:dyDescent="0.3">
      <c r="B205" s="135" t="str">
        <f>IF('Girder Bracing Data'!A205&lt;&gt;"",'Girder Bracing Data'!A205,"")</f>
        <v/>
      </c>
      <c r="C205" s="135" t="str">
        <f t="shared" si="5"/>
        <v/>
      </c>
      <c r="D205" s="135" t="str">
        <f>IF(A205&lt;&gt;"",maxAxial(A205,1,1),"")</f>
        <v/>
      </c>
      <c r="E205" s="135" t="str">
        <f>IF(A205&lt;&gt;"",maxAxial(A205,2,1),"")</f>
        <v/>
      </c>
      <c r="F205" s="135" t="str">
        <f>IF(A205&lt;&gt;"",maxAxial(A205,3,1),"")</f>
        <v/>
      </c>
      <c r="G205" s="135" t="str">
        <f>IF(A205&lt;&gt;"",maxAxial(A205,1,2),"")</f>
        <v/>
      </c>
      <c r="H205" s="135" t="str">
        <f>IF(A205&lt;&gt;"",maxAxial(A205,2,2),"")</f>
        <v/>
      </c>
      <c r="I205" s="135" t="str">
        <f>IF(A205&lt;&gt;"",maxAxial(A205,3,2),"")</f>
        <v/>
      </c>
    </row>
    <row r="206" spans="2:9" x14ac:dyDescent="0.3">
      <c r="B206" s="135" t="str">
        <f>IF('Girder Bracing Data'!A206&lt;&gt;"",'Girder Bracing Data'!A206,"")</f>
        <v/>
      </c>
      <c r="C206" s="135" t="str">
        <f t="shared" si="5"/>
        <v/>
      </c>
      <c r="D206" s="135" t="str">
        <f>IF(A206&lt;&gt;"",maxAxial(A206,1,1),"")</f>
        <v/>
      </c>
      <c r="E206" s="135" t="str">
        <f>IF(A206&lt;&gt;"",maxAxial(A206,2,1),"")</f>
        <v/>
      </c>
      <c r="F206" s="135" t="str">
        <f>IF(A206&lt;&gt;"",maxAxial(A206,3,1),"")</f>
        <v/>
      </c>
      <c r="G206" s="135" t="str">
        <f>IF(A206&lt;&gt;"",maxAxial(A206,1,2),"")</f>
        <v/>
      </c>
      <c r="H206" s="135" t="str">
        <f>IF(A206&lt;&gt;"",maxAxial(A206,2,2),"")</f>
        <v/>
      </c>
      <c r="I206" s="135" t="str">
        <f>IF(A206&lt;&gt;"",maxAxial(A206,3,2),"")</f>
        <v/>
      </c>
    </row>
    <row r="207" spans="2:9" x14ac:dyDescent="0.3">
      <c r="B207" s="135" t="str">
        <f>IF('Girder Bracing Data'!A207&lt;&gt;"",'Girder Bracing Data'!A207,"")</f>
        <v/>
      </c>
      <c r="C207" s="135" t="str">
        <f t="shared" si="5"/>
        <v/>
      </c>
      <c r="D207" s="135" t="str">
        <f>IF(A207&lt;&gt;"",maxAxial(A207,1,1),"")</f>
        <v/>
      </c>
      <c r="E207" s="135" t="str">
        <f>IF(A207&lt;&gt;"",maxAxial(A207,2,1),"")</f>
        <v/>
      </c>
      <c r="F207" s="135" t="str">
        <f>IF(A207&lt;&gt;"",maxAxial(A207,3,1),"")</f>
        <v/>
      </c>
      <c r="G207" s="135" t="str">
        <f>IF(A207&lt;&gt;"",maxAxial(A207,1,2),"")</f>
        <v/>
      </c>
      <c r="H207" s="135" t="str">
        <f>IF(A207&lt;&gt;"",maxAxial(A207,2,2),"")</f>
        <v/>
      </c>
      <c r="I207" s="135" t="str">
        <f>IF(A207&lt;&gt;"",maxAxial(A207,3,2),"")</f>
        <v/>
      </c>
    </row>
    <row r="208" spans="2:9" x14ac:dyDescent="0.3">
      <c r="B208" s="135" t="str">
        <f>IF('Girder Bracing Data'!A208&lt;&gt;"",'Girder Bracing Data'!A208,"")</f>
        <v/>
      </c>
      <c r="C208" s="135" t="str">
        <f t="shared" si="5"/>
        <v/>
      </c>
      <c r="D208" s="135" t="str">
        <f>IF(A208&lt;&gt;"",maxAxial(A208,1,1),"")</f>
        <v/>
      </c>
      <c r="E208" s="135" t="str">
        <f>IF(A208&lt;&gt;"",maxAxial(A208,2,1),"")</f>
        <v/>
      </c>
      <c r="F208" s="135" t="str">
        <f>IF(A208&lt;&gt;"",maxAxial(A208,3,1),"")</f>
        <v/>
      </c>
      <c r="G208" s="135" t="str">
        <f>IF(A208&lt;&gt;"",maxAxial(A208,1,2),"")</f>
        <v/>
      </c>
      <c r="H208" s="135" t="str">
        <f>IF(A208&lt;&gt;"",maxAxial(A208,2,2),"")</f>
        <v/>
      </c>
      <c r="I208" s="135" t="str">
        <f>IF(A208&lt;&gt;"",maxAxial(A208,3,2),"")</f>
        <v/>
      </c>
    </row>
    <row r="209" spans="2:9" x14ac:dyDescent="0.3">
      <c r="B209" s="135" t="str">
        <f>IF('Girder Bracing Data'!A209&lt;&gt;"",'Girder Bracing Data'!A209,"")</f>
        <v/>
      </c>
      <c r="C209" s="135" t="str">
        <f t="shared" si="5"/>
        <v/>
      </c>
      <c r="D209" s="135" t="str">
        <f>IF(A209&lt;&gt;"",maxAxial(A209,1,1),"")</f>
        <v/>
      </c>
      <c r="E209" s="135" t="str">
        <f>IF(A209&lt;&gt;"",maxAxial(A209,2,1),"")</f>
        <v/>
      </c>
      <c r="F209" s="135" t="str">
        <f>IF(A209&lt;&gt;"",maxAxial(A209,3,1),"")</f>
        <v/>
      </c>
      <c r="G209" s="135" t="str">
        <f>IF(A209&lt;&gt;"",maxAxial(A209,1,2),"")</f>
        <v/>
      </c>
      <c r="H209" s="135" t="str">
        <f>IF(A209&lt;&gt;"",maxAxial(A209,2,2),"")</f>
        <v/>
      </c>
      <c r="I209" s="135" t="str">
        <f>IF(A209&lt;&gt;"",maxAxial(A209,3,2),"")</f>
        <v/>
      </c>
    </row>
    <row r="210" spans="2:9" x14ac:dyDescent="0.3">
      <c r="B210" s="135" t="str">
        <f>IF('Girder Bracing Data'!A210&lt;&gt;"",'Girder Bracing Data'!A210,"")</f>
        <v/>
      </c>
      <c r="C210" s="135" t="str">
        <f t="shared" si="5"/>
        <v/>
      </c>
      <c r="D210" s="135" t="str">
        <f>IF(A210&lt;&gt;"",maxAxial(A210,1,1),"")</f>
        <v/>
      </c>
      <c r="E210" s="135" t="str">
        <f>IF(A210&lt;&gt;"",maxAxial(A210,2,1),"")</f>
        <v/>
      </c>
      <c r="F210" s="135" t="str">
        <f>IF(A210&lt;&gt;"",maxAxial(A210,3,1),"")</f>
        <v/>
      </c>
      <c r="G210" s="135" t="str">
        <f>IF(A210&lt;&gt;"",maxAxial(A210,1,2),"")</f>
        <v/>
      </c>
      <c r="H210" s="135" t="str">
        <f>IF(A210&lt;&gt;"",maxAxial(A210,2,2),"")</f>
        <v/>
      </c>
      <c r="I210" s="135" t="str">
        <f>IF(A210&lt;&gt;"",maxAxial(A210,3,2),"")</f>
        <v/>
      </c>
    </row>
    <row r="211" spans="2:9" x14ac:dyDescent="0.3">
      <c r="B211" s="135" t="str">
        <f>IF('Girder Bracing Data'!A211&lt;&gt;"",'Girder Bracing Data'!A211,"")</f>
        <v/>
      </c>
      <c r="C211" s="135" t="str">
        <f t="shared" si="5"/>
        <v/>
      </c>
      <c r="D211" s="135" t="str">
        <f>IF(A211&lt;&gt;"",maxAxial(A211,1,1),"")</f>
        <v/>
      </c>
      <c r="E211" s="135" t="str">
        <f>IF(A211&lt;&gt;"",maxAxial(A211,2,1),"")</f>
        <v/>
      </c>
      <c r="F211" s="135" t="str">
        <f>IF(A211&lt;&gt;"",maxAxial(A211,3,1),"")</f>
        <v/>
      </c>
      <c r="G211" s="135" t="str">
        <f>IF(A211&lt;&gt;"",maxAxial(A211,1,2),"")</f>
        <v/>
      </c>
      <c r="H211" s="135" t="str">
        <f>IF(A211&lt;&gt;"",maxAxial(A211,2,2),"")</f>
        <v/>
      </c>
      <c r="I211" s="135" t="str">
        <f>IF(A211&lt;&gt;"",maxAxial(A211,3,2),"")</f>
        <v/>
      </c>
    </row>
    <row r="212" spans="2:9" x14ac:dyDescent="0.3">
      <c r="B212" s="135" t="str">
        <f>IF('Girder Bracing Data'!A212&lt;&gt;"",'Girder Bracing Data'!A212,"")</f>
        <v/>
      </c>
      <c r="C212" s="135" t="str">
        <f t="shared" si="5"/>
        <v/>
      </c>
      <c r="D212" s="135" t="str">
        <f>IF(A212&lt;&gt;"",maxAxial(A212,1,1),"")</f>
        <v/>
      </c>
      <c r="E212" s="135" t="str">
        <f>IF(A212&lt;&gt;"",maxAxial(A212,2,1),"")</f>
        <v/>
      </c>
      <c r="F212" s="135" t="str">
        <f>IF(A212&lt;&gt;"",maxAxial(A212,3,1),"")</f>
        <v/>
      </c>
      <c r="G212" s="135" t="str">
        <f>IF(A212&lt;&gt;"",maxAxial(A212,1,2),"")</f>
        <v/>
      </c>
      <c r="H212" s="135" t="str">
        <f>IF(A212&lt;&gt;"",maxAxial(A212,2,2),"")</f>
        <v/>
      </c>
      <c r="I212" s="135" t="str">
        <f>IF(A212&lt;&gt;"",maxAxial(A212,3,2),"")</f>
        <v/>
      </c>
    </row>
    <row r="213" spans="2:9" x14ac:dyDescent="0.3">
      <c r="B213" s="135" t="str">
        <f>IF('Girder Bracing Data'!A213&lt;&gt;"",'Girder Bracing Data'!A213,"")</f>
        <v/>
      </c>
      <c r="C213" s="135" t="str">
        <f t="shared" si="5"/>
        <v/>
      </c>
      <c r="D213" s="135" t="str">
        <f>IF(A213&lt;&gt;"",maxAxial(A213,1,1),"")</f>
        <v/>
      </c>
      <c r="E213" s="135" t="str">
        <f>IF(A213&lt;&gt;"",maxAxial(A213,2,1),"")</f>
        <v/>
      </c>
      <c r="F213" s="135" t="str">
        <f>IF(A213&lt;&gt;"",maxAxial(A213,3,1),"")</f>
        <v/>
      </c>
      <c r="G213" s="135" t="str">
        <f>IF(A213&lt;&gt;"",maxAxial(A213,1,2),"")</f>
        <v/>
      </c>
      <c r="H213" s="135" t="str">
        <f>IF(A213&lt;&gt;"",maxAxial(A213,2,2),"")</f>
        <v/>
      </c>
      <c r="I213" s="135" t="str">
        <f>IF(A213&lt;&gt;"",maxAxial(A213,3,2),"")</f>
        <v/>
      </c>
    </row>
    <row r="214" spans="2:9" x14ac:dyDescent="0.3">
      <c r="B214" s="135" t="str">
        <f>IF('Girder Bracing Data'!A214&lt;&gt;"",'Girder Bracing Data'!A214,"")</f>
        <v/>
      </c>
      <c r="C214" s="135" t="str">
        <f t="shared" si="5"/>
        <v/>
      </c>
      <c r="D214" s="135" t="str">
        <f>IF(A214&lt;&gt;"",maxAxial(A214,1,1),"")</f>
        <v/>
      </c>
      <c r="E214" s="135" t="str">
        <f>IF(A214&lt;&gt;"",maxAxial(A214,2,1),"")</f>
        <v/>
      </c>
      <c r="F214" s="135" t="str">
        <f>IF(A214&lt;&gt;"",maxAxial(A214,3,1),"")</f>
        <v/>
      </c>
      <c r="G214" s="135" t="str">
        <f>IF(A214&lt;&gt;"",maxAxial(A214,1,2),"")</f>
        <v/>
      </c>
      <c r="H214" s="135" t="str">
        <f>IF(A214&lt;&gt;"",maxAxial(A214,2,2),"")</f>
        <v/>
      </c>
      <c r="I214" s="135" t="str">
        <f>IF(A214&lt;&gt;"",maxAxial(A214,3,2),"")</f>
        <v/>
      </c>
    </row>
    <row r="215" spans="2:9" x14ac:dyDescent="0.3">
      <c r="B215" s="135" t="str">
        <f>IF('Girder Bracing Data'!A215&lt;&gt;"",'Girder Bracing Data'!A215,"")</f>
        <v/>
      </c>
      <c r="C215" s="135" t="str">
        <f t="shared" si="5"/>
        <v/>
      </c>
      <c r="D215" s="135" t="str">
        <f>IF(A215&lt;&gt;"",maxAxial(A215,1,1),"")</f>
        <v/>
      </c>
      <c r="E215" s="135" t="str">
        <f>IF(A215&lt;&gt;"",maxAxial(A215,2,1),"")</f>
        <v/>
      </c>
      <c r="F215" s="135" t="str">
        <f>IF(A215&lt;&gt;"",maxAxial(A215,3,1),"")</f>
        <v/>
      </c>
      <c r="G215" s="135" t="str">
        <f>IF(A215&lt;&gt;"",maxAxial(A215,1,2),"")</f>
        <v/>
      </c>
      <c r="H215" s="135" t="str">
        <f>IF(A215&lt;&gt;"",maxAxial(A215,2,2),"")</f>
        <v/>
      </c>
      <c r="I215" s="135" t="str">
        <f>IF(A215&lt;&gt;"",maxAxial(A215,3,2),"")</f>
        <v/>
      </c>
    </row>
    <row r="216" spans="2:9" x14ac:dyDescent="0.3">
      <c r="B216" s="135" t="str">
        <f>IF('Girder Bracing Data'!A216&lt;&gt;"",'Girder Bracing Data'!A216,"")</f>
        <v/>
      </c>
      <c r="C216" s="135" t="str">
        <f t="shared" si="5"/>
        <v/>
      </c>
      <c r="D216" s="135" t="str">
        <f>IF(A216&lt;&gt;"",maxAxial(A216,1,1),"")</f>
        <v/>
      </c>
      <c r="E216" s="135" t="str">
        <f>IF(A216&lt;&gt;"",maxAxial(A216,2,1),"")</f>
        <v/>
      </c>
      <c r="F216" s="135" t="str">
        <f>IF(A216&lt;&gt;"",maxAxial(A216,3,1),"")</f>
        <v/>
      </c>
      <c r="G216" s="135" t="str">
        <f>IF(A216&lt;&gt;"",maxAxial(A216,1,2),"")</f>
        <v/>
      </c>
      <c r="H216" s="135" t="str">
        <f>IF(A216&lt;&gt;"",maxAxial(A216,2,2),"")</f>
        <v/>
      </c>
      <c r="I216" s="135" t="str">
        <f>IF(A216&lt;&gt;"",maxAxial(A216,3,2),"")</f>
        <v/>
      </c>
    </row>
    <row r="217" spans="2:9" x14ac:dyDescent="0.3">
      <c r="B217" s="135" t="str">
        <f>IF('Girder Bracing Data'!A217&lt;&gt;"",'Girder Bracing Data'!A217,"")</f>
        <v/>
      </c>
      <c r="C217" s="135" t="str">
        <f t="shared" si="5"/>
        <v/>
      </c>
      <c r="D217" s="135" t="str">
        <f>IF(A217&lt;&gt;"",maxAxial(A217,1,1),"")</f>
        <v/>
      </c>
      <c r="E217" s="135" t="str">
        <f>IF(A217&lt;&gt;"",maxAxial(A217,2,1),"")</f>
        <v/>
      </c>
      <c r="F217" s="135" t="str">
        <f>IF(A217&lt;&gt;"",maxAxial(A217,3,1),"")</f>
        <v/>
      </c>
      <c r="G217" s="135" t="str">
        <f>IF(A217&lt;&gt;"",maxAxial(A217,1,2),"")</f>
        <v/>
      </c>
      <c r="H217" s="135" t="str">
        <f>IF(A217&lt;&gt;"",maxAxial(A217,2,2),"")</f>
        <v/>
      </c>
      <c r="I217" s="135" t="str">
        <f>IF(A217&lt;&gt;"",maxAxial(A217,3,2),"")</f>
        <v/>
      </c>
    </row>
    <row r="218" spans="2:9" x14ac:dyDescent="0.3">
      <c r="B218" s="135" t="str">
        <f>IF('Girder Bracing Data'!A218&lt;&gt;"",'Girder Bracing Data'!A218,"")</f>
        <v/>
      </c>
      <c r="C218" s="135" t="str">
        <f t="shared" si="5"/>
        <v/>
      </c>
      <c r="D218" s="135" t="str">
        <f>IF(A218&lt;&gt;"",maxAxial(A218,1,1),"")</f>
        <v/>
      </c>
      <c r="E218" s="135" t="str">
        <f>IF(A218&lt;&gt;"",maxAxial(A218,2,1),"")</f>
        <v/>
      </c>
      <c r="F218" s="135" t="str">
        <f>IF(A218&lt;&gt;"",maxAxial(A218,3,1),"")</f>
        <v/>
      </c>
      <c r="G218" s="135" t="str">
        <f>IF(A218&lt;&gt;"",maxAxial(A218,1,2),"")</f>
        <v/>
      </c>
      <c r="H218" s="135" t="str">
        <f>IF(A218&lt;&gt;"",maxAxial(A218,2,2),"")</f>
        <v/>
      </c>
      <c r="I218" s="135" t="str">
        <f>IF(A218&lt;&gt;"",maxAxial(A218,3,2),"")</f>
        <v/>
      </c>
    </row>
    <row r="219" spans="2:9" x14ac:dyDescent="0.3">
      <c r="B219" s="135" t="str">
        <f>IF('Girder Bracing Data'!A219&lt;&gt;"",'Girder Bracing Data'!A219,"")</f>
        <v/>
      </c>
      <c r="C219" s="135" t="str">
        <f t="shared" si="5"/>
        <v/>
      </c>
      <c r="D219" s="135" t="str">
        <f>IF(A219&lt;&gt;"",maxAxial(A219,1,1),"")</f>
        <v/>
      </c>
      <c r="E219" s="135" t="str">
        <f>IF(A219&lt;&gt;"",maxAxial(A219,2,1),"")</f>
        <v/>
      </c>
      <c r="F219" s="135" t="str">
        <f>IF(A219&lt;&gt;"",maxAxial(A219,3,1),"")</f>
        <v/>
      </c>
      <c r="G219" s="135" t="str">
        <f>IF(A219&lt;&gt;"",maxAxial(A219,1,2),"")</f>
        <v/>
      </c>
      <c r="H219" s="135" t="str">
        <f>IF(A219&lt;&gt;"",maxAxial(A219,2,2),"")</f>
        <v/>
      </c>
      <c r="I219" s="135" t="str">
        <f>IF(A219&lt;&gt;"",maxAxial(A219,3,2),"")</f>
        <v/>
      </c>
    </row>
    <row r="220" spans="2:9" x14ac:dyDescent="0.3">
      <c r="B220" s="135" t="str">
        <f>IF('Girder Bracing Data'!A220&lt;&gt;"",'Girder Bracing Data'!A220,"")</f>
        <v/>
      </c>
      <c r="C220" s="135" t="str">
        <f t="shared" si="5"/>
        <v/>
      </c>
      <c r="D220" s="135" t="str">
        <f>IF(A220&lt;&gt;"",maxAxial(A220,1,1),"")</f>
        <v/>
      </c>
      <c r="E220" s="135" t="str">
        <f>IF(A220&lt;&gt;"",maxAxial(A220,2,1),"")</f>
        <v/>
      </c>
      <c r="F220" s="135" t="str">
        <f>IF(A220&lt;&gt;"",maxAxial(A220,3,1),"")</f>
        <v/>
      </c>
      <c r="G220" s="135" t="str">
        <f>IF(A220&lt;&gt;"",maxAxial(A220,1,2),"")</f>
        <v/>
      </c>
      <c r="H220" s="135" t="str">
        <f>IF(A220&lt;&gt;"",maxAxial(A220,2,2),"")</f>
        <v/>
      </c>
      <c r="I220" s="135" t="str">
        <f>IF(A220&lt;&gt;"",maxAxial(A220,3,2),"")</f>
        <v/>
      </c>
    </row>
    <row r="221" spans="2:9" x14ac:dyDescent="0.3">
      <c r="B221" s="135" t="str">
        <f>IF('Girder Bracing Data'!A221&lt;&gt;"",'Girder Bracing Data'!A221,"")</f>
        <v/>
      </c>
      <c r="C221" s="135" t="str">
        <f t="shared" si="5"/>
        <v/>
      </c>
      <c r="D221" s="135" t="str">
        <f>IF(A221&lt;&gt;"",maxAxial(A221,1,1),"")</f>
        <v/>
      </c>
      <c r="E221" s="135" t="str">
        <f>IF(A221&lt;&gt;"",maxAxial(A221,2,1),"")</f>
        <v/>
      </c>
      <c r="F221" s="135" t="str">
        <f>IF(A221&lt;&gt;"",maxAxial(A221,3,1),"")</f>
        <v/>
      </c>
      <c r="G221" s="135" t="str">
        <f>IF(A221&lt;&gt;"",maxAxial(A221,1,2),"")</f>
        <v/>
      </c>
      <c r="H221" s="135" t="str">
        <f>IF(A221&lt;&gt;"",maxAxial(A221,2,2),"")</f>
        <v/>
      </c>
      <c r="I221" s="135" t="str">
        <f>IF(A221&lt;&gt;"",maxAxial(A221,3,2),"")</f>
        <v/>
      </c>
    </row>
    <row r="222" spans="2:9" x14ac:dyDescent="0.3">
      <c r="B222" s="135" t="str">
        <f>IF('Girder Bracing Data'!A222&lt;&gt;"",'Girder Bracing Data'!A222,"")</f>
        <v/>
      </c>
      <c r="C222" s="135" t="str">
        <f t="shared" si="5"/>
        <v/>
      </c>
      <c r="D222" s="135" t="str">
        <f>IF(A222&lt;&gt;"",maxAxial(A222,1,1),"")</f>
        <v/>
      </c>
      <c r="E222" s="135" t="str">
        <f>IF(A222&lt;&gt;"",maxAxial(A222,2,1),"")</f>
        <v/>
      </c>
      <c r="F222" s="135" t="str">
        <f>IF(A222&lt;&gt;"",maxAxial(A222,3,1),"")</f>
        <v/>
      </c>
      <c r="G222" s="135" t="str">
        <f>IF(A222&lt;&gt;"",maxAxial(A222,1,2),"")</f>
        <v/>
      </c>
      <c r="H222" s="135" t="str">
        <f>IF(A222&lt;&gt;"",maxAxial(A222,2,2),"")</f>
        <v/>
      </c>
      <c r="I222" s="135" t="str">
        <f>IF(A222&lt;&gt;"",maxAxial(A222,3,2),"")</f>
        <v/>
      </c>
    </row>
    <row r="223" spans="2:9" x14ac:dyDescent="0.3">
      <c r="B223" s="135" t="str">
        <f>IF('Girder Bracing Data'!A223&lt;&gt;"",'Girder Bracing Data'!A223,"")</f>
        <v/>
      </c>
      <c r="C223" s="135" t="str">
        <f t="shared" si="5"/>
        <v/>
      </c>
      <c r="D223" s="135" t="str">
        <f>IF(A223&lt;&gt;"",maxAxial(A223,1,1),"")</f>
        <v/>
      </c>
      <c r="E223" s="135" t="str">
        <f>IF(A223&lt;&gt;"",maxAxial(A223,2,1),"")</f>
        <v/>
      </c>
      <c r="F223" s="135" t="str">
        <f>IF(A223&lt;&gt;"",maxAxial(A223,3,1),"")</f>
        <v/>
      </c>
      <c r="G223" s="135" t="str">
        <f>IF(A223&lt;&gt;"",maxAxial(A223,1,2),"")</f>
        <v/>
      </c>
      <c r="H223" s="135" t="str">
        <f>IF(A223&lt;&gt;"",maxAxial(A223,2,2),"")</f>
        <v/>
      </c>
      <c r="I223" s="135" t="str">
        <f>IF(A223&lt;&gt;"",maxAxial(A223,3,2),"")</f>
        <v/>
      </c>
    </row>
    <row r="224" spans="2:9" x14ac:dyDescent="0.3">
      <c r="B224" s="135" t="str">
        <f>IF('Girder Bracing Data'!A224&lt;&gt;"",'Girder Bracing Data'!A224,"")</f>
        <v/>
      </c>
      <c r="C224" s="135" t="str">
        <f t="shared" si="5"/>
        <v/>
      </c>
      <c r="D224" s="135" t="str">
        <f>IF(A224&lt;&gt;"",maxAxial(A224,1,1),"")</f>
        <v/>
      </c>
      <c r="E224" s="135" t="str">
        <f>IF(A224&lt;&gt;"",maxAxial(A224,2,1),"")</f>
        <v/>
      </c>
      <c r="F224" s="135" t="str">
        <f>IF(A224&lt;&gt;"",maxAxial(A224,3,1),"")</f>
        <v/>
      </c>
      <c r="G224" s="135" t="str">
        <f>IF(A224&lt;&gt;"",maxAxial(A224,1,2),"")</f>
        <v/>
      </c>
      <c r="H224" s="135" t="str">
        <f>IF(A224&lt;&gt;"",maxAxial(A224,2,2),"")</f>
        <v/>
      </c>
      <c r="I224" s="135" t="str">
        <f>IF(A224&lt;&gt;"",maxAxial(A224,3,2),"")</f>
        <v/>
      </c>
    </row>
    <row r="225" spans="2:9" x14ac:dyDescent="0.3">
      <c r="B225" s="135" t="str">
        <f>IF('Girder Bracing Data'!A225&lt;&gt;"",'Girder Bracing Data'!A225,"")</f>
        <v/>
      </c>
      <c r="C225" s="135" t="str">
        <f t="shared" si="5"/>
        <v/>
      </c>
      <c r="D225" s="135" t="str">
        <f>IF(A225&lt;&gt;"",maxAxial(A225,1,1),"")</f>
        <v/>
      </c>
      <c r="E225" s="135" t="str">
        <f>IF(A225&lt;&gt;"",maxAxial(A225,2,1),"")</f>
        <v/>
      </c>
      <c r="F225" s="135" t="str">
        <f>IF(A225&lt;&gt;"",maxAxial(A225,3,1),"")</f>
        <v/>
      </c>
      <c r="G225" s="135" t="str">
        <f>IF(A225&lt;&gt;"",maxAxial(A225,1,2),"")</f>
        <v/>
      </c>
      <c r="H225" s="135" t="str">
        <f>IF(A225&lt;&gt;"",maxAxial(A225,2,2),"")</f>
        <v/>
      </c>
      <c r="I225" s="135" t="str">
        <f>IF(A225&lt;&gt;"",maxAxial(A225,3,2),"")</f>
        <v/>
      </c>
    </row>
    <row r="226" spans="2:9" x14ac:dyDescent="0.3">
      <c r="B226" s="135" t="str">
        <f>IF('Girder Bracing Data'!A226&lt;&gt;"",'Girder Bracing Data'!A226,"")</f>
        <v/>
      </c>
      <c r="C226" s="135" t="str">
        <f t="shared" si="5"/>
        <v/>
      </c>
      <c r="D226" s="135" t="str">
        <f>IF(A226&lt;&gt;"",maxAxial(A226,1,1),"")</f>
        <v/>
      </c>
      <c r="E226" s="135" t="str">
        <f>IF(A226&lt;&gt;"",maxAxial(A226,2,1),"")</f>
        <v/>
      </c>
      <c r="F226" s="135" t="str">
        <f>IF(A226&lt;&gt;"",maxAxial(A226,3,1),"")</f>
        <v/>
      </c>
      <c r="G226" s="135" t="str">
        <f>IF(A226&lt;&gt;"",maxAxial(A226,1,2),"")</f>
        <v/>
      </c>
      <c r="H226" s="135" t="str">
        <f>IF(A226&lt;&gt;"",maxAxial(A226,2,2),"")</f>
        <v/>
      </c>
      <c r="I226" s="135" t="str">
        <f>IF(A226&lt;&gt;"",maxAxial(A226,3,2),"")</f>
        <v/>
      </c>
    </row>
    <row r="227" spans="2:9" x14ac:dyDescent="0.3">
      <c r="B227" s="135" t="str">
        <f>IF('Girder Bracing Data'!A227&lt;&gt;"",'Girder Bracing Data'!A227,"")</f>
        <v/>
      </c>
      <c r="C227" s="135" t="str">
        <f t="shared" si="5"/>
        <v/>
      </c>
      <c r="D227" s="135" t="str">
        <f>IF(A227&lt;&gt;"",maxAxial(A227,1,1),"")</f>
        <v/>
      </c>
      <c r="E227" s="135" t="str">
        <f>IF(A227&lt;&gt;"",maxAxial(A227,2,1),"")</f>
        <v/>
      </c>
      <c r="F227" s="135" t="str">
        <f>IF(A227&lt;&gt;"",maxAxial(A227,3,1),"")</f>
        <v/>
      </c>
      <c r="G227" s="135" t="str">
        <f>IF(A227&lt;&gt;"",maxAxial(A227,1,2),"")</f>
        <v/>
      </c>
      <c r="H227" s="135" t="str">
        <f>IF(A227&lt;&gt;"",maxAxial(A227,2,2),"")</f>
        <v/>
      </c>
      <c r="I227" s="135" t="str">
        <f>IF(A227&lt;&gt;"",maxAxial(A227,3,2),"")</f>
        <v/>
      </c>
    </row>
    <row r="228" spans="2:9" x14ac:dyDescent="0.3">
      <c r="B228" s="135" t="str">
        <f>IF('Girder Bracing Data'!A228&lt;&gt;"",'Girder Bracing Data'!A228,"")</f>
        <v/>
      </c>
      <c r="C228" s="135" t="str">
        <f t="shared" si="5"/>
        <v/>
      </c>
      <c r="D228" s="135" t="str">
        <f>IF(A228&lt;&gt;"",maxAxial(A228,1,1),"")</f>
        <v/>
      </c>
      <c r="E228" s="135" t="str">
        <f>IF(A228&lt;&gt;"",maxAxial(A228,2,1),"")</f>
        <v/>
      </c>
      <c r="F228" s="135" t="str">
        <f>IF(A228&lt;&gt;"",maxAxial(A228,3,1),"")</f>
        <v/>
      </c>
      <c r="G228" s="135" t="str">
        <f>IF(A228&lt;&gt;"",maxAxial(A228,1,2),"")</f>
        <v/>
      </c>
      <c r="H228" s="135" t="str">
        <f>IF(A228&lt;&gt;"",maxAxial(A228,2,2),"")</f>
        <v/>
      </c>
      <c r="I228" s="135" t="str">
        <f>IF(A228&lt;&gt;"",maxAxial(A228,3,2),"")</f>
        <v/>
      </c>
    </row>
    <row r="229" spans="2:9" x14ac:dyDescent="0.3">
      <c r="B229" s="135" t="str">
        <f>IF('Girder Bracing Data'!A229&lt;&gt;"",'Girder Bracing Data'!A229,"")</f>
        <v/>
      </c>
      <c r="C229" s="135" t="str">
        <f t="shared" si="5"/>
        <v/>
      </c>
      <c r="D229" s="135" t="str">
        <f>IF(A229&lt;&gt;"",maxAxial(A229,1,1),"")</f>
        <v/>
      </c>
      <c r="E229" s="135" t="str">
        <f>IF(A229&lt;&gt;"",maxAxial(A229,2,1),"")</f>
        <v/>
      </c>
      <c r="F229" s="135" t="str">
        <f>IF(A229&lt;&gt;"",maxAxial(A229,3,1),"")</f>
        <v/>
      </c>
      <c r="G229" s="135" t="str">
        <f>IF(A229&lt;&gt;"",maxAxial(A229,1,2),"")</f>
        <v/>
      </c>
      <c r="H229" s="135" t="str">
        <f>IF(A229&lt;&gt;"",maxAxial(A229,2,2),"")</f>
        <v/>
      </c>
      <c r="I229" s="135" t="str">
        <f>IF(A229&lt;&gt;"",maxAxial(A229,3,2),"")</f>
        <v/>
      </c>
    </row>
    <row r="230" spans="2:9" x14ac:dyDescent="0.3">
      <c r="B230" s="135" t="str">
        <f>IF('Girder Bracing Data'!A230&lt;&gt;"",'Girder Bracing Data'!A230,"")</f>
        <v/>
      </c>
      <c r="C230" s="135" t="str">
        <f t="shared" si="5"/>
        <v/>
      </c>
      <c r="D230" s="135" t="str">
        <f>IF(A230&lt;&gt;"",maxAxial(A230,1,1),"")</f>
        <v/>
      </c>
      <c r="E230" s="135" t="str">
        <f>IF(A230&lt;&gt;"",maxAxial(A230,2,1),"")</f>
        <v/>
      </c>
      <c r="F230" s="135" t="str">
        <f>IF(A230&lt;&gt;"",maxAxial(A230,3,1),"")</f>
        <v/>
      </c>
      <c r="G230" s="135" t="str">
        <f>IF(A230&lt;&gt;"",maxAxial(A230,1,2),"")</f>
        <v/>
      </c>
      <c r="H230" s="135" t="str">
        <f>IF(A230&lt;&gt;"",maxAxial(A230,2,2),"")</f>
        <v/>
      </c>
      <c r="I230" s="135" t="str">
        <f>IF(A230&lt;&gt;"",maxAxial(A230,3,2),"")</f>
        <v/>
      </c>
    </row>
    <row r="231" spans="2:9" x14ac:dyDescent="0.3">
      <c r="B231" s="135" t="str">
        <f>IF('Girder Bracing Data'!A231&lt;&gt;"",'Girder Bracing Data'!A231,"")</f>
        <v/>
      </c>
      <c r="C231" s="135" t="str">
        <f t="shared" si="5"/>
        <v/>
      </c>
      <c r="D231" s="135" t="str">
        <f>IF(A231&lt;&gt;"",maxAxial(A231,1,1),"")</f>
        <v/>
      </c>
      <c r="E231" s="135" t="str">
        <f>IF(A231&lt;&gt;"",maxAxial(A231,2,1),"")</f>
        <v/>
      </c>
      <c r="F231" s="135" t="str">
        <f>IF(A231&lt;&gt;"",maxAxial(A231,3,1),"")</f>
        <v/>
      </c>
      <c r="G231" s="135" t="str">
        <f>IF(A231&lt;&gt;"",maxAxial(A231,1,2),"")</f>
        <v/>
      </c>
      <c r="H231" s="135" t="str">
        <f>IF(A231&lt;&gt;"",maxAxial(A231,2,2),"")</f>
        <v/>
      </c>
      <c r="I231" s="135" t="str">
        <f>IF(A231&lt;&gt;"",maxAxial(A231,3,2),"")</f>
        <v/>
      </c>
    </row>
    <row r="232" spans="2:9" x14ac:dyDescent="0.3">
      <c r="B232" s="135" t="str">
        <f>IF('Girder Bracing Data'!A232&lt;&gt;"",'Girder Bracing Data'!A232,"")</f>
        <v/>
      </c>
      <c r="C232" s="135" t="str">
        <f t="shared" si="5"/>
        <v/>
      </c>
      <c r="D232" s="135" t="str">
        <f>IF(A232&lt;&gt;"",maxAxial(A232,1,1),"")</f>
        <v/>
      </c>
      <c r="E232" s="135" t="str">
        <f>IF(A232&lt;&gt;"",maxAxial(A232,2,1),"")</f>
        <v/>
      </c>
      <c r="F232" s="135" t="str">
        <f>IF(A232&lt;&gt;"",maxAxial(A232,3,1),"")</f>
        <v/>
      </c>
      <c r="G232" s="135" t="str">
        <f>IF(A232&lt;&gt;"",maxAxial(A232,1,2),"")</f>
        <v/>
      </c>
      <c r="H232" s="135" t="str">
        <f>IF(A232&lt;&gt;"",maxAxial(A232,2,2),"")</f>
        <v/>
      </c>
      <c r="I232" s="135" t="str">
        <f>IF(A232&lt;&gt;"",maxAxial(A232,3,2),"")</f>
        <v/>
      </c>
    </row>
    <row r="233" spans="2:9" x14ac:dyDescent="0.3">
      <c r="B233" s="135" t="str">
        <f>IF('Girder Bracing Data'!A233&lt;&gt;"",'Girder Bracing Data'!A233,"")</f>
        <v/>
      </c>
      <c r="C233" s="135" t="str">
        <f t="shared" si="5"/>
        <v/>
      </c>
      <c r="D233" s="135" t="str">
        <f>IF(A233&lt;&gt;"",maxAxial(A233,1,1),"")</f>
        <v/>
      </c>
      <c r="E233" s="135" t="str">
        <f>IF(A233&lt;&gt;"",maxAxial(A233,2,1),"")</f>
        <v/>
      </c>
      <c r="F233" s="135" t="str">
        <f>IF(A233&lt;&gt;"",maxAxial(A233,3,1),"")</f>
        <v/>
      </c>
      <c r="G233" s="135" t="str">
        <f>IF(A233&lt;&gt;"",maxAxial(A233,1,2),"")</f>
        <v/>
      </c>
      <c r="H233" s="135" t="str">
        <f>IF(A233&lt;&gt;"",maxAxial(A233,2,2),"")</f>
        <v/>
      </c>
      <c r="I233" s="135" t="str">
        <f>IF(A233&lt;&gt;"",maxAxial(A233,3,2),"")</f>
        <v/>
      </c>
    </row>
    <row r="234" spans="2:9" x14ac:dyDescent="0.3">
      <c r="B234" s="135" t="str">
        <f>IF('Girder Bracing Data'!A234&lt;&gt;"",'Girder Bracing Data'!A234,"")</f>
        <v/>
      </c>
      <c r="C234" s="135" t="str">
        <f t="shared" si="5"/>
        <v/>
      </c>
      <c r="D234" s="135" t="str">
        <f>IF(A234&lt;&gt;"",maxAxial(A234,1,1),"")</f>
        <v/>
      </c>
      <c r="E234" s="135" t="str">
        <f>IF(A234&lt;&gt;"",maxAxial(A234,2,1),"")</f>
        <v/>
      </c>
      <c r="F234" s="135" t="str">
        <f>IF(A234&lt;&gt;"",maxAxial(A234,3,1),"")</f>
        <v/>
      </c>
      <c r="G234" s="135" t="str">
        <f>IF(A234&lt;&gt;"",maxAxial(A234,1,2),"")</f>
        <v/>
      </c>
      <c r="H234" s="135" t="str">
        <f>IF(A234&lt;&gt;"",maxAxial(A234,2,2),"")</f>
        <v/>
      </c>
      <c r="I234" s="135" t="str">
        <f>IF(A234&lt;&gt;"",maxAxial(A234,3,2),"")</f>
        <v/>
      </c>
    </row>
    <row r="235" spans="2:9" x14ac:dyDescent="0.3">
      <c r="B235" s="135" t="str">
        <f>IF('Girder Bracing Data'!A235&lt;&gt;"",'Girder Bracing Data'!A235,"")</f>
        <v/>
      </c>
      <c r="C235" s="135" t="str">
        <f t="shared" si="5"/>
        <v/>
      </c>
      <c r="D235" s="135" t="str">
        <f>IF(A235&lt;&gt;"",maxAxial(A235,1,1),"")</f>
        <v/>
      </c>
      <c r="E235" s="135" t="str">
        <f>IF(A235&lt;&gt;"",maxAxial(A235,2,1),"")</f>
        <v/>
      </c>
      <c r="F235" s="135" t="str">
        <f>IF(A235&lt;&gt;"",maxAxial(A235,3,1),"")</f>
        <v/>
      </c>
      <c r="G235" s="135" t="str">
        <f>IF(A235&lt;&gt;"",maxAxial(A235,1,2),"")</f>
        <v/>
      </c>
      <c r="H235" s="135" t="str">
        <f>IF(A235&lt;&gt;"",maxAxial(A235,2,2),"")</f>
        <v/>
      </c>
      <c r="I235" s="135" t="str">
        <f>IF(A235&lt;&gt;"",maxAxial(A235,3,2),"")</f>
        <v/>
      </c>
    </row>
    <row r="236" spans="2:9" x14ac:dyDescent="0.3">
      <c r="B236" s="135" t="str">
        <f>IF('Girder Bracing Data'!A236&lt;&gt;"",'Girder Bracing Data'!A236,"")</f>
        <v/>
      </c>
      <c r="C236" s="135" t="str">
        <f t="shared" si="5"/>
        <v/>
      </c>
      <c r="D236" s="135" t="str">
        <f>IF(A236&lt;&gt;"",maxAxial(A236,1,1),"")</f>
        <v/>
      </c>
      <c r="E236" s="135" t="str">
        <f>IF(A236&lt;&gt;"",maxAxial(A236,2,1),"")</f>
        <v/>
      </c>
      <c r="F236" s="135" t="str">
        <f>IF(A236&lt;&gt;"",maxAxial(A236,3,1),"")</f>
        <v/>
      </c>
      <c r="G236" s="135" t="str">
        <f>IF(A236&lt;&gt;"",maxAxial(A236,1,2),"")</f>
        <v/>
      </c>
      <c r="H236" s="135" t="str">
        <f>IF(A236&lt;&gt;"",maxAxial(A236,2,2),"")</f>
        <v/>
      </c>
      <c r="I236" s="135" t="str">
        <f>IF(A236&lt;&gt;"",maxAxial(A236,3,2),"")</f>
        <v/>
      </c>
    </row>
    <row r="237" spans="2:9" x14ac:dyDescent="0.3">
      <c r="B237" s="135" t="str">
        <f>IF('Girder Bracing Data'!A237&lt;&gt;"",'Girder Bracing Data'!A237,"")</f>
        <v/>
      </c>
      <c r="C237" s="135" t="str">
        <f t="shared" si="5"/>
        <v/>
      </c>
      <c r="D237" s="135" t="str">
        <f>IF(A237&lt;&gt;"",maxAxial(A237,1,1),"")</f>
        <v/>
      </c>
      <c r="E237" s="135" t="str">
        <f>IF(A237&lt;&gt;"",maxAxial(A237,2,1),"")</f>
        <v/>
      </c>
      <c r="F237" s="135" t="str">
        <f>IF(A237&lt;&gt;"",maxAxial(A237,3,1),"")</f>
        <v/>
      </c>
      <c r="G237" s="135" t="str">
        <f>IF(A237&lt;&gt;"",maxAxial(A237,1,2),"")</f>
        <v/>
      </c>
      <c r="H237" s="135" t="str">
        <f>IF(A237&lt;&gt;"",maxAxial(A237,2,2),"")</f>
        <v/>
      </c>
      <c r="I237" s="135" t="str">
        <f>IF(A237&lt;&gt;"",maxAxial(A237,3,2),"")</f>
        <v/>
      </c>
    </row>
    <row r="238" spans="2:9" x14ac:dyDescent="0.3">
      <c r="B238" s="135" t="str">
        <f>IF('Girder Bracing Data'!A238&lt;&gt;"",'Girder Bracing Data'!A238,"")</f>
        <v/>
      </c>
      <c r="C238" s="135" t="str">
        <f t="shared" si="5"/>
        <v/>
      </c>
      <c r="D238" s="135" t="str">
        <f>IF(A238&lt;&gt;"",maxAxial(A238,1,1),"")</f>
        <v/>
      </c>
      <c r="E238" s="135" t="str">
        <f>IF(A238&lt;&gt;"",maxAxial(A238,2,1),"")</f>
        <v/>
      </c>
      <c r="F238" s="135" t="str">
        <f>IF(A238&lt;&gt;"",maxAxial(A238,3,1),"")</f>
        <v/>
      </c>
      <c r="G238" s="135" t="str">
        <f>IF(A238&lt;&gt;"",maxAxial(A238,1,2),"")</f>
        <v/>
      </c>
      <c r="H238" s="135" t="str">
        <f>IF(A238&lt;&gt;"",maxAxial(A238,2,2),"")</f>
        <v/>
      </c>
      <c r="I238" s="135" t="str">
        <f>IF(A238&lt;&gt;"",maxAxial(A238,3,2),"")</f>
        <v/>
      </c>
    </row>
    <row r="239" spans="2:9" x14ac:dyDescent="0.3">
      <c r="B239" s="135" t="str">
        <f>IF('Girder Bracing Data'!A239&lt;&gt;"",'Girder Bracing Data'!A239,"")</f>
        <v/>
      </c>
      <c r="C239" s="135" t="str">
        <f t="shared" si="5"/>
        <v/>
      </c>
      <c r="D239" s="135" t="str">
        <f>IF(A239&lt;&gt;"",maxAxial(A239,1,1),"")</f>
        <v/>
      </c>
      <c r="E239" s="135" t="str">
        <f>IF(A239&lt;&gt;"",maxAxial(A239,2,1),"")</f>
        <v/>
      </c>
      <c r="F239" s="135" t="str">
        <f>IF(A239&lt;&gt;"",maxAxial(A239,3,1),"")</f>
        <v/>
      </c>
      <c r="G239" s="135" t="str">
        <f>IF(A239&lt;&gt;"",maxAxial(A239,1,2),"")</f>
        <v/>
      </c>
      <c r="H239" s="135" t="str">
        <f>IF(A239&lt;&gt;"",maxAxial(A239,2,2),"")</f>
        <v/>
      </c>
      <c r="I239" s="135" t="str">
        <f>IF(A239&lt;&gt;"",maxAxial(A239,3,2),"")</f>
        <v/>
      </c>
    </row>
    <row r="240" spans="2:9" x14ac:dyDescent="0.3">
      <c r="B240" s="135" t="str">
        <f>IF('Girder Bracing Data'!A240&lt;&gt;"",'Girder Bracing Data'!A240,"")</f>
        <v/>
      </c>
      <c r="C240" s="135" t="str">
        <f t="shared" si="5"/>
        <v/>
      </c>
      <c r="D240" s="135" t="str">
        <f>IF(A240&lt;&gt;"",maxAxial(A240,1,1),"")</f>
        <v/>
      </c>
      <c r="E240" s="135" t="str">
        <f>IF(A240&lt;&gt;"",maxAxial(A240,2,1),"")</f>
        <v/>
      </c>
      <c r="F240" s="135" t="str">
        <f>IF(A240&lt;&gt;"",maxAxial(A240,3,1),"")</f>
        <v/>
      </c>
      <c r="G240" s="135" t="str">
        <f>IF(A240&lt;&gt;"",maxAxial(A240,1,2),"")</f>
        <v/>
      </c>
      <c r="H240" s="135" t="str">
        <f>IF(A240&lt;&gt;"",maxAxial(A240,2,2),"")</f>
        <v/>
      </c>
      <c r="I240" s="135" t="str">
        <f>IF(A240&lt;&gt;"",maxAxial(A240,3,2),"")</f>
        <v/>
      </c>
    </row>
    <row r="241" spans="2:9" x14ac:dyDescent="0.3">
      <c r="B241" s="135" t="str">
        <f>IF('Girder Bracing Data'!A241&lt;&gt;"",'Girder Bracing Data'!A241,"")</f>
        <v/>
      </c>
      <c r="C241" s="135" t="str">
        <f t="shared" si="5"/>
        <v/>
      </c>
      <c r="D241" s="135" t="str">
        <f>IF(A241&lt;&gt;"",maxAxial(A241,1,1),"")</f>
        <v/>
      </c>
      <c r="E241" s="135" t="str">
        <f>IF(A241&lt;&gt;"",maxAxial(A241,2,1),"")</f>
        <v/>
      </c>
      <c r="F241" s="135" t="str">
        <f>IF(A241&lt;&gt;"",maxAxial(A241,3,1),"")</f>
        <v/>
      </c>
      <c r="G241" s="135" t="str">
        <f>IF(A241&lt;&gt;"",maxAxial(A241,1,2),"")</f>
        <v/>
      </c>
      <c r="H241" s="135" t="str">
        <f>IF(A241&lt;&gt;"",maxAxial(A241,2,2),"")</f>
        <v/>
      </c>
      <c r="I241" s="135" t="str">
        <f>IF(A241&lt;&gt;"",maxAxial(A241,3,2),"")</f>
        <v/>
      </c>
    </row>
    <row r="242" spans="2:9" x14ac:dyDescent="0.3">
      <c r="B242" s="135" t="str">
        <f>IF('Girder Bracing Data'!A242&lt;&gt;"",'Girder Bracing Data'!A242,"")</f>
        <v/>
      </c>
      <c r="C242" s="135" t="str">
        <f t="shared" si="5"/>
        <v/>
      </c>
      <c r="D242" s="135" t="str">
        <f>IF(A242&lt;&gt;"",maxAxial(A242,1,1),"")</f>
        <v/>
      </c>
      <c r="E242" s="135" t="str">
        <f>IF(A242&lt;&gt;"",maxAxial(A242,2,1),"")</f>
        <v/>
      </c>
      <c r="F242" s="135" t="str">
        <f>IF(A242&lt;&gt;"",maxAxial(A242,3,1),"")</f>
        <v/>
      </c>
      <c r="G242" s="135" t="str">
        <f>IF(A242&lt;&gt;"",maxAxial(A242,1,2),"")</f>
        <v/>
      </c>
      <c r="H242" s="135" t="str">
        <f>IF(A242&lt;&gt;"",maxAxial(A242,2,2),"")</f>
        <v/>
      </c>
      <c r="I242" s="135" t="str">
        <f>IF(A242&lt;&gt;"",maxAxial(A242,3,2),"")</f>
        <v/>
      </c>
    </row>
    <row r="243" spans="2:9" x14ac:dyDescent="0.3">
      <c r="B243" s="135" t="str">
        <f>IF('Girder Bracing Data'!A243&lt;&gt;"",'Girder Bracing Data'!A243,"")</f>
        <v/>
      </c>
      <c r="C243" s="135" t="str">
        <f t="shared" si="5"/>
        <v/>
      </c>
      <c r="D243" s="135" t="str">
        <f>IF(A243&lt;&gt;"",maxAxial(A243,1,1),"")</f>
        <v/>
      </c>
      <c r="E243" s="135" t="str">
        <f>IF(A243&lt;&gt;"",maxAxial(A243,2,1),"")</f>
        <v/>
      </c>
      <c r="F243" s="135" t="str">
        <f>IF(A243&lt;&gt;"",maxAxial(A243,3,1),"")</f>
        <v/>
      </c>
      <c r="G243" s="135" t="str">
        <f>IF(A243&lt;&gt;"",maxAxial(A243,1,2),"")</f>
        <v/>
      </c>
      <c r="H243" s="135" t="str">
        <f>IF(A243&lt;&gt;"",maxAxial(A243,2,2),"")</f>
        <v/>
      </c>
      <c r="I243" s="135" t="str">
        <f>IF(A243&lt;&gt;"",maxAxial(A243,3,2),"")</f>
        <v/>
      </c>
    </row>
    <row r="244" spans="2:9" x14ac:dyDescent="0.3">
      <c r="B244" s="135" t="str">
        <f>IF('Girder Bracing Data'!A244&lt;&gt;"",'Girder Bracing Data'!A244,"")</f>
        <v/>
      </c>
      <c r="C244" s="135" t="str">
        <f t="shared" si="5"/>
        <v/>
      </c>
      <c r="D244" s="135" t="str">
        <f>IF(A244&lt;&gt;"",maxAxial(A244,1,1),"")</f>
        <v/>
      </c>
      <c r="E244" s="135" t="str">
        <f>IF(A244&lt;&gt;"",maxAxial(A244,2,1),"")</f>
        <v/>
      </c>
      <c r="F244" s="135" t="str">
        <f>IF(A244&lt;&gt;"",maxAxial(A244,3,1),"")</f>
        <v/>
      </c>
      <c r="G244" s="135" t="str">
        <f>IF(A244&lt;&gt;"",maxAxial(A244,1,2),"")</f>
        <v/>
      </c>
      <c r="H244" s="135" t="str">
        <f>IF(A244&lt;&gt;"",maxAxial(A244,2,2),"")</f>
        <v/>
      </c>
      <c r="I244" s="135" t="str">
        <f>IF(A244&lt;&gt;"",maxAxial(A244,3,2),"")</f>
        <v/>
      </c>
    </row>
    <row r="245" spans="2:9" x14ac:dyDescent="0.3">
      <c r="B245" s="135" t="str">
        <f>IF('Girder Bracing Data'!A245&lt;&gt;"",'Girder Bracing Data'!A245,"")</f>
        <v/>
      </c>
      <c r="C245" s="135" t="str">
        <f t="shared" si="5"/>
        <v/>
      </c>
      <c r="D245" s="135" t="str">
        <f>IF(A245&lt;&gt;"",maxAxial(A245,1,1),"")</f>
        <v/>
      </c>
      <c r="E245" s="135" t="str">
        <f>IF(A245&lt;&gt;"",maxAxial(A245,2,1),"")</f>
        <v/>
      </c>
      <c r="F245" s="135" t="str">
        <f>IF(A245&lt;&gt;"",maxAxial(A245,3,1),"")</f>
        <v/>
      </c>
      <c r="G245" s="135" t="str">
        <f>IF(A245&lt;&gt;"",maxAxial(A245,1,2),"")</f>
        <v/>
      </c>
      <c r="H245" s="135" t="str">
        <f>IF(A245&lt;&gt;"",maxAxial(A245,2,2),"")</f>
        <v/>
      </c>
      <c r="I245" s="135" t="str">
        <f>IF(A245&lt;&gt;"",maxAxial(A245,3,2),"")</f>
        <v/>
      </c>
    </row>
    <row r="246" spans="2:9" x14ac:dyDescent="0.3">
      <c r="B246" s="135" t="str">
        <f>IF('Girder Bracing Data'!A246&lt;&gt;"",'Girder Bracing Data'!A246,"")</f>
        <v/>
      </c>
      <c r="C246" s="135" t="str">
        <f t="shared" si="5"/>
        <v/>
      </c>
      <c r="D246" s="135" t="str">
        <f>IF(A246&lt;&gt;"",maxAxial(A246,1,1),"")</f>
        <v/>
      </c>
      <c r="E246" s="135" t="str">
        <f>IF(A246&lt;&gt;"",maxAxial(A246,2,1),"")</f>
        <v/>
      </c>
      <c r="F246" s="135" t="str">
        <f>IF(A246&lt;&gt;"",maxAxial(A246,3,1),"")</f>
        <v/>
      </c>
      <c r="G246" s="135" t="str">
        <f>IF(A246&lt;&gt;"",maxAxial(A246,1,2),"")</f>
        <v/>
      </c>
      <c r="H246" s="135" t="str">
        <f>IF(A246&lt;&gt;"",maxAxial(A246,2,2),"")</f>
        <v/>
      </c>
      <c r="I246" s="135" t="str">
        <f>IF(A246&lt;&gt;"",maxAxial(A246,3,2),"")</f>
        <v/>
      </c>
    </row>
    <row r="247" spans="2:9" x14ac:dyDescent="0.3">
      <c r="B247" s="135" t="str">
        <f>IF('Girder Bracing Data'!A247&lt;&gt;"",'Girder Bracing Data'!A247,"")</f>
        <v/>
      </c>
      <c r="C247" s="135" t="str">
        <f t="shared" si="5"/>
        <v/>
      </c>
      <c r="D247" s="135" t="str">
        <f>IF(A247&lt;&gt;"",maxAxial(A247,1,1),"")</f>
        <v/>
      </c>
      <c r="E247" s="135" t="str">
        <f>IF(A247&lt;&gt;"",maxAxial(A247,2,1),"")</f>
        <v/>
      </c>
      <c r="F247" s="135" t="str">
        <f>IF(A247&lt;&gt;"",maxAxial(A247,3,1),"")</f>
        <v/>
      </c>
      <c r="G247" s="135" t="str">
        <f>IF(A247&lt;&gt;"",maxAxial(A247,1,2),"")</f>
        <v/>
      </c>
      <c r="H247" s="135" t="str">
        <f>IF(A247&lt;&gt;"",maxAxial(A247,2,2),"")</f>
        <v/>
      </c>
      <c r="I247" s="135" t="str">
        <f>IF(A247&lt;&gt;"",maxAxial(A247,3,2),"")</f>
        <v/>
      </c>
    </row>
    <row r="248" spans="2:9" x14ac:dyDescent="0.3">
      <c r="B248" s="135" t="str">
        <f>IF('Girder Bracing Data'!A248&lt;&gt;"",'Girder Bracing Data'!A248,"")</f>
        <v/>
      </c>
      <c r="C248" s="135" t="str">
        <f t="shared" si="5"/>
        <v/>
      </c>
      <c r="D248" s="135" t="str">
        <f>IF(A248&lt;&gt;"",maxAxial(A248,1,1),"")</f>
        <v/>
      </c>
      <c r="E248" s="135" t="str">
        <f>IF(A248&lt;&gt;"",maxAxial(A248,2,1),"")</f>
        <v/>
      </c>
      <c r="F248" s="135" t="str">
        <f>IF(A248&lt;&gt;"",maxAxial(A248,3,1),"")</f>
        <v/>
      </c>
      <c r="G248" s="135" t="str">
        <f>IF(A248&lt;&gt;"",maxAxial(A248,1,2),"")</f>
        <v/>
      </c>
      <c r="H248" s="135" t="str">
        <f>IF(A248&lt;&gt;"",maxAxial(A248,2,2),"")</f>
        <v/>
      </c>
      <c r="I248" s="135" t="str">
        <f>IF(A248&lt;&gt;"",maxAxial(A248,3,2),"")</f>
        <v/>
      </c>
    </row>
    <row r="249" spans="2:9" x14ac:dyDescent="0.3">
      <c r="B249" s="135" t="str">
        <f>IF('Girder Bracing Data'!A249&lt;&gt;"",'Girder Bracing Data'!A249,"")</f>
        <v/>
      </c>
      <c r="C249" s="135" t="str">
        <f t="shared" si="5"/>
        <v/>
      </c>
      <c r="D249" s="135" t="str">
        <f>IF(A249&lt;&gt;"",maxAxial(A249,1,1),"")</f>
        <v/>
      </c>
      <c r="E249" s="135" t="str">
        <f>IF(A249&lt;&gt;"",maxAxial(A249,2,1),"")</f>
        <v/>
      </c>
      <c r="F249" s="135" t="str">
        <f>IF(A249&lt;&gt;"",maxAxial(A249,3,1),"")</f>
        <v/>
      </c>
      <c r="G249" s="135" t="str">
        <f>IF(A249&lt;&gt;"",maxAxial(A249,1,2),"")</f>
        <v/>
      </c>
      <c r="H249" s="135" t="str">
        <f>IF(A249&lt;&gt;"",maxAxial(A249,2,2),"")</f>
        <v/>
      </c>
      <c r="I249" s="135" t="str">
        <f>IF(A249&lt;&gt;"",maxAxial(A249,3,2),"")</f>
        <v/>
      </c>
    </row>
    <row r="250" spans="2:9" x14ac:dyDescent="0.3">
      <c r="B250" s="135" t="str">
        <f>IF('Girder Bracing Data'!A250&lt;&gt;"",'Girder Bracing Data'!A250,"")</f>
        <v/>
      </c>
      <c r="C250" s="135" t="str">
        <f t="shared" si="5"/>
        <v/>
      </c>
      <c r="D250" s="135" t="str">
        <f>IF(A250&lt;&gt;"",maxAxial(A250,1,1),"")</f>
        <v/>
      </c>
      <c r="E250" s="135" t="str">
        <f>IF(A250&lt;&gt;"",maxAxial(A250,2,1),"")</f>
        <v/>
      </c>
      <c r="F250" s="135" t="str">
        <f>IF(A250&lt;&gt;"",maxAxial(A250,3,1),"")</f>
        <v/>
      </c>
      <c r="G250" s="135" t="str">
        <f>IF(A250&lt;&gt;"",maxAxial(A250,1,2),"")</f>
        <v/>
      </c>
      <c r="H250" s="135" t="str">
        <f>IF(A250&lt;&gt;"",maxAxial(A250,2,2),"")</f>
        <v/>
      </c>
      <c r="I250" s="135" t="str">
        <f>IF(A250&lt;&gt;"",maxAxial(A250,3,2),"")</f>
        <v/>
      </c>
    </row>
    <row r="251" spans="2:9" x14ac:dyDescent="0.3">
      <c r="B251" s="135" t="str">
        <f>IF('Girder Bracing Data'!A251&lt;&gt;"",'Girder Bracing Data'!A251,"")</f>
        <v/>
      </c>
      <c r="C251" s="135" t="str">
        <f t="shared" si="5"/>
        <v/>
      </c>
      <c r="D251" s="135" t="str">
        <f>IF(A251&lt;&gt;"",maxAxial(A251,1,1),"")</f>
        <v/>
      </c>
      <c r="E251" s="135" t="str">
        <f>IF(A251&lt;&gt;"",maxAxial(A251,2,1),"")</f>
        <v/>
      </c>
      <c r="F251" s="135" t="str">
        <f>IF(A251&lt;&gt;"",maxAxial(A251,3,1),"")</f>
        <v/>
      </c>
      <c r="G251" s="135" t="str">
        <f>IF(A251&lt;&gt;"",maxAxial(A251,1,2),"")</f>
        <v/>
      </c>
      <c r="H251" s="135" t="str">
        <f>IF(A251&lt;&gt;"",maxAxial(A251,2,2),"")</f>
        <v/>
      </c>
      <c r="I251" s="135" t="str">
        <f>IF(A251&lt;&gt;"",maxAxial(A251,3,2),"")</f>
        <v/>
      </c>
    </row>
    <row r="252" spans="2:9" x14ac:dyDescent="0.3">
      <c r="B252" s="135" t="str">
        <f>IF('Girder Bracing Data'!A252&lt;&gt;"",'Girder Bracing Data'!A252,"")</f>
        <v/>
      </c>
      <c r="C252" s="135" t="str">
        <f t="shared" si="5"/>
        <v/>
      </c>
      <c r="D252" s="135" t="str">
        <f>IF(A252&lt;&gt;"",maxAxial(A252,1,1),"")</f>
        <v/>
      </c>
      <c r="E252" s="135" t="str">
        <f>IF(A252&lt;&gt;"",maxAxial(A252,2,1),"")</f>
        <v/>
      </c>
      <c r="F252" s="135" t="str">
        <f>IF(A252&lt;&gt;"",maxAxial(A252,3,1),"")</f>
        <v/>
      </c>
      <c r="G252" s="135" t="str">
        <f>IF(A252&lt;&gt;"",maxAxial(A252,1,2),"")</f>
        <v/>
      </c>
      <c r="H252" s="135" t="str">
        <f>IF(A252&lt;&gt;"",maxAxial(A252,2,2),"")</f>
        <v/>
      </c>
      <c r="I252" s="135" t="str">
        <f>IF(A252&lt;&gt;"",maxAxial(A252,3,2),"")</f>
        <v/>
      </c>
    </row>
    <row r="253" spans="2:9" x14ac:dyDescent="0.3">
      <c r="B253" s="135" t="str">
        <f>IF('Girder Bracing Data'!A253&lt;&gt;"",'Girder Bracing Data'!A253,"")</f>
        <v/>
      </c>
      <c r="C253" s="135" t="str">
        <f t="shared" si="5"/>
        <v/>
      </c>
      <c r="D253" s="135" t="str">
        <f>IF(A253&lt;&gt;"",maxAxial(A253,1,1),"")</f>
        <v/>
      </c>
      <c r="E253" s="135" t="str">
        <f>IF(A253&lt;&gt;"",maxAxial(A253,2,1),"")</f>
        <v/>
      </c>
      <c r="F253" s="135" t="str">
        <f>IF(A253&lt;&gt;"",maxAxial(A253,3,1),"")</f>
        <v/>
      </c>
      <c r="G253" s="135" t="str">
        <f>IF(A253&lt;&gt;"",maxAxial(A253,1,2),"")</f>
        <v/>
      </c>
      <c r="H253" s="135" t="str">
        <f>IF(A253&lt;&gt;"",maxAxial(A253,2,2),"")</f>
        <v/>
      </c>
      <c r="I253" s="135" t="str">
        <f>IF(A253&lt;&gt;"",maxAxial(A253,3,2),"")</f>
        <v/>
      </c>
    </row>
    <row r="254" spans="2:9" x14ac:dyDescent="0.3">
      <c r="B254" s="135" t="str">
        <f>IF('Girder Bracing Data'!A254&lt;&gt;"",'Girder Bracing Data'!A254,"")</f>
        <v/>
      </c>
      <c r="C254" s="135" t="str">
        <f t="shared" si="5"/>
        <v/>
      </c>
      <c r="D254" s="135" t="str">
        <f>IF(A254&lt;&gt;"",maxAxial(A254,1,1),"")</f>
        <v/>
      </c>
      <c r="E254" s="135" t="str">
        <f>IF(A254&lt;&gt;"",maxAxial(A254,2,1),"")</f>
        <v/>
      </c>
      <c r="F254" s="135" t="str">
        <f>IF(A254&lt;&gt;"",maxAxial(A254,3,1),"")</f>
        <v/>
      </c>
      <c r="G254" s="135" t="str">
        <f>IF(A254&lt;&gt;"",maxAxial(A254,1,2),"")</f>
        <v/>
      </c>
      <c r="H254" s="135" t="str">
        <f>IF(A254&lt;&gt;"",maxAxial(A254,2,2),"")</f>
        <v/>
      </c>
      <c r="I254" s="135" t="str">
        <f>IF(A254&lt;&gt;"",maxAxial(A254,3,2),"")</f>
        <v/>
      </c>
    </row>
    <row r="255" spans="2:9" x14ac:dyDescent="0.3">
      <c r="B255" s="135" t="str">
        <f>IF('Girder Bracing Data'!A255&lt;&gt;"",'Girder Bracing Data'!A255,"")</f>
        <v/>
      </c>
      <c r="C255" s="135" t="str">
        <f t="shared" si="5"/>
        <v/>
      </c>
      <c r="D255" s="135" t="str">
        <f>IF(A255&lt;&gt;"",maxAxial(A255,1,1),"")</f>
        <v/>
      </c>
      <c r="E255" s="135" t="str">
        <f>IF(A255&lt;&gt;"",maxAxial(A255,2,1),"")</f>
        <v/>
      </c>
      <c r="F255" s="135" t="str">
        <f>IF(A255&lt;&gt;"",maxAxial(A255,3,1),"")</f>
        <v/>
      </c>
      <c r="G255" s="135" t="str">
        <f>IF(A255&lt;&gt;"",maxAxial(A255,1,2),"")</f>
        <v/>
      </c>
      <c r="H255" s="135" t="str">
        <f>IF(A255&lt;&gt;"",maxAxial(A255,2,2),"")</f>
        <v/>
      </c>
      <c r="I255" s="135" t="str">
        <f>IF(A255&lt;&gt;"",maxAxial(A255,3,2),"")</f>
        <v/>
      </c>
    </row>
    <row r="256" spans="2:9" x14ac:dyDescent="0.3">
      <c r="B256" s="135" t="str">
        <f>IF('Girder Bracing Data'!A256&lt;&gt;"",'Girder Bracing Data'!A256,"")</f>
        <v/>
      </c>
      <c r="C256" s="135" t="str">
        <f t="shared" si="5"/>
        <v/>
      </c>
      <c r="D256" s="135" t="str">
        <f>IF(A256&lt;&gt;"",maxAxial(A256,1,1),"")</f>
        <v/>
      </c>
      <c r="E256" s="135" t="str">
        <f>IF(A256&lt;&gt;"",maxAxial(A256,2,1),"")</f>
        <v/>
      </c>
      <c r="F256" s="135" t="str">
        <f>IF(A256&lt;&gt;"",maxAxial(A256,3,1),"")</f>
        <v/>
      </c>
      <c r="G256" s="135" t="str">
        <f>IF(A256&lt;&gt;"",maxAxial(A256,1,2),"")</f>
        <v/>
      </c>
      <c r="H256" s="135" t="str">
        <f>IF(A256&lt;&gt;"",maxAxial(A256,2,2),"")</f>
        <v/>
      </c>
      <c r="I256" s="135" t="str">
        <f>IF(A256&lt;&gt;"",maxAxial(A256,3,2),"")</f>
        <v/>
      </c>
    </row>
    <row r="257" spans="2:9" x14ac:dyDescent="0.3">
      <c r="B257" s="135" t="str">
        <f>IF('Girder Bracing Data'!A257&lt;&gt;"",'Girder Bracing Data'!A257,"")</f>
        <v/>
      </c>
      <c r="C257" s="135" t="str">
        <f t="shared" si="5"/>
        <v/>
      </c>
      <c r="D257" s="135" t="str">
        <f>IF(A257&lt;&gt;"",maxAxial(A257,1,1),"")</f>
        <v/>
      </c>
      <c r="E257" s="135" t="str">
        <f>IF(A257&lt;&gt;"",maxAxial(A257,2,1),"")</f>
        <v/>
      </c>
      <c r="F257" s="135" t="str">
        <f>IF(A257&lt;&gt;"",maxAxial(A257,3,1),"")</f>
        <v/>
      </c>
      <c r="G257" s="135" t="str">
        <f>IF(A257&lt;&gt;"",maxAxial(A257,1,2),"")</f>
        <v/>
      </c>
      <c r="H257" s="135" t="str">
        <f>IF(A257&lt;&gt;"",maxAxial(A257,2,2),"")</f>
        <v/>
      </c>
      <c r="I257" s="135" t="str">
        <f>IF(A257&lt;&gt;"",maxAxial(A257,3,2),"")</f>
        <v/>
      </c>
    </row>
    <row r="258" spans="2:9" x14ac:dyDescent="0.3">
      <c r="B258" s="135" t="str">
        <f>IF('Girder Bracing Data'!A258&lt;&gt;"",'Girder Bracing Data'!A258,"")</f>
        <v/>
      </c>
      <c r="C258" s="135" t="str">
        <f t="shared" ref="C258:C316" si="6">IF(A258&lt;&gt;"",stiffness(A258),"")</f>
        <v/>
      </c>
      <c r="D258" s="135" t="str">
        <f>IF(A258&lt;&gt;"",maxAxial(A258,1,1),"")</f>
        <v/>
      </c>
      <c r="E258" s="135" t="str">
        <f>IF(A258&lt;&gt;"",maxAxial(A258,2,1),"")</f>
        <v/>
      </c>
      <c r="F258" s="135" t="str">
        <f>IF(A258&lt;&gt;"",maxAxial(A258,3,1),"")</f>
        <v/>
      </c>
      <c r="G258" s="135" t="str">
        <f>IF(A258&lt;&gt;"",maxAxial(A258,1,2),"")</f>
        <v/>
      </c>
      <c r="H258" s="135" t="str">
        <f>IF(A258&lt;&gt;"",maxAxial(A258,2,2),"")</f>
        <v/>
      </c>
      <c r="I258" s="135" t="str">
        <f>IF(A258&lt;&gt;"",maxAxial(A258,3,2),"")</f>
        <v/>
      </c>
    </row>
    <row r="259" spans="2:9" x14ac:dyDescent="0.3">
      <c r="B259" s="135" t="str">
        <f>IF('Girder Bracing Data'!A259&lt;&gt;"",'Girder Bracing Data'!A259,"")</f>
        <v/>
      </c>
      <c r="C259" s="135" t="str">
        <f t="shared" si="6"/>
        <v/>
      </c>
      <c r="D259" s="135" t="str">
        <f>IF(A259&lt;&gt;"",maxAxial(A259,1,1),"")</f>
        <v/>
      </c>
      <c r="E259" s="135" t="str">
        <f>IF(A259&lt;&gt;"",maxAxial(A259,2,1),"")</f>
        <v/>
      </c>
      <c r="F259" s="135" t="str">
        <f>IF(A259&lt;&gt;"",maxAxial(A259,3,1),"")</f>
        <v/>
      </c>
      <c r="G259" s="135" t="str">
        <f>IF(A259&lt;&gt;"",maxAxial(A259,1,2),"")</f>
        <v/>
      </c>
      <c r="H259" s="135" t="str">
        <f>IF(A259&lt;&gt;"",maxAxial(A259,2,2),"")</f>
        <v/>
      </c>
      <c r="I259" s="135" t="str">
        <f>IF(A259&lt;&gt;"",maxAxial(A259,3,2),"")</f>
        <v/>
      </c>
    </row>
    <row r="260" spans="2:9" x14ac:dyDescent="0.3">
      <c r="B260" s="135" t="str">
        <f>IF('Girder Bracing Data'!A260&lt;&gt;"",'Girder Bracing Data'!A260,"")</f>
        <v/>
      </c>
      <c r="C260" s="135" t="str">
        <f t="shared" si="6"/>
        <v/>
      </c>
      <c r="D260" s="135" t="str">
        <f>IF(A260&lt;&gt;"",maxAxial(A260,1,1),"")</f>
        <v/>
      </c>
      <c r="E260" s="135" t="str">
        <f>IF(A260&lt;&gt;"",maxAxial(A260,2,1),"")</f>
        <v/>
      </c>
      <c r="F260" s="135" t="str">
        <f>IF(A260&lt;&gt;"",maxAxial(A260,3,1),"")</f>
        <v/>
      </c>
      <c r="G260" s="135" t="str">
        <f>IF(A260&lt;&gt;"",maxAxial(A260,1,2),"")</f>
        <v/>
      </c>
      <c r="H260" s="135" t="str">
        <f>IF(A260&lt;&gt;"",maxAxial(A260,2,2),"")</f>
        <v/>
      </c>
      <c r="I260" s="135" t="str">
        <f>IF(A260&lt;&gt;"",maxAxial(A260,3,2),"")</f>
        <v/>
      </c>
    </row>
    <row r="261" spans="2:9" x14ac:dyDescent="0.3">
      <c r="B261" s="135" t="str">
        <f>IF('Girder Bracing Data'!A261&lt;&gt;"",'Girder Bracing Data'!A261,"")</f>
        <v/>
      </c>
      <c r="C261" s="135" t="str">
        <f t="shared" si="6"/>
        <v/>
      </c>
      <c r="D261" s="135" t="str">
        <f>IF(A261&lt;&gt;"",maxAxial(A261,1,1),"")</f>
        <v/>
      </c>
      <c r="E261" s="135" t="str">
        <f>IF(A261&lt;&gt;"",maxAxial(A261,2,1),"")</f>
        <v/>
      </c>
      <c r="F261" s="135" t="str">
        <f>IF(A261&lt;&gt;"",maxAxial(A261,3,1),"")</f>
        <v/>
      </c>
      <c r="G261" s="135" t="str">
        <f>IF(A261&lt;&gt;"",maxAxial(A261,1,2),"")</f>
        <v/>
      </c>
      <c r="H261" s="135" t="str">
        <f>IF(A261&lt;&gt;"",maxAxial(A261,2,2),"")</f>
        <v/>
      </c>
      <c r="I261" s="135" t="str">
        <f>IF(A261&lt;&gt;"",maxAxial(A261,3,2),"")</f>
        <v/>
      </c>
    </row>
    <row r="262" spans="2:9" x14ac:dyDescent="0.3">
      <c r="B262" s="135" t="str">
        <f>IF('Girder Bracing Data'!A262&lt;&gt;"",'Girder Bracing Data'!A262,"")</f>
        <v/>
      </c>
      <c r="C262" s="135" t="str">
        <f t="shared" si="6"/>
        <v/>
      </c>
      <c r="D262" s="135" t="str">
        <f>IF(A262&lt;&gt;"",maxAxial(A262,1,1),"")</f>
        <v/>
      </c>
      <c r="E262" s="135" t="str">
        <f>IF(A262&lt;&gt;"",maxAxial(A262,2,1),"")</f>
        <v/>
      </c>
      <c r="F262" s="135" t="str">
        <f>IF(A262&lt;&gt;"",maxAxial(A262,3,1),"")</f>
        <v/>
      </c>
      <c r="G262" s="135" t="str">
        <f>IF(A262&lt;&gt;"",maxAxial(A262,1,2),"")</f>
        <v/>
      </c>
      <c r="H262" s="135" t="str">
        <f>IF(A262&lt;&gt;"",maxAxial(A262,2,2),"")</f>
        <v/>
      </c>
      <c r="I262" s="135" t="str">
        <f>IF(A262&lt;&gt;"",maxAxial(A262,3,2),"")</f>
        <v/>
      </c>
    </row>
    <row r="263" spans="2:9" x14ac:dyDescent="0.3">
      <c r="B263" s="135" t="str">
        <f>IF('Girder Bracing Data'!A263&lt;&gt;"",'Girder Bracing Data'!A263,"")</f>
        <v/>
      </c>
      <c r="C263" s="135" t="str">
        <f t="shared" si="6"/>
        <v/>
      </c>
      <c r="D263" s="135" t="str">
        <f>IF(A263&lt;&gt;"",maxAxial(A263,1,1),"")</f>
        <v/>
      </c>
      <c r="E263" s="135" t="str">
        <f>IF(A263&lt;&gt;"",maxAxial(A263,2,1),"")</f>
        <v/>
      </c>
      <c r="F263" s="135" t="str">
        <f>IF(A263&lt;&gt;"",maxAxial(A263,3,1),"")</f>
        <v/>
      </c>
      <c r="G263" s="135" t="str">
        <f>IF(A263&lt;&gt;"",maxAxial(A263,1,2),"")</f>
        <v/>
      </c>
      <c r="H263" s="135" t="str">
        <f>IF(A263&lt;&gt;"",maxAxial(A263,2,2),"")</f>
        <v/>
      </c>
      <c r="I263" s="135" t="str">
        <f>IF(A263&lt;&gt;"",maxAxial(A263,3,2),"")</f>
        <v/>
      </c>
    </row>
    <row r="264" spans="2:9" x14ac:dyDescent="0.3">
      <c r="B264" s="135" t="str">
        <f>IF('Girder Bracing Data'!A264&lt;&gt;"",'Girder Bracing Data'!A264,"")</f>
        <v/>
      </c>
      <c r="C264" s="135" t="str">
        <f t="shared" si="6"/>
        <v/>
      </c>
      <c r="D264" s="135" t="str">
        <f>IF(A264&lt;&gt;"",maxAxial(A264,1,1),"")</f>
        <v/>
      </c>
      <c r="E264" s="135" t="str">
        <f>IF(A264&lt;&gt;"",maxAxial(A264,2,1),"")</f>
        <v/>
      </c>
      <c r="F264" s="135" t="str">
        <f>IF(A264&lt;&gt;"",maxAxial(A264,3,1),"")</f>
        <v/>
      </c>
      <c r="G264" s="135" t="str">
        <f>IF(A264&lt;&gt;"",maxAxial(A264,1,2),"")</f>
        <v/>
      </c>
      <c r="H264" s="135" t="str">
        <f>IF(A264&lt;&gt;"",maxAxial(A264,2,2),"")</f>
        <v/>
      </c>
      <c r="I264" s="135" t="str">
        <f>IF(A264&lt;&gt;"",maxAxial(A264,3,2),"")</f>
        <v/>
      </c>
    </row>
    <row r="265" spans="2:9" x14ac:dyDescent="0.3">
      <c r="B265" s="135" t="str">
        <f>IF('Girder Bracing Data'!A265&lt;&gt;"",'Girder Bracing Data'!A265,"")</f>
        <v/>
      </c>
      <c r="C265" s="135" t="str">
        <f t="shared" si="6"/>
        <v/>
      </c>
      <c r="D265" s="135" t="str">
        <f>IF(A265&lt;&gt;"",maxAxial(A265,1,1),"")</f>
        <v/>
      </c>
      <c r="E265" s="135" t="str">
        <f>IF(A265&lt;&gt;"",maxAxial(A265,2,1),"")</f>
        <v/>
      </c>
      <c r="F265" s="135" t="str">
        <f>IF(A265&lt;&gt;"",maxAxial(A265,3,1),"")</f>
        <v/>
      </c>
      <c r="G265" s="135" t="str">
        <f>IF(A265&lt;&gt;"",maxAxial(A265,1,2),"")</f>
        <v/>
      </c>
      <c r="H265" s="135" t="str">
        <f>IF(A265&lt;&gt;"",maxAxial(A265,2,2),"")</f>
        <v/>
      </c>
      <c r="I265" s="135" t="str">
        <f>IF(A265&lt;&gt;"",maxAxial(A265,3,2),"")</f>
        <v/>
      </c>
    </row>
    <row r="266" spans="2:9" x14ac:dyDescent="0.3">
      <c r="B266" s="135" t="str">
        <f>IF('Girder Bracing Data'!A266&lt;&gt;"",'Girder Bracing Data'!A266,"")</f>
        <v/>
      </c>
      <c r="C266" s="135" t="str">
        <f t="shared" si="6"/>
        <v/>
      </c>
      <c r="D266" s="135" t="str">
        <f>IF(A266&lt;&gt;"",maxAxial(A266,1,1),"")</f>
        <v/>
      </c>
      <c r="E266" s="135" t="str">
        <f>IF(A266&lt;&gt;"",maxAxial(A266,2,1),"")</f>
        <v/>
      </c>
      <c r="F266" s="135" t="str">
        <f>IF(A266&lt;&gt;"",maxAxial(A266,3,1),"")</f>
        <v/>
      </c>
      <c r="G266" s="135" t="str">
        <f>IF(A266&lt;&gt;"",maxAxial(A266,1,2),"")</f>
        <v/>
      </c>
      <c r="H266" s="135" t="str">
        <f>IF(A266&lt;&gt;"",maxAxial(A266,2,2),"")</f>
        <v/>
      </c>
      <c r="I266" s="135" t="str">
        <f>IF(A266&lt;&gt;"",maxAxial(A266,3,2),"")</f>
        <v/>
      </c>
    </row>
    <row r="267" spans="2:9" x14ac:dyDescent="0.3">
      <c r="B267" s="135" t="str">
        <f>IF('Girder Bracing Data'!A267&lt;&gt;"",'Girder Bracing Data'!A267,"")</f>
        <v/>
      </c>
      <c r="C267" s="135" t="str">
        <f t="shared" si="6"/>
        <v/>
      </c>
      <c r="D267" s="135" t="str">
        <f>IF(A267&lt;&gt;"",maxAxial(A267,1,1),"")</f>
        <v/>
      </c>
      <c r="E267" s="135" t="str">
        <f>IF(A267&lt;&gt;"",maxAxial(A267,2,1),"")</f>
        <v/>
      </c>
      <c r="F267" s="135" t="str">
        <f>IF(A267&lt;&gt;"",maxAxial(A267,3,1),"")</f>
        <v/>
      </c>
      <c r="G267" s="135" t="str">
        <f>IF(A267&lt;&gt;"",maxAxial(A267,1,2),"")</f>
        <v/>
      </c>
      <c r="H267" s="135" t="str">
        <f>IF(A267&lt;&gt;"",maxAxial(A267,2,2),"")</f>
        <v/>
      </c>
      <c r="I267" s="135" t="str">
        <f>IF(A267&lt;&gt;"",maxAxial(A267,3,2),"")</f>
        <v/>
      </c>
    </row>
    <row r="268" spans="2:9" x14ac:dyDescent="0.3">
      <c r="B268" s="135" t="str">
        <f>IF('Girder Bracing Data'!A268&lt;&gt;"",'Girder Bracing Data'!A268,"")</f>
        <v/>
      </c>
      <c r="C268" s="135" t="str">
        <f t="shared" si="6"/>
        <v/>
      </c>
      <c r="D268" s="135" t="str">
        <f>IF(A268&lt;&gt;"",maxAxial(A268,1,1),"")</f>
        <v/>
      </c>
      <c r="E268" s="135" t="str">
        <f>IF(A268&lt;&gt;"",maxAxial(A268,2,1),"")</f>
        <v/>
      </c>
      <c r="F268" s="135" t="str">
        <f>IF(A268&lt;&gt;"",maxAxial(A268,3,1),"")</f>
        <v/>
      </c>
      <c r="G268" s="135" t="str">
        <f>IF(A268&lt;&gt;"",maxAxial(A268,1,2),"")</f>
        <v/>
      </c>
      <c r="H268" s="135" t="str">
        <f>IF(A268&lt;&gt;"",maxAxial(A268,2,2),"")</f>
        <v/>
      </c>
      <c r="I268" s="135" t="str">
        <f>IF(A268&lt;&gt;"",maxAxial(A268,3,2),"")</f>
        <v/>
      </c>
    </row>
    <row r="269" spans="2:9" x14ac:dyDescent="0.3">
      <c r="B269" s="135" t="str">
        <f>IF('Girder Bracing Data'!A269&lt;&gt;"",'Girder Bracing Data'!A269,"")</f>
        <v/>
      </c>
      <c r="C269" s="135" t="str">
        <f t="shared" si="6"/>
        <v/>
      </c>
      <c r="D269" s="135" t="str">
        <f>IF(A269&lt;&gt;"",maxAxial(A269,1,1),"")</f>
        <v/>
      </c>
      <c r="E269" s="135" t="str">
        <f>IF(A269&lt;&gt;"",maxAxial(A269,2,1),"")</f>
        <v/>
      </c>
      <c r="F269" s="135" t="str">
        <f>IF(A269&lt;&gt;"",maxAxial(A269,3,1),"")</f>
        <v/>
      </c>
      <c r="G269" s="135" t="str">
        <f>IF(A269&lt;&gt;"",maxAxial(A269,1,2),"")</f>
        <v/>
      </c>
      <c r="H269" s="135" t="str">
        <f>IF(A269&lt;&gt;"",maxAxial(A269,2,2),"")</f>
        <v/>
      </c>
      <c r="I269" s="135" t="str">
        <f>IF(A269&lt;&gt;"",maxAxial(A269,3,2),"")</f>
        <v/>
      </c>
    </row>
    <row r="270" spans="2:9" x14ac:dyDescent="0.3">
      <c r="B270" s="135" t="str">
        <f>IF('Girder Bracing Data'!A270&lt;&gt;"",'Girder Bracing Data'!A270,"")</f>
        <v/>
      </c>
      <c r="C270" s="135" t="str">
        <f t="shared" si="6"/>
        <v/>
      </c>
      <c r="D270" s="135" t="str">
        <f>IF(A270&lt;&gt;"",maxAxial(A270,1,1),"")</f>
        <v/>
      </c>
      <c r="E270" s="135" t="str">
        <f>IF(A270&lt;&gt;"",maxAxial(A270,2,1),"")</f>
        <v/>
      </c>
      <c r="F270" s="135" t="str">
        <f>IF(A270&lt;&gt;"",maxAxial(A270,3,1),"")</f>
        <v/>
      </c>
      <c r="G270" s="135" t="str">
        <f>IF(A270&lt;&gt;"",maxAxial(A270,1,2),"")</f>
        <v/>
      </c>
      <c r="H270" s="135" t="str">
        <f>IF(A270&lt;&gt;"",maxAxial(A270,2,2),"")</f>
        <v/>
      </c>
      <c r="I270" s="135" t="str">
        <f>IF(A270&lt;&gt;"",maxAxial(A270,3,2),"")</f>
        <v/>
      </c>
    </row>
    <row r="271" spans="2:9" x14ac:dyDescent="0.3">
      <c r="B271" s="135" t="str">
        <f>IF('Girder Bracing Data'!A271&lt;&gt;"",'Girder Bracing Data'!A271,"")</f>
        <v/>
      </c>
      <c r="C271" s="135" t="str">
        <f t="shared" si="6"/>
        <v/>
      </c>
      <c r="D271" s="135" t="str">
        <f>IF(A271&lt;&gt;"",maxAxial(A271,1,1),"")</f>
        <v/>
      </c>
      <c r="E271" s="135" t="str">
        <f>IF(A271&lt;&gt;"",maxAxial(A271,2,1),"")</f>
        <v/>
      </c>
      <c r="F271" s="135" t="str">
        <f>IF(A271&lt;&gt;"",maxAxial(A271,3,1),"")</f>
        <v/>
      </c>
      <c r="G271" s="135" t="str">
        <f>IF(A271&lt;&gt;"",maxAxial(A271,1,2),"")</f>
        <v/>
      </c>
      <c r="H271" s="135" t="str">
        <f>IF(A271&lt;&gt;"",maxAxial(A271,2,2),"")</f>
        <v/>
      </c>
      <c r="I271" s="135" t="str">
        <f>IF(A271&lt;&gt;"",maxAxial(A271,3,2),"")</f>
        <v/>
      </c>
    </row>
    <row r="272" spans="2:9" x14ac:dyDescent="0.3">
      <c r="B272" s="135" t="str">
        <f>IF('Girder Bracing Data'!A272&lt;&gt;"",'Girder Bracing Data'!A272,"")</f>
        <v/>
      </c>
      <c r="C272" s="135" t="str">
        <f t="shared" si="6"/>
        <v/>
      </c>
      <c r="D272" s="135" t="str">
        <f>IF(A272&lt;&gt;"",maxAxial(A272,1,1),"")</f>
        <v/>
      </c>
      <c r="E272" s="135" t="str">
        <f>IF(A272&lt;&gt;"",maxAxial(A272,2,1),"")</f>
        <v/>
      </c>
      <c r="F272" s="135" t="str">
        <f>IF(A272&lt;&gt;"",maxAxial(A272,3,1),"")</f>
        <v/>
      </c>
      <c r="G272" s="135" t="str">
        <f>IF(A272&lt;&gt;"",maxAxial(A272,1,2),"")</f>
        <v/>
      </c>
      <c r="H272" s="135" t="str">
        <f>IF(A272&lt;&gt;"",maxAxial(A272,2,2),"")</f>
        <v/>
      </c>
      <c r="I272" s="135" t="str">
        <f>IF(A272&lt;&gt;"",maxAxial(A272,3,2),"")</f>
        <v/>
      </c>
    </row>
    <row r="273" spans="2:9" x14ac:dyDescent="0.3">
      <c r="B273" s="135" t="str">
        <f>IF('Girder Bracing Data'!A273&lt;&gt;"",'Girder Bracing Data'!A273,"")</f>
        <v/>
      </c>
      <c r="C273" s="135" t="str">
        <f t="shared" si="6"/>
        <v/>
      </c>
      <c r="D273" s="135" t="str">
        <f>IF(A273&lt;&gt;"",maxAxial(A273,1,1),"")</f>
        <v/>
      </c>
      <c r="E273" s="135" t="str">
        <f>IF(A273&lt;&gt;"",maxAxial(A273,2,1),"")</f>
        <v/>
      </c>
      <c r="F273" s="135" t="str">
        <f>IF(A273&lt;&gt;"",maxAxial(A273,3,1),"")</f>
        <v/>
      </c>
      <c r="G273" s="135" t="str">
        <f>IF(A273&lt;&gt;"",maxAxial(A273,1,2),"")</f>
        <v/>
      </c>
      <c r="H273" s="135" t="str">
        <f>IF(A273&lt;&gt;"",maxAxial(A273,2,2),"")</f>
        <v/>
      </c>
      <c r="I273" s="135" t="str">
        <f>IF(A273&lt;&gt;"",maxAxial(A273,3,2),"")</f>
        <v/>
      </c>
    </row>
    <row r="274" spans="2:9" x14ac:dyDescent="0.3">
      <c r="B274" s="135" t="str">
        <f>IF('Girder Bracing Data'!A274&lt;&gt;"",'Girder Bracing Data'!A274,"")</f>
        <v/>
      </c>
      <c r="C274" s="135" t="str">
        <f t="shared" si="6"/>
        <v/>
      </c>
      <c r="D274" s="135" t="str">
        <f>IF(A274&lt;&gt;"",maxAxial(A274,1,1),"")</f>
        <v/>
      </c>
      <c r="E274" s="135" t="str">
        <f>IF(A274&lt;&gt;"",maxAxial(A274,2,1),"")</f>
        <v/>
      </c>
      <c r="F274" s="135" t="str">
        <f>IF(A274&lt;&gt;"",maxAxial(A274,3,1),"")</f>
        <v/>
      </c>
      <c r="G274" s="135" t="str">
        <f>IF(A274&lt;&gt;"",maxAxial(A274,1,2),"")</f>
        <v/>
      </c>
      <c r="H274" s="135" t="str">
        <f>IF(A274&lt;&gt;"",maxAxial(A274,2,2),"")</f>
        <v/>
      </c>
      <c r="I274" s="135" t="str">
        <f>IF(A274&lt;&gt;"",maxAxial(A274,3,2),"")</f>
        <v/>
      </c>
    </row>
    <row r="275" spans="2:9" x14ac:dyDescent="0.3">
      <c r="B275" s="135" t="str">
        <f>IF('Girder Bracing Data'!A275&lt;&gt;"",'Girder Bracing Data'!A275,"")</f>
        <v/>
      </c>
      <c r="C275" s="135" t="str">
        <f t="shared" si="6"/>
        <v/>
      </c>
      <c r="D275" s="135" t="str">
        <f>IF(A275&lt;&gt;"",maxAxial(A275,1,1),"")</f>
        <v/>
      </c>
      <c r="E275" s="135" t="str">
        <f>IF(A275&lt;&gt;"",maxAxial(A275,2,1),"")</f>
        <v/>
      </c>
      <c r="F275" s="135" t="str">
        <f>IF(A275&lt;&gt;"",maxAxial(A275,3,1),"")</f>
        <v/>
      </c>
      <c r="G275" s="135" t="str">
        <f>IF(A275&lt;&gt;"",maxAxial(A275,1,2),"")</f>
        <v/>
      </c>
      <c r="H275" s="135" t="str">
        <f>IF(A275&lt;&gt;"",maxAxial(A275,2,2),"")</f>
        <v/>
      </c>
      <c r="I275" s="135" t="str">
        <f>IF(A275&lt;&gt;"",maxAxial(A275,3,2),"")</f>
        <v/>
      </c>
    </row>
    <row r="276" spans="2:9" x14ac:dyDescent="0.3">
      <c r="B276" s="135" t="str">
        <f>IF('Girder Bracing Data'!A276&lt;&gt;"",'Girder Bracing Data'!A276,"")</f>
        <v/>
      </c>
      <c r="C276" s="135" t="str">
        <f t="shared" si="6"/>
        <v/>
      </c>
      <c r="D276" s="135" t="str">
        <f>IF(A276&lt;&gt;"",maxAxial(A276,1,1),"")</f>
        <v/>
      </c>
      <c r="E276" s="135" t="str">
        <f>IF(A276&lt;&gt;"",maxAxial(A276,2,1),"")</f>
        <v/>
      </c>
      <c r="F276" s="135" t="str">
        <f>IF(A276&lt;&gt;"",maxAxial(A276,3,1),"")</f>
        <v/>
      </c>
      <c r="G276" s="135" t="str">
        <f>IF(A276&lt;&gt;"",maxAxial(A276,1,2),"")</f>
        <v/>
      </c>
      <c r="H276" s="135" t="str">
        <f>IF(A276&lt;&gt;"",maxAxial(A276,2,2),"")</f>
        <v/>
      </c>
      <c r="I276" s="135" t="str">
        <f>IF(A276&lt;&gt;"",maxAxial(A276,3,2),"")</f>
        <v/>
      </c>
    </row>
    <row r="277" spans="2:9" x14ac:dyDescent="0.3">
      <c r="B277" s="135" t="str">
        <f>IF('Girder Bracing Data'!A277&lt;&gt;"",'Girder Bracing Data'!A277,"")</f>
        <v/>
      </c>
      <c r="C277" s="135" t="str">
        <f t="shared" si="6"/>
        <v/>
      </c>
      <c r="D277" s="135" t="str">
        <f>IF(A277&lt;&gt;"",maxAxial(A277,1,1),"")</f>
        <v/>
      </c>
      <c r="E277" s="135" t="str">
        <f>IF(A277&lt;&gt;"",maxAxial(A277,2,1),"")</f>
        <v/>
      </c>
      <c r="F277" s="135" t="str">
        <f>IF(A277&lt;&gt;"",maxAxial(A277,3,1),"")</f>
        <v/>
      </c>
      <c r="G277" s="135" t="str">
        <f>IF(A277&lt;&gt;"",maxAxial(A277,1,2),"")</f>
        <v/>
      </c>
      <c r="H277" s="135" t="str">
        <f>IF(A277&lt;&gt;"",maxAxial(A277,2,2),"")</f>
        <v/>
      </c>
      <c r="I277" s="135" t="str">
        <f>IF(A277&lt;&gt;"",maxAxial(A277,3,2),"")</f>
        <v/>
      </c>
    </row>
    <row r="278" spans="2:9" x14ac:dyDescent="0.3">
      <c r="B278" s="135" t="str">
        <f>IF('Girder Bracing Data'!A278&lt;&gt;"",'Girder Bracing Data'!A278,"")</f>
        <v/>
      </c>
      <c r="C278" s="135" t="str">
        <f t="shared" si="6"/>
        <v/>
      </c>
      <c r="D278" s="135" t="str">
        <f>IF(A278&lt;&gt;"",maxAxial(A278,1,1),"")</f>
        <v/>
      </c>
      <c r="E278" s="135" t="str">
        <f>IF(A278&lt;&gt;"",maxAxial(A278,2,1),"")</f>
        <v/>
      </c>
      <c r="F278" s="135" t="str">
        <f>IF(A278&lt;&gt;"",maxAxial(A278,3,1),"")</f>
        <v/>
      </c>
      <c r="G278" s="135" t="str">
        <f>IF(A278&lt;&gt;"",maxAxial(A278,1,2),"")</f>
        <v/>
      </c>
      <c r="H278" s="135" t="str">
        <f>IF(A278&lt;&gt;"",maxAxial(A278,2,2),"")</f>
        <v/>
      </c>
      <c r="I278" s="135" t="str">
        <f>IF(A278&lt;&gt;"",maxAxial(A278,3,2),"")</f>
        <v/>
      </c>
    </row>
    <row r="279" spans="2:9" x14ac:dyDescent="0.3">
      <c r="B279" s="135" t="str">
        <f>IF('Girder Bracing Data'!A279&lt;&gt;"",'Girder Bracing Data'!A279,"")</f>
        <v/>
      </c>
      <c r="C279" s="135" t="str">
        <f t="shared" si="6"/>
        <v/>
      </c>
      <c r="D279" s="135" t="str">
        <f>IF(A279&lt;&gt;"",maxAxial(A279,1,1),"")</f>
        <v/>
      </c>
      <c r="E279" s="135" t="str">
        <f>IF(A279&lt;&gt;"",maxAxial(A279,2,1),"")</f>
        <v/>
      </c>
      <c r="F279" s="135" t="str">
        <f>IF(A279&lt;&gt;"",maxAxial(A279,3,1),"")</f>
        <v/>
      </c>
      <c r="G279" s="135" t="str">
        <f>IF(A279&lt;&gt;"",maxAxial(A279,1,2),"")</f>
        <v/>
      </c>
      <c r="H279" s="135" t="str">
        <f>IF(A279&lt;&gt;"",maxAxial(A279,2,2),"")</f>
        <v/>
      </c>
      <c r="I279" s="135" t="str">
        <f>IF(A279&lt;&gt;"",maxAxial(A279,3,2),"")</f>
        <v/>
      </c>
    </row>
    <row r="280" spans="2:9" x14ac:dyDescent="0.3">
      <c r="B280" s="135" t="str">
        <f>IF('Girder Bracing Data'!A280&lt;&gt;"",'Girder Bracing Data'!A280,"")</f>
        <v/>
      </c>
      <c r="C280" s="135" t="str">
        <f t="shared" si="6"/>
        <v/>
      </c>
      <c r="D280" s="135" t="str">
        <f>IF(A280&lt;&gt;"",maxAxial(A280,1,1),"")</f>
        <v/>
      </c>
      <c r="E280" s="135" t="str">
        <f>IF(A280&lt;&gt;"",maxAxial(A280,2,1),"")</f>
        <v/>
      </c>
      <c r="F280" s="135" t="str">
        <f>IF(A280&lt;&gt;"",maxAxial(A280,3,1),"")</f>
        <v/>
      </c>
      <c r="G280" s="135" t="str">
        <f>IF(A280&lt;&gt;"",maxAxial(A280,1,2),"")</f>
        <v/>
      </c>
      <c r="H280" s="135" t="str">
        <f>IF(A280&lt;&gt;"",maxAxial(A280,2,2),"")</f>
        <v/>
      </c>
      <c r="I280" s="135" t="str">
        <f>IF(A280&lt;&gt;"",maxAxial(A280,3,2),"")</f>
        <v/>
      </c>
    </row>
    <row r="281" spans="2:9" x14ac:dyDescent="0.3">
      <c r="B281" s="135" t="str">
        <f>IF('Girder Bracing Data'!A281&lt;&gt;"",'Girder Bracing Data'!A281,"")</f>
        <v/>
      </c>
      <c r="C281" s="135" t="str">
        <f t="shared" si="6"/>
        <v/>
      </c>
      <c r="D281" s="135" t="str">
        <f>IF(A281&lt;&gt;"",maxAxial(A281,1,1),"")</f>
        <v/>
      </c>
      <c r="E281" s="135" t="str">
        <f>IF(A281&lt;&gt;"",maxAxial(A281,2,1),"")</f>
        <v/>
      </c>
      <c r="F281" s="135" t="str">
        <f>IF(A281&lt;&gt;"",maxAxial(A281,3,1),"")</f>
        <v/>
      </c>
      <c r="G281" s="135" t="str">
        <f>IF(A281&lt;&gt;"",maxAxial(A281,1,2),"")</f>
        <v/>
      </c>
      <c r="H281" s="135" t="str">
        <f>IF(A281&lt;&gt;"",maxAxial(A281,2,2),"")</f>
        <v/>
      </c>
      <c r="I281" s="135" t="str">
        <f>IF(A281&lt;&gt;"",maxAxial(A281,3,2),"")</f>
        <v/>
      </c>
    </row>
    <row r="282" spans="2:9" x14ac:dyDescent="0.3">
      <c r="B282" s="135" t="str">
        <f>IF('Girder Bracing Data'!A282&lt;&gt;"",'Girder Bracing Data'!A282,"")</f>
        <v/>
      </c>
      <c r="C282" s="135" t="str">
        <f t="shared" si="6"/>
        <v/>
      </c>
      <c r="D282" s="135" t="str">
        <f>IF(A282&lt;&gt;"",maxAxial(A282,1,1),"")</f>
        <v/>
      </c>
      <c r="E282" s="135" t="str">
        <f>IF(A282&lt;&gt;"",maxAxial(A282,2,1),"")</f>
        <v/>
      </c>
      <c r="F282" s="135" t="str">
        <f>IF(A282&lt;&gt;"",maxAxial(A282,3,1),"")</f>
        <v/>
      </c>
      <c r="G282" s="135" t="str">
        <f>IF(A282&lt;&gt;"",maxAxial(A282,1,2),"")</f>
        <v/>
      </c>
      <c r="H282" s="135" t="str">
        <f>IF(A282&lt;&gt;"",maxAxial(A282,2,2),"")</f>
        <v/>
      </c>
      <c r="I282" s="135" t="str">
        <f>IF(A282&lt;&gt;"",maxAxial(A282,3,2),"")</f>
        <v/>
      </c>
    </row>
    <row r="283" spans="2:9" x14ac:dyDescent="0.3">
      <c r="B283" s="135" t="str">
        <f>IF('Girder Bracing Data'!A283&lt;&gt;"",'Girder Bracing Data'!A283,"")</f>
        <v/>
      </c>
      <c r="C283" s="135" t="str">
        <f t="shared" si="6"/>
        <v/>
      </c>
      <c r="D283" s="135" t="str">
        <f>IF(A283&lt;&gt;"",maxAxial(A283,1,1),"")</f>
        <v/>
      </c>
      <c r="E283" s="135" t="str">
        <f>IF(A283&lt;&gt;"",maxAxial(A283,2,1),"")</f>
        <v/>
      </c>
      <c r="F283" s="135" t="str">
        <f>IF(A283&lt;&gt;"",maxAxial(A283,3,1),"")</f>
        <v/>
      </c>
      <c r="G283" s="135" t="str">
        <f>IF(A283&lt;&gt;"",maxAxial(A283,1,2),"")</f>
        <v/>
      </c>
      <c r="H283" s="135" t="str">
        <f>IF(A283&lt;&gt;"",maxAxial(A283,2,2),"")</f>
        <v/>
      </c>
      <c r="I283" s="135" t="str">
        <f>IF(A283&lt;&gt;"",maxAxial(A283,3,2),"")</f>
        <v/>
      </c>
    </row>
    <row r="284" spans="2:9" x14ac:dyDescent="0.3">
      <c r="B284" s="135" t="str">
        <f>IF('Girder Bracing Data'!A284&lt;&gt;"",'Girder Bracing Data'!A284,"")</f>
        <v/>
      </c>
      <c r="C284" s="135" t="str">
        <f t="shared" si="6"/>
        <v/>
      </c>
      <c r="D284" s="135" t="str">
        <f>IF(A284&lt;&gt;"",maxAxial(A284,1,1),"")</f>
        <v/>
      </c>
      <c r="E284" s="135" t="str">
        <f>IF(A284&lt;&gt;"",maxAxial(A284,2,1),"")</f>
        <v/>
      </c>
      <c r="F284" s="135" t="str">
        <f>IF(A284&lt;&gt;"",maxAxial(A284,3,1),"")</f>
        <v/>
      </c>
      <c r="G284" s="135" t="str">
        <f>IF(A284&lt;&gt;"",maxAxial(A284,1,2),"")</f>
        <v/>
      </c>
      <c r="H284" s="135" t="str">
        <f>IF(A284&lt;&gt;"",maxAxial(A284,2,2),"")</f>
        <v/>
      </c>
      <c r="I284" s="135" t="str">
        <f>IF(A284&lt;&gt;"",maxAxial(A284,3,2),"")</f>
        <v/>
      </c>
    </row>
    <row r="285" spans="2:9" x14ac:dyDescent="0.3">
      <c r="B285" s="135" t="str">
        <f>IF('Girder Bracing Data'!A285&lt;&gt;"",'Girder Bracing Data'!A285,"")</f>
        <v/>
      </c>
      <c r="C285" s="135" t="str">
        <f t="shared" si="6"/>
        <v/>
      </c>
      <c r="D285" s="135" t="str">
        <f>IF(A285&lt;&gt;"",maxAxial(A285,1,1),"")</f>
        <v/>
      </c>
      <c r="E285" s="135" t="str">
        <f>IF(A285&lt;&gt;"",maxAxial(A285,2,1),"")</f>
        <v/>
      </c>
      <c r="F285" s="135" t="str">
        <f>IF(A285&lt;&gt;"",maxAxial(A285,3,1),"")</f>
        <v/>
      </c>
      <c r="G285" s="135" t="str">
        <f>IF(A285&lt;&gt;"",maxAxial(A285,1,2),"")</f>
        <v/>
      </c>
      <c r="H285" s="135" t="str">
        <f>IF(A285&lt;&gt;"",maxAxial(A285,2,2),"")</f>
        <v/>
      </c>
      <c r="I285" s="135" t="str">
        <f>IF(A285&lt;&gt;"",maxAxial(A285,3,2),"")</f>
        <v/>
      </c>
    </row>
    <row r="286" spans="2:9" x14ac:dyDescent="0.3">
      <c r="B286" s="135" t="str">
        <f>IF('Girder Bracing Data'!A286&lt;&gt;"",'Girder Bracing Data'!A286,"")</f>
        <v/>
      </c>
      <c r="C286" s="135" t="str">
        <f t="shared" si="6"/>
        <v/>
      </c>
      <c r="D286" s="135" t="str">
        <f>IF(A286&lt;&gt;"",maxAxial(A286,1,1),"")</f>
        <v/>
      </c>
      <c r="E286" s="135" t="str">
        <f>IF(A286&lt;&gt;"",maxAxial(A286,2,1),"")</f>
        <v/>
      </c>
      <c r="F286" s="135" t="str">
        <f>IF(A286&lt;&gt;"",maxAxial(A286,3,1),"")</f>
        <v/>
      </c>
      <c r="G286" s="135" t="str">
        <f>IF(A286&lt;&gt;"",maxAxial(A286,1,2),"")</f>
        <v/>
      </c>
      <c r="H286" s="135" t="str">
        <f>IF(A286&lt;&gt;"",maxAxial(A286,2,2),"")</f>
        <v/>
      </c>
      <c r="I286" s="135" t="str">
        <f>IF(A286&lt;&gt;"",maxAxial(A286,3,2),"")</f>
        <v/>
      </c>
    </row>
    <row r="287" spans="2:9" x14ac:dyDescent="0.3">
      <c r="B287" s="135" t="str">
        <f>IF('Girder Bracing Data'!A287&lt;&gt;"",'Girder Bracing Data'!A287,"")</f>
        <v/>
      </c>
      <c r="C287" s="135" t="str">
        <f t="shared" si="6"/>
        <v/>
      </c>
      <c r="D287" s="135" t="str">
        <f>IF(A287&lt;&gt;"",maxAxial(A287,1,1),"")</f>
        <v/>
      </c>
      <c r="E287" s="135" t="str">
        <f>IF(A287&lt;&gt;"",maxAxial(A287,2,1),"")</f>
        <v/>
      </c>
      <c r="F287" s="135" t="str">
        <f>IF(A287&lt;&gt;"",maxAxial(A287,3,1),"")</f>
        <v/>
      </c>
      <c r="G287" s="135" t="str">
        <f>IF(A287&lt;&gt;"",maxAxial(A287,1,2),"")</f>
        <v/>
      </c>
      <c r="H287" s="135" t="str">
        <f>IF(A287&lt;&gt;"",maxAxial(A287,2,2),"")</f>
        <v/>
      </c>
      <c r="I287" s="135" t="str">
        <f>IF(A287&lt;&gt;"",maxAxial(A287,3,2),"")</f>
        <v/>
      </c>
    </row>
    <row r="288" spans="2:9" x14ac:dyDescent="0.3">
      <c r="B288" s="135" t="str">
        <f>IF('Girder Bracing Data'!A288&lt;&gt;"",'Girder Bracing Data'!A288,"")</f>
        <v/>
      </c>
      <c r="C288" s="135" t="str">
        <f t="shared" si="6"/>
        <v/>
      </c>
      <c r="D288" s="135" t="str">
        <f>IF(A288&lt;&gt;"",maxAxial(A288,1,1),"")</f>
        <v/>
      </c>
      <c r="E288" s="135" t="str">
        <f>IF(A288&lt;&gt;"",maxAxial(A288,2,1),"")</f>
        <v/>
      </c>
      <c r="F288" s="135" t="str">
        <f>IF(A288&lt;&gt;"",maxAxial(A288,3,1),"")</f>
        <v/>
      </c>
      <c r="G288" s="135" t="str">
        <f>IF(A288&lt;&gt;"",maxAxial(A288,1,2),"")</f>
        <v/>
      </c>
      <c r="H288" s="135" t="str">
        <f>IF(A288&lt;&gt;"",maxAxial(A288,2,2),"")</f>
        <v/>
      </c>
      <c r="I288" s="135" t="str">
        <f>IF(A288&lt;&gt;"",maxAxial(A288,3,2),"")</f>
        <v/>
      </c>
    </row>
    <row r="289" spans="2:9" x14ac:dyDescent="0.3">
      <c r="B289" s="135" t="str">
        <f>IF('Girder Bracing Data'!A289&lt;&gt;"",'Girder Bracing Data'!A289,"")</f>
        <v/>
      </c>
      <c r="C289" s="135" t="str">
        <f t="shared" si="6"/>
        <v/>
      </c>
      <c r="D289" s="135" t="str">
        <f>IF(A289&lt;&gt;"",maxAxial(A289,1,1),"")</f>
        <v/>
      </c>
      <c r="E289" s="135" t="str">
        <f>IF(A289&lt;&gt;"",maxAxial(A289,2,1),"")</f>
        <v/>
      </c>
      <c r="F289" s="135" t="str">
        <f>IF(A289&lt;&gt;"",maxAxial(A289,3,1),"")</f>
        <v/>
      </c>
      <c r="G289" s="135" t="str">
        <f>IF(A289&lt;&gt;"",maxAxial(A289,1,2),"")</f>
        <v/>
      </c>
      <c r="H289" s="135" t="str">
        <f>IF(A289&lt;&gt;"",maxAxial(A289,2,2),"")</f>
        <v/>
      </c>
      <c r="I289" s="135" t="str">
        <f>IF(A289&lt;&gt;"",maxAxial(A289,3,2),"")</f>
        <v/>
      </c>
    </row>
    <row r="290" spans="2:9" x14ac:dyDescent="0.3">
      <c r="B290" s="135" t="str">
        <f>IF('Girder Bracing Data'!A290&lt;&gt;"",'Girder Bracing Data'!A290,"")</f>
        <v/>
      </c>
      <c r="C290" s="135" t="str">
        <f t="shared" si="6"/>
        <v/>
      </c>
      <c r="D290" s="135" t="str">
        <f>IF(A290&lt;&gt;"",maxAxial(A290,1,1),"")</f>
        <v/>
      </c>
      <c r="E290" s="135" t="str">
        <f>IF(A290&lt;&gt;"",maxAxial(A290,2,1),"")</f>
        <v/>
      </c>
      <c r="F290" s="135" t="str">
        <f>IF(A290&lt;&gt;"",maxAxial(A290,3,1),"")</f>
        <v/>
      </c>
      <c r="G290" s="135" t="str">
        <f>IF(A290&lt;&gt;"",maxAxial(A290,1,2),"")</f>
        <v/>
      </c>
      <c r="H290" s="135" t="str">
        <f>IF(A290&lt;&gt;"",maxAxial(A290,2,2),"")</f>
        <v/>
      </c>
      <c r="I290" s="135" t="str">
        <f>IF(A290&lt;&gt;"",maxAxial(A290,3,2),"")</f>
        <v/>
      </c>
    </row>
    <row r="291" spans="2:9" x14ac:dyDescent="0.3">
      <c r="B291" s="135" t="str">
        <f>IF('Girder Bracing Data'!A291&lt;&gt;"",'Girder Bracing Data'!A291,"")</f>
        <v/>
      </c>
      <c r="C291" s="135" t="str">
        <f t="shared" si="6"/>
        <v/>
      </c>
      <c r="D291" s="135" t="str">
        <f>IF(A291&lt;&gt;"",maxAxial(A291,1,1),"")</f>
        <v/>
      </c>
      <c r="E291" s="135" t="str">
        <f>IF(A291&lt;&gt;"",maxAxial(A291,2,1),"")</f>
        <v/>
      </c>
      <c r="F291" s="135" t="str">
        <f>IF(A291&lt;&gt;"",maxAxial(A291,3,1),"")</f>
        <v/>
      </c>
      <c r="G291" s="135" t="str">
        <f>IF(A291&lt;&gt;"",maxAxial(A291,1,2),"")</f>
        <v/>
      </c>
      <c r="H291" s="135" t="str">
        <f>IF(A291&lt;&gt;"",maxAxial(A291,2,2),"")</f>
        <v/>
      </c>
      <c r="I291" s="135" t="str">
        <f>IF(A291&lt;&gt;"",maxAxial(A291,3,2),"")</f>
        <v/>
      </c>
    </row>
    <row r="292" spans="2:9" x14ac:dyDescent="0.3">
      <c r="B292" s="135" t="str">
        <f>IF('Girder Bracing Data'!A292&lt;&gt;"",'Girder Bracing Data'!A292,"")</f>
        <v/>
      </c>
      <c r="C292" s="135" t="str">
        <f t="shared" si="6"/>
        <v/>
      </c>
      <c r="D292" s="135" t="str">
        <f>IF(A292&lt;&gt;"",maxAxial(A292,1,1),"")</f>
        <v/>
      </c>
      <c r="E292" s="135" t="str">
        <f>IF(A292&lt;&gt;"",maxAxial(A292,2,1),"")</f>
        <v/>
      </c>
      <c r="F292" s="135" t="str">
        <f>IF(A292&lt;&gt;"",maxAxial(A292,3,1),"")</f>
        <v/>
      </c>
      <c r="G292" s="135" t="str">
        <f>IF(A292&lt;&gt;"",maxAxial(A292,1,2),"")</f>
        <v/>
      </c>
      <c r="H292" s="135" t="str">
        <f>IF(A292&lt;&gt;"",maxAxial(A292,2,2),"")</f>
        <v/>
      </c>
      <c r="I292" s="135" t="str">
        <f>IF(A292&lt;&gt;"",maxAxial(A292,3,2),"")</f>
        <v/>
      </c>
    </row>
    <row r="293" spans="2:9" x14ac:dyDescent="0.3">
      <c r="B293" s="135" t="str">
        <f>IF('Girder Bracing Data'!A293&lt;&gt;"",'Girder Bracing Data'!A293,"")</f>
        <v/>
      </c>
      <c r="C293" s="135" t="str">
        <f t="shared" si="6"/>
        <v/>
      </c>
      <c r="D293" s="135" t="str">
        <f>IF(A293&lt;&gt;"",maxAxial(A293,1,1),"")</f>
        <v/>
      </c>
    </row>
    <row r="294" spans="2:9" x14ac:dyDescent="0.3">
      <c r="B294" s="135" t="str">
        <f>IF('Girder Bracing Data'!A294&lt;&gt;"",'Girder Bracing Data'!A294,"")</f>
        <v/>
      </c>
      <c r="C294" s="135" t="str">
        <f t="shared" si="6"/>
        <v/>
      </c>
      <c r="D294" s="135" t="str">
        <f>IF(A294&lt;&gt;"",maxAxial(A294,1,1),"")</f>
        <v/>
      </c>
    </row>
    <row r="295" spans="2:9" x14ac:dyDescent="0.3">
      <c r="B295" s="135" t="str">
        <f>IF('Girder Bracing Data'!A295&lt;&gt;"",'Girder Bracing Data'!A295,"")</f>
        <v/>
      </c>
      <c r="C295" s="135" t="str">
        <f t="shared" si="6"/>
        <v/>
      </c>
      <c r="D295" s="135" t="str">
        <f>IF(A295&lt;&gt;"",maxAxial(A295,1,1),"")</f>
        <v/>
      </c>
    </row>
    <row r="296" spans="2:9" x14ac:dyDescent="0.3">
      <c r="B296" s="135" t="str">
        <f>IF('Girder Bracing Data'!A296&lt;&gt;"",'Girder Bracing Data'!A296,"")</f>
        <v/>
      </c>
      <c r="C296" s="135" t="str">
        <f t="shared" si="6"/>
        <v/>
      </c>
      <c r="D296" s="135" t="str">
        <f>IF(A296&lt;&gt;"",maxAxial(A296,1,1),"")</f>
        <v/>
      </c>
    </row>
    <row r="297" spans="2:9" x14ac:dyDescent="0.3">
      <c r="B297" s="135" t="str">
        <f>IF('Girder Bracing Data'!A297&lt;&gt;"",'Girder Bracing Data'!A297,"")</f>
        <v/>
      </c>
      <c r="C297" s="135" t="str">
        <f t="shared" si="6"/>
        <v/>
      </c>
      <c r="D297" s="135" t="str">
        <f>IF(A297&lt;&gt;"",maxAxial(A297,1,1),"")</f>
        <v/>
      </c>
    </row>
    <row r="298" spans="2:9" x14ac:dyDescent="0.3">
      <c r="B298" s="135" t="str">
        <f>IF('Girder Bracing Data'!A298&lt;&gt;"",'Girder Bracing Data'!A298,"")</f>
        <v/>
      </c>
      <c r="C298" s="135" t="str">
        <f t="shared" si="6"/>
        <v/>
      </c>
      <c r="D298" s="135" t="str">
        <f>IF(A298&lt;&gt;"",maxAxial(A298,1,1),"")</f>
        <v/>
      </c>
    </row>
    <row r="299" spans="2:9" x14ac:dyDescent="0.3">
      <c r="B299" s="135" t="str">
        <f>IF('Girder Bracing Data'!A299&lt;&gt;"",'Girder Bracing Data'!A299,"")</f>
        <v/>
      </c>
      <c r="C299" s="135" t="str">
        <f t="shared" si="6"/>
        <v/>
      </c>
      <c r="D299" s="135" t="str">
        <f>IF(A299&lt;&gt;"",maxAxial(A299,1,1),"")</f>
        <v/>
      </c>
    </row>
    <row r="300" spans="2:9" x14ac:dyDescent="0.3">
      <c r="B300" s="135" t="str">
        <f>IF('Girder Bracing Data'!A300&lt;&gt;"",'Girder Bracing Data'!A300,"")</f>
        <v/>
      </c>
      <c r="C300" s="135" t="str">
        <f t="shared" si="6"/>
        <v/>
      </c>
      <c r="D300" s="135" t="str">
        <f>IF(A300&lt;&gt;"",maxAxial(A300,1,1),"")</f>
        <v/>
      </c>
    </row>
    <row r="301" spans="2:9" x14ac:dyDescent="0.3">
      <c r="B301" s="135" t="str">
        <f>IF('Girder Bracing Data'!A301&lt;&gt;"",'Girder Bracing Data'!A301,"")</f>
        <v/>
      </c>
      <c r="C301" s="135" t="str">
        <f t="shared" si="6"/>
        <v/>
      </c>
      <c r="D301" s="135" t="str">
        <f>IF(A301&lt;&gt;"",maxAxial(A301,1,1),"")</f>
        <v/>
      </c>
    </row>
    <row r="302" spans="2:9" x14ac:dyDescent="0.3">
      <c r="B302" s="135" t="str">
        <f>IF('Girder Bracing Data'!A302&lt;&gt;"",'Girder Bracing Data'!A302,"")</f>
        <v/>
      </c>
      <c r="C302" s="135" t="str">
        <f t="shared" si="6"/>
        <v/>
      </c>
      <c r="D302" s="135" t="str">
        <f>IF(A302&lt;&gt;"",maxAxial(A302,1,1),"")</f>
        <v/>
      </c>
    </row>
    <row r="303" spans="2:9" x14ac:dyDescent="0.3">
      <c r="B303" s="135" t="str">
        <f>IF('Girder Bracing Data'!A303&lt;&gt;"",'Girder Bracing Data'!A303,"")</f>
        <v/>
      </c>
      <c r="C303" s="135" t="str">
        <f t="shared" si="6"/>
        <v/>
      </c>
      <c r="D303" s="135" t="str">
        <f>IF(A303&lt;&gt;"",maxAxial(A303,1,1),"")</f>
        <v/>
      </c>
    </row>
    <row r="304" spans="2:9" x14ac:dyDescent="0.3">
      <c r="B304" s="135" t="str">
        <f>IF('Girder Bracing Data'!A304&lt;&gt;"",'Girder Bracing Data'!A304,"")</f>
        <v/>
      </c>
      <c r="C304" s="135" t="str">
        <f t="shared" si="6"/>
        <v/>
      </c>
      <c r="D304" s="135" t="str">
        <f>IF(A304&lt;&gt;"",maxAxial(A304,1,1),"")</f>
        <v/>
      </c>
    </row>
    <row r="305" spans="2:4" x14ac:dyDescent="0.3">
      <c r="B305" s="135" t="str">
        <f>IF('Girder Bracing Data'!A305&lt;&gt;"",'Girder Bracing Data'!A305,"")</f>
        <v/>
      </c>
      <c r="C305" s="135" t="str">
        <f t="shared" si="6"/>
        <v/>
      </c>
      <c r="D305" s="135" t="str">
        <f>IF(A305&lt;&gt;"",maxAxial(A305,1,1),"")</f>
        <v/>
      </c>
    </row>
    <row r="306" spans="2:4" x14ac:dyDescent="0.3">
      <c r="B306" s="135" t="str">
        <f>IF('Girder Bracing Data'!A306&lt;&gt;"",'Girder Bracing Data'!A306,"")</f>
        <v/>
      </c>
      <c r="C306" s="135" t="str">
        <f t="shared" si="6"/>
        <v/>
      </c>
      <c r="D306" s="135" t="str">
        <f>IF(A306&lt;&gt;"",maxAxial(A306,1,1),"")</f>
        <v/>
      </c>
    </row>
    <row r="307" spans="2:4" x14ac:dyDescent="0.3">
      <c r="B307" s="135" t="str">
        <f>IF('Girder Bracing Data'!A307&lt;&gt;"",'Girder Bracing Data'!A307,"")</f>
        <v/>
      </c>
      <c r="C307" s="135" t="str">
        <f t="shared" si="6"/>
        <v/>
      </c>
      <c r="D307" s="135" t="str">
        <f>IF(A307&lt;&gt;"",maxAxial(A307,1,1),"")</f>
        <v/>
      </c>
    </row>
    <row r="308" spans="2:4" x14ac:dyDescent="0.3">
      <c r="B308" s="135" t="str">
        <f>IF('Girder Bracing Data'!A308&lt;&gt;"",'Girder Bracing Data'!A308,"")</f>
        <v/>
      </c>
      <c r="C308" s="135" t="str">
        <f t="shared" si="6"/>
        <v/>
      </c>
      <c r="D308" s="135" t="str">
        <f>IF(A308&lt;&gt;"",maxAxial(A308,1,1),"")</f>
        <v/>
      </c>
    </row>
    <row r="309" spans="2:4" x14ac:dyDescent="0.3">
      <c r="B309" s="135" t="str">
        <f>IF('Girder Bracing Data'!A309&lt;&gt;"",'Girder Bracing Data'!A309,"")</f>
        <v/>
      </c>
      <c r="C309" s="135" t="str">
        <f t="shared" si="6"/>
        <v/>
      </c>
      <c r="D309" s="135" t="str">
        <f>IF(A309&lt;&gt;"",maxAxial(A309,1,1),"")</f>
        <v/>
      </c>
    </row>
    <row r="310" spans="2:4" x14ac:dyDescent="0.3">
      <c r="B310" s="135" t="str">
        <f>IF('Girder Bracing Data'!A310&lt;&gt;"",'Girder Bracing Data'!A310,"")</f>
        <v/>
      </c>
      <c r="C310" s="135" t="str">
        <f t="shared" si="6"/>
        <v/>
      </c>
      <c r="D310" s="135" t="str">
        <f>IF(A310&lt;&gt;"",maxAxial(A310,1,1),"")</f>
        <v/>
      </c>
    </row>
    <row r="311" spans="2:4" x14ac:dyDescent="0.3">
      <c r="B311" s="135" t="str">
        <f>IF('Girder Bracing Data'!A311&lt;&gt;"",'Girder Bracing Data'!A311,"")</f>
        <v/>
      </c>
      <c r="C311" s="135" t="str">
        <f t="shared" si="6"/>
        <v/>
      </c>
      <c r="D311" s="135" t="str">
        <f>IF(A311&lt;&gt;"",maxAxial(A311,1,1),"")</f>
        <v/>
      </c>
    </row>
    <row r="312" spans="2:4" x14ac:dyDescent="0.3">
      <c r="B312" s="135" t="str">
        <f>IF('Girder Bracing Data'!A312&lt;&gt;"",'Girder Bracing Data'!A312,"")</f>
        <v/>
      </c>
      <c r="C312" s="135" t="str">
        <f t="shared" si="6"/>
        <v/>
      </c>
      <c r="D312" s="135" t="str">
        <f>IF(A312&lt;&gt;"",maxAxial(A312,1,1),"")</f>
        <v/>
      </c>
    </row>
    <row r="313" spans="2:4" x14ac:dyDescent="0.3">
      <c r="B313" s="135" t="str">
        <f>IF('Girder Bracing Data'!A313&lt;&gt;"",'Girder Bracing Data'!A313,"")</f>
        <v/>
      </c>
      <c r="C313" s="135" t="str">
        <f t="shared" si="6"/>
        <v/>
      </c>
      <c r="D313" s="135" t="str">
        <f>IF(A313&lt;&gt;"",maxAxial(A313,1,1),"")</f>
        <v/>
      </c>
    </row>
    <row r="314" spans="2:4" x14ac:dyDescent="0.3">
      <c r="B314" s="135" t="str">
        <f>IF('Girder Bracing Data'!A314&lt;&gt;"",'Girder Bracing Data'!A314,"")</f>
        <v/>
      </c>
      <c r="C314" s="135" t="str">
        <f t="shared" si="6"/>
        <v/>
      </c>
      <c r="D314" s="135" t="str">
        <f>IF(A314&lt;&gt;"",maxAxial(A314,1,1),"")</f>
        <v/>
      </c>
    </row>
    <row r="315" spans="2:4" x14ac:dyDescent="0.3">
      <c r="B315" s="135" t="str">
        <f>IF('Girder Bracing Data'!A315&lt;&gt;"",'Girder Bracing Data'!A315,"")</f>
        <v/>
      </c>
      <c r="C315" s="135" t="str">
        <f t="shared" si="6"/>
        <v/>
      </c>
      <c r="D315" s="135" t="str">
        <f>IF(A315&lt;&gt;"",maxAxial(A315,1,1),"")</f>
        <v/>
      </c>
    </row>
    <row r="316" spans="2:4" x14ac:dyDescent="0.3">
      <c r="B316" s="135" t="str">
        <f>IF('Girder Bracing Data'!A316&lt;&gt;"",'Girder Bracing Data'!A316,"")</f>
        <v/>
      </c>
      <c r="C316" s="135" t="str">
        <f t="shared" si="6"/>
        <v/>
      </c>
      <c r="D316" s="135" t="str">
        <f>IF(A316&lt;&gt;"",maxAxial(A316,1,1),"")</f>
        <v/>
      </c>
    </row>
    <row r="317" spans="2:4" x14ac:dyDescent="0.3">
      <c r="B317" s="135" t="str">
        <f>IF('Girder Bracing Data'!A317&lt;&gt;"",'Girder Bracing Data'!A317,"")</f>
        <v/>
      </c>
      <c r="D317" s="135" t="str">
        <f>IF(A317&lt;&gt;"",maxAxial(A317,1,1),"")</f>
        <v/>
      </c>
    </row>
    <row r="318" spans="2:4" x14ac:dyDescent="0.3">
      <c r="B318" s="135" t="str">
        <f>IF('Girder Bracing Data'!A318&lt;&gt;"",'Girder Bracing Data'!A318,"")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design">
                <anchor moveWithCells="1" sizeWithCells="1">
                  <from>
                    <xdr:col>10</xdr:col>
                    <xdr:colOff>30480</xdr:colOff>
                    <xdr:row>0</xdr:row>
                    <xdr:rowOff>152400</xdr:rowOff>
                  </from>
                  <to>
                    <xdr:col>11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Module1.findFiles">
                <anchor moveWithCells="1" sizeWithCells="1">
                  <from>
                    <xdr:col>10</xdr:col>
                    <xdr:colOff>30480</xdr:colOff>
                    <xdr:row>3</xdr:row>
                    <xdr:rowOff>129540</xdr:rowOff>
                  </from>
                  <to>
                    <xdr:col>12</xdr:col>
                    <xdr:colOff>228600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F29B-2735-462A-9D95-B232D6E829D5}">
  <sheetPr codeName="Sheet4">
    <tabColor rgb="FFFF0000"/>
  </sheetPr>
  <dimension ref="A1:L18"/>
  <sheetViews>
    <sheetView workbookViewId="0">
      <selection activeCell="C1" sqref="C1:C18"/>
    </sheetView>
  </sheetViews>
  <sheetFormatPr defaultRowHeight="14.4" x14ac:dyDescent="0.3"/>
  <cols>
    <col min="1" max="1" width="15" style="36" bestFit="1" customWidth="1"/>
    <col min="2" max="2" width="4" style="9" customWidth="1"/>
    <col min="3" max="3" width="15.109375" style="9" customWidth="1"/>
    <col min="4" max="4" width="11.5546875" style="9" customWidth="1"/>
    <col min="5" max="5" width="12.109375" style="9" customWidth="1"/>
    <col min="6" max="6" width="8.88671875" style="44"/>
  </cols>
  <sheetData>
    <row r="1" spans="1:12" x14ac:dyDescent="0.3">
      <c r="A1" s="36" t="s">
        <v>30</v>
      </c>
      <c r="B1" s="9" t="s">
        <v>22</v>
      </c>
      <c r="C1" s="9">
        <v>4</v>
      </c>
      <c r="D1" s="43" t="s">
        <v>22</v>
      </c>
      <c r="E1" s="9">
        <f>C1</f>
        <v>4</v>
      </c>
      <c r="F1" s="45" t="s">
        <v>81</v>
      </c>
      <c r="I1" s="4" t="s">
        <v>1</v>
      </c>
      <c r="J1" s="4" t="s">
        <v>2</v>
      </c>
      <c r="K1" s="4" t="s">
        <v>3</v>
      </c>
    </row>
    <row r="2" spans="1:12" x14ac:dyDescent="0.3">
      <c r="A2" s="36" t="s">
        <v>65</v>
      </c>
      <c r="B2" s="43" t="s">
        <v>22</v>
      </c>
      <c r="C2" s="9" t="s">
        <v>19</v>
      </c>
      <c r="D2" s="43" t="s">
        <v>22</v>
      </c>
      <c r="E2" s="9" t="str">
        <f>C2</f>
        <v>E</v>
      </c>
      <c r="F2" s="45" t="s">
        <v>81</v>
      </c>
      <c r="I2" s="1">
        <v>1</v>
      </c>
      <c r="J2" s="2">
        <v>0</v>
      </c>
      <c r="K2" s="2">
        <v>0</v>
      </c>
    </row>
    <row r="3" spans="1:12" x14ac:dyDescent="0.3">
      <c r="A3" s="36" t="s">
        <v>58</v>
      </c>
      <c r="B3" s="9" t="s">
        <v>22</v>
      </c>
      <c r="C3" s="9">
        <v>54</v>
      </c>
      <c r="D3" s="43" t="s">
        <v>22</v>
      </c>
      <c r="E3" s="9">
        <f>C3</f>
        <v>54</v>
      </c>
      <c r="F3" s="44" t="s">
        <v>74</v>
      </c>
      <c r="I3" s="1">
        <f>IF(J3&lt;&gt;"",I2+1,"")</f>
        <v>2</v>
      </c>
      <c r="J3" s="2">
        <v>0</v>
      </c>
      <c r="K3" s="2">
        <f>E7</f>
        <v>25.56</v>
      </c>
    </row>
    <row r="4" spans="1:12" x14ac:dyDescent="0.3">
      <c r="A4" s="36" t="s">
        <v>64</v>
      </c>
      <c r="C4" s="9">
        <v>54</v>
      </c>
      <c r="D4" s="43" t="s">
        <v>22</v>
      </c>
      <c r="E4" s="9">
        <f>C4</f>
        <v>54</v>
      </c>
      <c r="F4" s="44" t="s">
        <v>74</v>
      </c>
      <c r="I4" s="1">
        <f t="shared" ref="I4:I8" si="0">IF(J4&lt;&gt;"",I3+1,"")</f>
        <v>3</v>
      </c>
      <c r="J4" s="2">
        <v>0</v>
      </c>
      <c r="K4" s="2">
        <f>E3/2</f>
        <v>27</v>
      </c>
    </row>
    <row r="5" spans="1:12" x14ac:dyDescent="0.3">
      <c r="A5" s="36" t="s">
        <v>73</v>
      </c>
      <c r="B5" s="9" t="s">
        <v>22</v>
      </c>
      <c r="C5" s="9">
        <v>9</v>
      </c>
      <c r="D5" s="43" t="s">
        <v>22</v>
      </c>
      <c r="E5" s="9">
        <f>C5*12</f>
        <v>108</v>
      </c>
      <c r="F5" s="44" t="s">
        <v>74</v>
      </c>
      <c r="I5" s="1">
        <f t="shared" si="0"/>
        <v>4</v>
      </c>
      <c r="J5" s="2">
        <v>0</v>
      </c>
      <c r="K5" s="2">
        <f>E3-E6</f>
        <v>41.04</v>
      </c>
    </row>
    <row r="6" spans="1:12" x14ac:dyDescent="0.3">
      <c r="A6" s="36" t="s">
        <v>59</v>
      </c>
      <c r="B6" s="9" t="s">
        <v>22</v>
      </c>
      <c r="C6" s="9">
        <v>12.96</v>
      </c>
      <c r="D6" s="43" t="s">
        <v>22</v>
      </c>
      <c r="E6" s="9">
        <f>C6</f>
        <v>12.96</v>
      </c>
      <c r="F6" s="44" t="s">
        <v>74</v>
      </c>
      <c r="I6" s="1">
        <f t="shared" si="0"/>
        <v>5</v>
      </c>
      <c r="J6" s="2">
        <v>0</v>
      </c>
      <c r="K6" s="2">
        <f>E3</f>
        <v>54</v>
      </c>
    </row>
    <row r="7" spans="1:12" x14ac:dyDescent="0.3">
      <c r="A7" s="36" t="s">
        <v>67</v>
      </c>
      <c r="B7" s="9" t="s">
        <v>22</v>
      </c>
      <c r="C7" s="9">
        <v>25.56</v>
      </c>
      <c r="D7" s="43" t="s">
        <v>22</v>
      </c>
      <c r="E7" s="9">
        <f>C7</f>
        <v>25.56</v>
      </c>
      <c r="F7" s="44" t="s">
        <v>74</v>
      </c>
      <c r="I7" s="1">
        <f t="shared" si="0"/>
        <v>6</v>
      </c>
      <c r="J7" s="2">
        <f>E5-3.5</f>
        <v>104.5</v>
      </c>
      <c r="K7" s="2">
        <f>K6-E4+E9+E15*J7</f>
        <v>25.56</v>
      </c>
    </row>
    <row r="8" spans="1:12" x14ac:dyDescent="0.3">
      <c r="A8" s="36" t="s">
        <v>84</v>
      </c>
      <c r="B8" s="9" t="s">
        <v>22</v>
      </c>
      <c r="C8" s="9">
        <v>12.96</v>
      </c>
      <c r="D8" s="43" t="s">
        <v>22</v>
      </c>
      <c r="E8" s="9">
        <f>C8</f>
        <v>12.96</v>
      </c>
      <c r="F8" s="44" t="s">
        <v>74</v>
      </c>
      <c r="I8" s="1">
        <f t="shared" si="0"/>
        <v>7</v>
      </c>
      <c r="J8" s="2">
        <f>J7</f>
        <v>104.5</v>
      </c>
      <c r="K8" s="2">
        <f>K6-E8+E15*J8</f>
        <v>41.04</v>
      </c>
    </row>
    <row r="9" spans="1:12" x14ac:dyDescent="0.3">
      <c r="A9" s="36" t="s">
        <v>85</v>
      </c>
      <c r="B9" s="9" t="s">
        <v>22</v>
      </c>
      <c r="C9" s="9">
        <v>25.56</v>
      </c>
      <c r="D9" s="43" t="s">
        <v>22</v>
      </c>
      <c r="E9" s="9">
        <f>C9</f>
        <v>25.56</v>
      </c>
      <c r="F9" s="44" t="s">
        <v>74</v>
      </c>
    </row>
    <row r="10" spans="1:12" x14ac:dyDescent="0.3">
      <c r="A10" s="36" t="s">
        <v>62</v>
      </c>
      <c r="B10" s="9" t="s">
        <v>22</v>
      </c>
      <c r="C10" s="9">
        <v>85.8</v>
      </c>
      <c r="D10" s="43" t="s">
        <v>22</v>
      </c>
      <c r="E10" s="9">
        <f>C10*12</f>
        <v>1029.5999999999999</v>
      </c>
      <c r="F10" s="44" t="s">
        <v>75</v>
      </c>
      <c r="I10" s="60" t="s">
        <v>41</v>
      </c>
      <c r="J10">
        <v>4</v>
      </c>
      <c r="K10">
        <v>7</v>
      </c>
      <c r="L10" s="61">
        <f>SQRT((J8-J5-7)^2+(K8-K5)^2)</f>
        <v>97.5</v>
      </c>
    </row>
    <row r="11" spans="1:12" x14ac:dyDescent="0.3">
      <c r="A11" s="36" t="s">
        <v>68</v>
      </c>
      <c r="B11" s="9" t="s">
        <v>22</v>
      </c>
      <c r="C11" s="9">
        <v>18.899999999999999</v>
      </c>
      <c r="D11" s="43" t="s">
        <v>22</v>
      </c>
      <c r="E11" s="9">
        <f t="shared" ref="E11:E18" si="1">C11</f>
        <v>18.899999999999999</v>
      </c>
      <c r="F11" s="44" t="s">
        <v>76</v>
      </c>
      <c r="I11">
        <f>(K8-K5)/(J8-J5)</f>
        <v>0</v>
      </c>
      <c r="J11" s="60">
        <f>ABS(DEGREES(ATAN(I11)))</f>
        <v>0</v>
      </c>
      <c r="K11" t="s">
        <v>136</v>
      </c>
      <c r="L11" s="62"/>
    </row>
    <row r="12" spans="1:12" x14ac:dyDescent="0.3">
      <c r="A12" s="36" t="s">
        <v>69</v>
      </c>
      <c r="B12" s="9" t="s">
        <v>22</v>
      </c>
      <c r="C12" s="9">
        <v>29000</v>
      </c>
      <c r="D12" s="43" t="s">
        <v>22</v>
      </c>
      <c r="E12" s="9">
        <f t="shared" si="1"/>
        <v>29000</v>
      </c>
      <c r="F12" s="44" t="s">
        <v>77</v>
      </c>
      <c r="I12" s="60" t="s">
        <v>40</v>
      </c>
      <c r="J12">
        <v>4</v>
      </c>
      <c r="K12">
        <v>6</v>
      </c>
      <c r="L12" s="61">
        <f>SQRT((J7-J5-7)^2+(K7-K5)^2)</f>
        <v>98.721225681207997</v>
      </c>
    </row>
    <row r="13" spans="1:12" ht="16.2" x14ac:dyDescent="0.3">
      <c r="A13" s="36" t="s">
        <v>70</v>
      </c>
      <c r="B13" s="9" t="s">
        <v>22</v>
      </c>
      <c r="C13" s="9">
        <v>1.4630000000000001</v>
      </c>
      <c r="D13" s="43" t="s">
        <v>22</v>
      </c>
      <c r="E13" s="9">
        <f t="shared" si="1"/>
        <v>1.4630000000000001</v>
      </c>
      <c r="F13" s="44" t="s">
        <v>78</v>
      </c>
      <c r="I13">
        <f>(K7-K5)/(J7-J5)</f>
        <v>-0.14813397129186603</v>
      </c>
      <c r="J13" s="60">
        <f>ABS(DEGREES(ATAN(I13)))</f>
        <v>8.4261741906269041</v>
      </c>
      <c r="K13" t="s">
        <v>136</v>
      </c>
      <c r="L13" s="62"/>
    </row>
    <row r="14" spans="1:12" x14ac:dyDescent="0.3">
      <c r="A14" s="36" t="s">
        <v>71</v>
      </c>
      <c r="B14" s="9" t="s">
        <v>22</v>
      </c>
      <c r="C14" s="9">
        <v>2.7549999999999999</v>
      </c>
      <c r="D14" s="43" t="s">
        <v>22</v>
      </c>
      <c r="E14" s="9">
        <f t="shared" si="1"/>
        <v>2.7549999999999999</v>
      </c>
      <c r="F14" s="44" t="s">
        <v>79</v>
      </c>
      <c r="I14" s="60" t="s">
        <v>39</v>
      </c>
      <c r="J14">
        <v>2</v>
      </c>
      <c r="K14">
        <v>7</v>
      </c>
      <c r="L14" s="61">
        <f>SQRT((J8-J3-7)^2+(K8-K3)^2)</f>
        <v>98.721225681207997</v>
      </c>
    </row>
    <row r="15" spans="1:12" x14ac:dyDescent="0.3">
      <c r="A15" s="36" t="s">
        <v>29</v>
      </c>
      <c r="B15" s="9" t="s">
        <v>22</v>
      </c>
      <c r="C15" s="9">
        <v>0</v>
      </c>
      <c r="D15" s="43" t="s">
        <v>22</v>
      </c>
      <c r="E15" s="9">
        <f>C15</f>
        <v>0</v>
      </c>
      <c r="F15" s="44" t="s">
        <v>80</v>
      </c>
      <c r="I15">
        <f>(K8-K3)/(J8-J3)</f>
        <v>0.14813397129186603</v>
      </c>
      <c r="J15" s="60">
        <f>ABS(DEGREES(ATAN(I15)))</f>
        <v>8.4261741906269041</v>
      </c>
      <c r="K15" t="s">
        <v>136</v>
      </c>
    </row>
    <row r="16" spans="1:12" x14ac:dyDescent="0.3">
      <c r="A16" s="36" t="s">
        <v>56</v>
      </c>
      <c r="B16" s="43" t="s">
        <v>22</v>
      </c>
      <c r="C16" s="9">
        <v>3</v>
      </c>
      <c r="D16" s="43" t="s">
        <v>22</v>
      </c>
      <c r="E16" s="9">
        <f t="shared" si="1"/>
        <v>3</v>
      </c>
      <c r="F16" s="45" t="s">
        <v>81</v>
      </c>
    </row>
    <row r="17" spans="1:6" x14ac:dyDescent="0.3">
      <c r="A17" s="36" t="s">
        <v>72</v>
      </c>
      <c r="B17" s="43" t="s">
        <v>22</v>
      </c>
      <c r="C17" s="9">
        <v>5</v>
      </c>
      <c r="D17" s="43" t="s">
        <v>22</v>
      </c>
      <c r="E17" s="9">
        <f t="shared" si="1"/>
        <v>5</v>
      </c>
      <c r="F17" s="45" t="s">
        <v>81</v>
      </c>
    </row>
    <row r="18" spans="1:6" x14ac:dyDescent="0.3">
      <c r="A18" s="36" t="s">
        <v>66</v>
      </c>
      <c r="B18" s="43" t="s">
        <v>22</v>
      </c>
      <c r="C18" s="9" t="s">
        <v>31</v>
      </c>
      <c r="D18" s="43" t="s">
        <v>22</v>
      </c>
      <c r="E18" s="9" t="str">
        <f t="shared" si="1"/>
        <v>MB 8'-14'</v>
      </c>
      <c r="F18" s="45" t="s">
        <v>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1952-B267-411A-A29C-89D27A7D4E6A}">
  <sheetPr codeName="Sheet1">
    <tabColor rgb="FFFF0000"/>
  </sheetPr>
  <dimension ref="A1:U662"/>
  <sheetViews>
    <sheetView zoomScale="85" zoomScaleNormal="85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5" t="s">
        <v>16</v>
      </c>
      <c r="B1" s="161" t="str">
        <f>_xlfn.CONCAT("Design",Intermediate!C1,"Horizontal")</f>
        <v>Design4Horizontal</v>
      </c>
      <c r="C1" s="161"/>
      <c r="D1" s="161"/>
      <c r="E1" s="161"/>
      <c r="G1" s="6" t="s">
        <v>17</v>
      </c>
    </row>
    <row r="3" spans="1:21" s="3" customFormat="1" ht="28.95" customHeight="1" x14ac:dyDescent="0.3">
      <c r="A3" s="159" t="s">
        <v>0</v>
      </c>
      <c r="B3" s="159"/>
      <c r="C3" s="159"/>
      <c r="E3" s="160" t="s">
        <v>7</v>
      </c>
      <c r="F3" s="160"/>
      <c r="G3" s="160"/>
      <c r="H3" s="160"/>
      <c r="J3" s="159" t="s">
        <v>11</v>
      </c>
      <c r="K3" s="159"/>
      <c r="L3" s="159"/>
      <c r="M3" s="159"/>
      <c r="N3" s="159"/>
      <c r="O3" s="159"/>
      <c r="P3" s="159"/>
      <c r="R3" s="159" t="s">
        <v>15</v>
      </c>
      <c r="S3" s="159"/>
      <c r="T3" s="159"/>
      <c r="U3" s="159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0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3</v>
      </c>
      <c r="S5" s="1">
        <f>Intermediate!C11</f>
        <v>18.899999999999999</v>
      </c>
      <c r="T5" s="1">
        <v>0</v>
      </c>
      <c r="U5" s="1">
        <v>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25.56</v>
      </c>
      <c r="E6" s="1">
        <v>6</v>
      </c>
      <c r="F6" s="1">
        <v>1</v>
      </c>
      <c r="G6" s="1">
        <v>1</v>
      </c>
      <c r="H6" s="1">
        <v>1</v>
      </c>
      <c r="J6" s="1">
        <f t="shared" ref="J6:J70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27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41.04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54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Intermediate!$C$12</f>
        <v>29000</v>
      </c>
      <c r="O9" s="1">
        <f>Intermediate!$C$13*Intermediate!E16</f>
        <v>4.3890000000000002</v>
      </c>
      <c r="P9" s="1">
        <f>Intermediate!$E$14*Intermediate!E16</f>
        <v>8.2650000000000006</v>
      </c>
    </row>
    <row r="10" spans="1:21" x14ac:dyDescent="0.3">
      <c r="A10" s="1">
        <f t="shared" si="1"/>
        <v>6</v>
      </c>
      <c r="B10" s="2">
        <f>B11</f>
        <v>104.5</v>
      </c>
      <c r="C10" s="2">
        <f>C9-Intermediate!E4+Intermediate!E9+B10*Intermediate!E15</f>
        <v>25.56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Intermediate!$C$12</f>
        <v>29000</v>
      </c>
      <c r="O10" s="1">
        <f>Intermediate!$C$13*Intermediate!E17</f>
        <v>7.3150000000000004</v>
      </c>
      <c r="P10" s="1">
        <f>Intermediate!$E$14*Intermediate!E17</f>
        <v>13.774999999999999</v>
      </c>
    </row>
    <row r="11" spans="1:21" x14ac:dyDescent="0.3">
      <c r="A11" s="1">
        <f t="shared" si="1"/>
        <v>7</v>
      </c>
      <c r="B11" s="2">
        <f>(Intermediate!E5-3.5)</f>
        <v>104.5</v>
      </c>
      <c r="C11" s="2">
        <f>C9-Intermediate!E8+B11*Intermediate!E15</f>
        <v>41.04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Intermediate!$C$12</f>
        <v>29000</v>
      </c>
      <c r="O11" s="1">
        <f>Intermediate!$C$13*Intermediate!E17</f>
        <v>7.3150000000000004</v>
      </c>
      <c r="P11" s="1">
        <f>Intermediate!$E$14*Intermediate!E17</f>
        <v>13.774999999999999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E18" s="1" t="s">
        <v>26</v>
      </c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si="0"/>
        <v/>
      </c>
    </row>
    <row r="71" spans="1:10" x14ac:dyDescent="0.3">
      <c r="A71" s="1" t="str">
        <f t="shared" ref="A71:A134" si="2">IF(B71&lt;&gt;"",A70+1,"")</f>
        <v/>
      </c>
      <c r="B71" s="2"/>
      <c r="C71" s="2"/>
      <c r="J71" s="1" t="str">
        <f t="shared" ref="J71:J134" si="3">IF(K71&lt;&gt;"",J70+1,"")</f>
        <v/>
      </c>
    </row>
    <row r="72" spans="1:10" x14ac:dyDescent="0.3">
      <c r="A72" s="1" t="str">
        <f t="shared" si="2"/>
        <v/>
      </c>
      <c r="B72" s="2"/>
      <c r="C72" s="2"/>
      <c r="J72" s="1" t="str">
        <f t="shared" si="3"/>
        <v/>
      </c>
    </row>
    <row r="73" spans="1:10" x14ac:dyDescent="0.3">
      <c r="A73" s="1" t="str">
        <f t="shared" si="2"/>
        <v/>
      </c>
      <c r="B73" s="2"/>
      <c r="C73" s="2"/>
      <c r="J73" s="1" t="str">
        <f t="shared" si="3"/>
        <v/>
      </c>
    </row>
    <row r="74" spans="1:10" x14ac:dyDescent="0.3">
      <c r="A74" s="1" t="str">
        <f t="shared" si="2"/>
        <v/>
      </c>
      <c r="B74" s="2"/>
      <c r="C74" s="2"/>
      <c r="J74" s="1" t="str">
        <f t="shared" si="3"/>
        <v/>
      </c>
    </row>
    <row r="75" spans="1:10" x14ac:dyDescent="0.3">
      <c r="A75" s="1" t="str">
        <f t="shared" si="2"/>
        <v/>
      </c>
      <c r="B75" s="2"/>
      <c r="C75" s="2"/>
      <c r="J75" s="1" t="str">
        <f t="shared" si="3"/>
        <v/>
      </c>
    </row>
    <row r="76" spans="1:10" x14ac:dyDescent="0.3">
      <c r="A76" s="1" t="str">
        <f t="shared" si="2"/>
        <v/>
      </c>
      <c r="B76" s="2"/>
      <c r="C76" s="2"/>
      <c r="J76" s="1" t="str">
        <f t="shared" si="3"/>
        <v/>
      </c>
    </row>
    <row r="77" spans="1:10" x14ac:dyDescent="0.3">
      <c r="A77" s="1" t="str">
        <f t="shared" si="2"/>
        <v/>
      </c>
      <c r="B77" s="2"/>
      <c r="C77" s="2"/>
      <c r="J77" s="1" t="str">
        <f t="shared" si="3"/>
        <v/>
      </c>
    </row>
    <row r="78" spans="1:10" x14ac:dyDescent="0.3">
      <c r="A78" s="1" t="str">
        <f t="shared" si="2"/>
        <v/>
      </c>
      <c r="B78" s="2"/>
      <c r="C78" s="2"/>
      <c r="J78" s="1" t="str">
        <f t="shared" si="3"/>
        <v/>
      </c>
    </row>
    <row r="79" spans="1:10" x14ac:dyDescent="0.3">
      <c r="A79" s="1" t="str">
        <f t="shared" si="2"/>
        <v/>
      </c>
      <c r="B79" s="2"/>
      <c r="C79" s="2"/>
      <c r="J79" s="1" t="str">
        <f t="shared" si="3"/>
        <v/>
      </c>
    </row>
    <row r="80" spans="1:10" x14ac:dyDescent="0.3">
      <c r="A80" s="1" t="str">
        <f t="shared" si="2"/>
        <v/>
      </c>
      <c r="B80" s="2"/>
      <c r="C80" s="2"/>
      <c r="J80" s="1" t="str">
        <f t="shared" si="3"/>
        <v/>
      </c>
    </row>
    <row r="81" spans="1:10" x14ac:dyDescent="0.3">
      <c r="A81" s="1" t="str">
        <f t="shared" si="2"/>
        <v/>
      </c>
      <c r="B81" s="2"/>
      <c r="C81" s="2"/>
      <c r="J81" s="1" t="str">
        <f t="shared" si="3"/>
        <v/>
      </c>
    </row>
    <row r="82" spans="1:10" x14ac:dyDescent="0.3">
      <c r="A82" s="1" t="str">
        <f t="shared" si="2"/>
        <v/>
      </c>
      <c r="B82" s="2"/>
      <c r="C82" s="2"/>
      <c r="J82" s="1" t="str">
        <f t="shared" si="3"/>
        <v/>
      </c>
    </row>
    <row r="83" spans="1:10" x14ac:dyDescent="0.3">
      <c r="A83" s="1" t="str">
        <f t="shared" si="2"/>
        <v/>
      </c>
      <c r="B83" s="2"/>
      <c r="C83" s="2"/>
      <c r="J83" s="1" t="str">
        <f t="shared" si="3"/>
        <v/>
      </c>
    </row>
    <row r="84" spans="1:10" x14ac:dyDescent="0.3">
      <c r="A84" s="1" t="str">
        <f t="shared" si="2"/>
        <v/>
      </c>
      <c r="B84" s="2"/>
      <c r="C84" s="2"/>
      <c r="J84" s="1" t="str">
        <f t="shared" si="3"/>
        <v/>
      </c>
    </row>
    <row r="85" spans="1:10" x14ac:dyDescent="0.3">
      <c r="A85" s="1" t="str">
        <f t="shared" si="2"/>
        <v/>
      </c>
      <c r="B85" s="2"/>
      <c r="C85" s="2"/>
      <c r="J85" s="1" t="str">
        <f t="shared" si="3"/>
        <v/>
      </c>
    </row>
    <row r="86" spans="1:10" x14ac:dyDescent="0.3">
      <c r="A86" s="1" t="str">
        <f t="shared" si="2"/>
        <v/>
      </c>
      <c r="B86" s="2"/>
      <c r="C86" s="2"/>
      <c r="J86" s="1" t="str">
        <f t="shared" si="3"/>
        <v/>
      </c>
    </row>
    <row r="87" spans="1:10" x14ac:dyDescent="0.3">
      <c r="A87" s="1" t="str">
        <f t="shared" si="2"/>
        <v/>
      </c>
      <c r="B87" s="2"/>
      <c r="C87" s="2"/>
      <c r="J87" s="1" t="str">
        <f t="shared" si="3"/>
        <v/>
      </c>
    </row>
    <row r="88" spans="1:10" x14ac:dyDescent="0.3">
      <c r="A88" s="1" t="str">
        <f t="shared" si="2"/>
        <v/>
      </c>
      <c r="B88" s="2"/>
      <c r="C88" s="2"/>
      <c r="J88" s="1" t="str">
        <f t="shared" si="3"/>
        <v/>
      </c>
    </row>
    <row r="89" spans="1:10" x14ac:dyDescent="0.3">
      <c r="A89" s="1" t="str">
        <f t="shared" si="2"/>
        <v/>
      </c>
      <c r="B89" s="2"/>
      <c r="C89" s="2"/>
      <c r="J89" s="1" t="str">
        <f t="shared" si="3"/>
        <v/>
      </c>
    </row>
    <row r="90" spans="1:10" x14ac:dyDescent="0.3">
      <c r="A90" s="1" t="str">
        <f t="shared" si="2"/>
        <v/>
      </c>
      <c r="B90" s="2"/>
      <c r="C90" s="2"/>
      <c r="J90" s="1" t="str">
        <f t="shared" si="3"/>
        <v/>
      </c>
    </row>
    <row r="91" spans="1:10" x14ac:dyDescent="0.3">
      <c r="A91" s="1" t="str">
        <f t="shared" si="2"/>
        <v/>
      </c>
      <c r="B91" s="2"/>
      <c r="C91" s="2"/>
      <c r="J91" s="1" t="str">
        <f t="shared" si="3"/>
        <v/>
      </c>
    </row>
    <row r="92" spans="1:10" x14ac:dyDescent="0.3">
      <c r="A92" s="1" t="str">
        <f t="shared" si="2"/>
        <v/>
      </c>
      <c r="B92" s="2"/>
      <c r="C92" s="2"/>
      <c r="J92" s="1" t="str">
        <f t="shared" si="3"/>
        <v/>
      </c>
    </row>
    <row r="93" spans="1:10" x14ac:dyDescent="0.3">
      <c r="A93" s="1" t="str">
        <f t="shared" si="2"/>
        <v/>
      </c>
      <c r="B93" s="2"/>
      <c r="C93" s="2"/>
      <c r="J93" s="1" t="str">
        <f t="shared" si="3"/>
        <v/>
      </c>
    </row>
    <row r="94" spans="1:10" x14ac:dyDescent="0.3">
      <c r="A94" s="1" t="str">
        <f t="shared" si="2"/>
        <v/>
      </c>
      <c r="B94" s="2"/>
      <c r="C94" s="2"/>
      <c r="J94" s="1" t="str">
        <f t="shared" si="3"/>
        <v/>
      </c>
    </row>
    <row r="95" spans="1:10" x14ac:dyDescent="0.3">
      <c r="A95" s="1" t="str">
        <f t="shared" si="2"/>
        <v/>
      </c>
      <c r="B95" s="2"/>
      <c r="C95" s="2"/>
      <c r="J95" s="1" t="str">
        <f t="shared" si="3"/>
        <v/>
      </c>
    </row>
    <row r="96" spans="1:10" x14ac:dyDescent="0.3">
      <c r="A96" s="1" t="str">
        <f t="shared" si="2"/>
        <v/>
      </c>
      <c r="B96" s="2"/>
      <c r="C96" s="2"/>
      <c r="J96" s="1" t="str">
        <f t="shared" si="3"/>
        <v/>
      </c>
    </row>
    <row r="97" spans="1:10" x14ac:dyDescent="0.3">
      <c r="A97" s="1" t="str">
        <f t="shared" si="2"/>
        <v/>
      </c>
      <c r="B97" s="2"/>
      <c r="C97" s="2"/>
      <c r="J97" s="1" t="str">
        <f t="shared" si="3"/>
        <v/>
      </c>
    </row>
    <row r="98" spans="1:10" x14ac:dyDescent="0.3">
      <c r="A98" s="1" t="str">
        <f t="shared" si="2"/>
        <v/>
      </c>
      <c r="B98" s="2"/>
      <c r="C98" s="2"/>
      <c r="J98" s="1" t="str">
        <f t="shared" si="3"/>
        <v/>
      </c>
    </row>
    <row r="99" spans="1:10" x14ac:dyDescent="0.3">
      <c r="A99" s="1" t="str">
        <f t="shared" si="2"/>
        <v/>
      </c>
      <c r="B99" s="2"/>
      <c r="C99" s="2"/>
      <c r="J99" s="1" t="str">
        <f t="shared" si="3"/>
        <v/>
      </c>
    </row>
    <row r="100" spans="1:10" x14ac:dyDescent="0.3">
      <c r="A100" s="1" t="str">
        <f t="shared" si="2"/>
        <v/>
      </c>
      <c r="B100" s="2"/>
      <c r="C100" s="2"/>
      <c r="J100" s="1" t="str">
        <f t="shared" si="3"/>
        <v/>
      </c>
    </row>
    <row r="101" spans="1:10" x14ac:dyDescent="0.3">
      <c r="A101" s="1" t="str">
        <f t="shared" si="2"/>
        <v/>
      </c>
      <c r="B101" s="2"/>
      <c r="C101" s="2"/>
      <c r="J101" s="1" t="str">
        <f t="shared" si="3"/>
        <v/>
      </c>
    </row>
    <row r="102" spans="1:10" x14ac:dyDescent="0.3">
      <c r="A102" s="1" t="str">
        <f t="shared" si="2"/>
        <v/>
      </c>
      <c r="B102" s="2"/>
      <c r="C102" s="2"/>
      <c r="J102" s="1" t="str">
        <f t="shared" si="3"/>
        <v/>
      </c>
    </row>
    <row r="103" spans="1:10" x14ac:dyDescent="0.3">
      <c r="A103" s="1" t="str">
        <f t="shared" si="2"/>
        <v/>
      </c>
      <c r="B103" s="2"/>
      <c r="C103" s="2"/>
      <c r="J103" s="1" t="str">
        <f t="shared" si="3"/>
        <v/>
      </c>
    </row>
    <row r="104" spans="1:10" x14ac:dyDescent="0.3">
      <c r="A104" s="1" t="str">
        <f t="shared" si="2"/>
        <v/>
      </c>
      <c r="B104" s="2"/>
      <c r="C104" s="2"/>
      <c r="J104" s="1" t="str">
        <f t="shared" si="3"/>
        <v/>
      </c>
    </row>
    <row r="105" spans="1:10" x14ac:dyDescent="0.3">
      <c r="A105" s="1" t="str">
        <f t="shared" si="2"/>
        <v/>
      </c>
      <c r="B105" s="2"/>
      <c r="C105" s="2"/>
      <c r="J105" s="1" t="str">
        <f t="shared" si="3"/>
        <v/>
      </c>
    </row>
    <row r="106" spans="1:10" x14ac:dyDescent="0.3">
      <c r="A106" s="1" t="str">
        <f t="shared" si="2"/>
        <v/>
      </c>
      <c r="B106" s="2"/>
      <c r="C106" s="2"/>
      <c r="J106" s="1" t="str">
        <f t="shared" si="3"/>
        <v/>
      </c>
    </row>
    <row r="107" spans="1:10" x14ac:dyDescent="0.3">
      <c r="A107" s="1" t="str">
        <f t="shared" si="2"/>
        <v/>
      </c>
      <c r="B107" s="2"/>
      <c r="C107" s="2"/>
      <c r="J107" s="1" t="str">
        <f t="shared" si="3"/>
        <v/>
      </c>
    </row>
    <row r="108" spans="1:10" x14ac:dyDescent="0.3">
      <c r="A108" s="1" t="str">
        <f t="shared" si="2"/>
        <v/>
      </c>
      <c r="B108" s="2"/>
      <c r="C108" s="2"/>
      <c r="J108" s="1" t="str">
        <f t="shared" si="3"/>
        <v/>
      </c>
    </row>
    <row r="109" spans="1:10" x14ac:dyDescent="0.3">
      <c r="A109" s="1" t="str">
        <f t="shared" si="2"/>
        <v/>
      </c>
      <c r="B109" s="2"/>
      <c r="C109" s="2"/>
      <c r="J109" s="1" t="str">
        <f t="shared" si="3"/>
        <v/>
      </c>
    </row>
    <row r="110" spans="1:10" x14ac:dyDescent="0.3">
      <c r="A110" s="1" t="str">
        <f t="shared" si="2"/>
        <v/>
      </c>
      <c r="B110" s="2"/>
      <c r="C110" s="2"/>
      <c r="J110" s="1" t="str">
        <f t="shared" si="3"/>
        <v/>
      </c>
    </row>
    <row r="111" spans="1:10" x14ac:dyDescent="0.3">
      <c r="A111" s="1" t="str">
        <f t="shared" si="2"/>
        <v/>
      </c>
      <c r="B111" s="2"/>
      <c r="C111" s="2"/>
      <c r="J111" s="1" t="str">
        <f t="shared" si="3"/>
        <v/>
      </c>
    </row>
    <row r="112" spans="1:10" x14ac:dyDescent="0.3">
      <c r="A112" s="1" t="str">
        <f t="shared" si="2"/>
        <v/>
      </c>
      <c r="B112" s="2"/>
      <c r="C112" s="2"/>
      <c r="J112" s="1" t="str">
        <f t="shared" si="3"/>
        <v/>
      </c>
    </row>
    <row r="113" spans="1:10" x14ac:dyDescent="0.3">
      <c r="A113" s="1" t="str">
        <f t="shared" si="2"/>
        <v/>
      </c>
      <c r="B113" s="2"/>
      <c r="C113" s="2"/>
      <c r="J113" s="1" t="str">
        <f t="shared" si="3"/>
        <v/>
      </c>
    </row>
    <row r="114" spans="1:10" x14ac:dyDescent="0.3">
      <c r="A114" s="1" t="str">
        <f t="shared" si="2"/>
        <v/>
      </c>
      <c r="B114" s="2"/>
      <c r="C114" s="2"/>
      <c r="J114" s="1" t="str">
        <f t="shared" si="3"/>
        <v/>
      </c>
    </row>
    <row r="115" spans="1:10" x14ac:dyDescent="0.3">
      <c r="A115" s="1" t="str">
        <f t="shared" si="2"/>
        <v/>
      </c>
      <c r="B115" s="2"/>
      <c r="C115" s="2"/>
      <c r="J115" s="1" t="str">
        <f t="shared" si="3"/>
        <v/>
      </c>
    </row>
    <row r="116" spans="1:10" x14ac:dyDescent="0.3">
      <c r="A116" s="1" t="str">
        <f t="shared" si="2"/>
        <v/>
      </c>
      <c r="B116" s="2"/>
      <c r="C116" s="2"/>
      <c r="J116" s="1" t="str">
        <f t="shared" si="3"/>
        <v/>
      </c>
    </row>
    <row r="117" spans="1:10" x14ac:dyDescent="0.3">
      <c r="A117" s="1" t="str">
        <f t="shared" si="2"/>
        <v/>
      </c>
      <c r="B117" s="2"/>
      <c r="C117" s="2"/>
      <c r="J117" s="1" t="str">
        <f t="shared" si="3"/>
        <v/>
      </c>
    </row>
    <row r="118" spans="1:10" x14ac:dyDescent="0.3">
      <c r="A118" s="1" t="str">
        <f t="shared" si="2"/>
        <v/>
      </c>
      <c r="B118" s="2"/>
      <c r="C118" s="2"/>
      <c r="J118" s="1" t="str">
        <f t="shared" si="3"/>
        <v/>
      </c>
    </row>
    <row r="119" spans="1:10" x14ac:dyDescent="0.3">
      <c r="A119" s="1" t="str">
        <f t="shared" si="2"/>
        <v/>
      </c>
      <c r="B119" s="2"/>
      <c r="C119" s="2"/>
      <c r="J119" s="1" t="str">
        <f t="shared" si="3"/>
        <v/>
      </c>
    </row>
    <row r="120" spans="1:10" x14ac:dyDescent="0.3">
      <c r="A120" s="1" t="str">
        <f t="shared" si="2"/>
        <v/>
      </c>
      <c r="B120" s="2"/>
      <c r="C120" s="2"/>
      <c r="J120" s="1" t="str">
        <f t="shared" si="3"/>
        <v/>
      </c>
    </row>
    <row r="121" spans="1:10" x14ac:dyDescent="0.3">
      <c r="A121" s="1" t="str">
        <f t="shared" si="2"/>
        <v/>
      </c>
      <c r="B121" s="2"/>
      <c r="C121" s="2"/>
      <c r="J121" s="1" t="str">
        <f t="shared" si="3"/>
        <v/>
      </c>
    </row>
    <row r="122" spans="1:10" x14ac:dyDescent="0.3">
      <c r="A122" s="1" t="str">
        <f t="shared" si="2"/>
        <v/>
      </c>
      <c r="B122" s="2"/>
      <c r="C122" s="2"/>
      <c r="J122" s="1" t="str">
        <f t="shared" si="3"/>
        <v/>
      </c>
    </row>
    <row r="123" spans="1:10" x14ac:dyDescent="0.3">
      <c r="A123" s="1" t="str">
        <f t="shared" si="2"/>
        <v/>
      </c>
      <c r="B123" s="2"/>
      <c r="C123" s="2"/>
      <c r="J123" s="1" t="str">
        <f t="shared" si="3"/>
        <v/>
      </c>
    </row>
    <row r="124" spans="1:10" x14ac:dyDescent="0.3">
      <c r="A124" s="1" t="str">
        <f t="shared" si="2"/>
        <v/>
      </c>
      <c r="B124" s="2"/>
      <c r="C124" s="2"/>
      <c r="J124" s="1" t="str">
        <f t="shared" si="3"/>
        <v/>
      </c>
    </row>
    <row r="125" spans="1:10" x14ac:dyDescent="0.3">
      <c r="A125" s="1" t="str">
        <f t="shared" si="2"/>
        <v/>
      </c>
      <c r="B125" s="2"/>
      <c r="C125" s="2"/>
      <c r="J125" s="1" t="str">
        <f t="shared" si="3"/>
        <v/>
      </c>
    </row>
    <row r="126" spans="1:10" x14ac:dyDescent="0.3">
      <c r="A126" s="1" t="str">
        <f t="shared" si="2"/>
        <v/>
      </c>
      <c r="B126" s="2"/>
      <c r="C126" s="2"/>
      <c r="J126" s="1" t="str">
        <f t="shared" si="3"/>
        <v/>
      </c>
    </row>
    <row r="127" spans="1:10" x14ac:dyDescent="0.3">
      <c r="A127" s="1" t="str">
        <f t="shared" si="2"/>
        <v/>
      </c>
      <c r="B127" s="2"/>
      <c r="C127" s="2"/>
      <c r="J127" s="1" t="str">
        <f t="shared" si="3"/>
        <v/>
      </c>
    </row>
    <row r="128" spans="1:10" x14ac:dyDescent="0.3">
      <c r="A128" s="1" t="str">
        <f t="shared" si="2"/>
        <v/>
      </c>
      <c r="B128" s="2"/>
      <c r="C128" s="2"/>
      <c r="J128" s="1" t="str">
        <f t="shared" si="3"/>
        <v/>
      </c>
    </row>
    <row r="129" spans="1:10" x14ac:dyDescent="0.3">
      <c r="A129" s="1" t="str">
        <f t="shared" si="2"/>
        <v/>
      </c>
      <c r="B129" s="2"/>
      <c r="C129" s="2"/>
      <c r="J129" s="1" t="str">
        <f t="shared" si="3"/>
        <v/>
      </c>
    </row>
    <row r="130" spans="1:10" x14ac:dyDescent="0.3">
      <c r="A130" s="1" t="str">
        <f t="shared" si="2"/>
        <v/>
      </c>
      <c r="B130" s="2"/>
      <c r="C130" s="2"/>
      <c r="J130" s="1" t="str">
        <f t="shared" si="3"/>
        <v/>
      </c>
    </row>
    <row r="131" spans="1:10" x14ac:dyDescent="0.3">
      <c r="A131" s="1" t="str">
        <f t="shared" si="2"/>
        <v/>
      </c>
      <c r="B131" s="2"/>
      <c r="C131" s="2"/>
      <c r="J131" s="1" t="str">
        <f t="shared" si="3"/>
        <v/>
      </c>
    </row>
    <row r="132" spans="1:10" x14ac:dyDescent="0.3">
      <c r="A132" s="1" t="str">
        <f t="shared" si="2"/>
        <v/>
      </c>
      <c r="B132" s="2"/>
      <c r="C132" s="2"/>
      <c r="J132" s="1" t="str">
        <f t="shared" si="3"/>
        <v/>
      </c>
    </row>
    <row r="133" spans="1:10" x14ac:dyDescent="0.3">
      <c r="A133" s="1" t="str">
        <f t="shared" si="2"/>
        <v/>
      </c>
      <c r="B133" s="2"/>
      <c r="C133" s="2"/>
      <c r="J133" s="1" t="str">
        <f t="shared" si="3"/>
        <v/>
      </c>
    </row>
    <row r="134" spans="1:10" x14ac:dyDescent="0.3">
      <c r="A134" s="1" t="str">
        <f t="shared" si="2"/>
        <v/>
      </c>
      <c r="B134" s="2"/>
      <c r="C134" s="2"/>
      <c r="J134" s="1" t="str">
        <f t="shared" si="3"/>
        <v/>
      </c>
    </row>
    <row r="135" spans="1:10" x14ac:dyDescent="0.3">
      <c r="A135" s="1" t="str">
        <f t="shared" ref="A135:A198" si="4">IF(B135&lt;&gt;"",A134+1,"")</f>
        <v/>
      </c>
      <c r="B135" s="2"/>
      <c r="C135" s="2"/>
      <c r="J135" s="1" t="str">
        <f t="shared" ref="J135:J198" si="5">IF(K135&lt;&gt;"",J134+1,"")</f>
        <v/>
      </c>
    </row>
    <row r="136" spans="1:10" x14ac:dyDescent="0.3">
      <c r="A136" s="1" t="str">
        <f t="shared" si="4"/>
        <v/>
      </c>
      <c r="B136" s="2"/>
      <c r="C136" s="2"/>
      <c r="J136" s="1" t="str">
        <f t="shared" si="5"/>
        <v/>
      </c>
    </row>
    <row r="137" spans="1:10" x14ac:dyDescent="0.3">
      <c r="A137" s="1" t="str">
        <f t="shared" si="4"/>
        <v/>
      </c>
      <c r="B137" s="2"/>
      <c r="C137" s="2"/>
      <c r="J137" s="1" t="str">
        <f t="shared" si="5"/>
        <v/>
      </c>
    </row>
    <row r="138" spans="1:10" x14ac:dyDescent="0.3">
      <c r="A138" s="1" t="str">
        <f t="shared" si="4"/>
        <v/>
      </c>
      <c r="B138" s="2"/>
      <c r="C138" s="2"/>
      <c r="J138" s="1" t="str">
        <f t="shared" si="5"/>
        <v/>
      </c>
    </row>
    <row r="139" spans="1:10" x14ac:dyDescent="0.3">
      <c r="A139" s="1" t="str">
        <f t="shared" si="4"/>
        <v/>
      </c>
      <c r="B139" s="2"/>
      <c r="C139" s="2"/>
      <c r="J139" s="1" t="str">
        <f t="shared" si="5"/>
        <v/>
      </c>
    </row>
    <row r="140" spans="1:10" x14ac:dyDescent="0.3">
      <c r="A140" s="1" t="str">
        <f t="shared" si="4"/>
        <v/>
      </c>
      <c r="B140" s="2"/>
      <c r="C140" s="2"/>
      <c r="J140" s="1" t="str">
        <f t="shared" si="5"/>
        <v/>
      </c>
    </row>
    <row r="141" spans="1:10" x14ac:dyDescent="0.3">
      <c r="A141" s="1" t="str">
        <f t="shared" si="4"/>
        <v/>
      </c>
      <c r="B141" s="2"/>
      <c r="C141" s="2"/>
      <c r="J141" s="1" t="str">
        <f t="shared" si="5"/>
        <v/>
      </c>
    </row>
    <row r="142" spans="1:10" x14ac:dyDescent="0.3">
      <c r="A142" s="1" t="str">
        <f t="shared" si="4"/>
        <v/>
      </c>
      <c r="B142" s="2"/>
      <c r="C142" s="2"/>
      <c r="J142" s="1" t="str">
        <f t="shared" si="5"/>
        <v/>
      </c>
    </row>
    <row r="143" spans="1:10" x14ac:dyDescent="0.3">
      <c r="A143" s="1" t="str">
        <f t="shared" si="4"/>
        <v/>
      </c>
      <c r="B143" s="2"/>
      <c r="C143" s="2"/>
      <c r="J143" s="1" t="str">
        <f t="shared" si="5"/>
        <v/>
      </c>
    </row>
    <row r="144" spans="1:10" x14ac:dyDescent="0.3">
      <c r="A144" s="1" t="str">
        <f t="shared" si="4"/>
        <v/>
      </c>
      <c r="B144" s="2"/>
      <c r="C144" s="2"/>
      <c r="J144" s="1" t="str">
        <f t="shared" si="5"/>
        <v/>
      </c>
    </row>
    <row r="145" spans="1:10" x14ac:dyDescent="0.3">
      <c r="A145" s="1" t="str">
        <f t="shared" si="4"/>
        <v/>
      </c>
      <c r="B145" s="2"/>
      <c r="C145" s="2"/>
      <c r="J145" s="1" t="str">
        <f t="shared" si="5"/>
        <v/>
      </c>
    </row>
    <row r="146" spans="1:10" x14ac:dyDescent="0.3">
      <c r="A146" s="1" t="str">
        <f t="shared" si="4"/>
        <v/>
      </c>
      <c r="B146" s="2"/>
      <c r="C146" s="2"/>
      <c r="J146" s="1" t="str">
        <f t="shared" si="5"/>
        <v/>
      </c>
    </row>
    <row r="147" spans="1:10" x14ac:dyDescent="0.3">
      <c r="A147" s="1" t="str">
        <f t="shared" si="4"/>
        <v/>
      </c>
      <c r="B147" s="2"/>
      <c r="C147" s="2"/>
      <c r="J147" s="1" t="str">
        <f t="shared" si="5"/>
        <v/>
      </c>
    </row>
    <row r="148" spans="1:10" x14ac:dyDescent="0.3">
      <c r="A148" s="1" t="str">
        <f t="shared" si="4"/>
        <v/>
      </c>
      <c r="B148" s="2"/>
      <c r="C148" s="2"/>
      <c r="J148" s="1" t="str">
        <f t="shared" si="5"/>
        <v/>
      </c>
    </row>
    <row r="149" spans="1:10" x14ac:dyDescent="0.3">
      <c r="A149" s="1" t="str">
        <f t="shared" si="4"/>
        <v/>
      </c>
      <c r="B149" s="2"/>
      <c r="C149" s="2"/>
      <c r="J149" s="1" t="str">
        <f t="shared" si="5"/>
        <v/>
      </c>
    </row>
    <row r="150" spans="1:10" x14ac:dyDescent="0.3">
      <c r="A150" s="1" t="str">
        <f t="shared" si="4"/>
        <v/>
      </c>
      <c r="B150" s="2"/>
      <c r="C150" s="2"/>
      <c r="J150" s="1" t="str">
        <f t="shared" si="5"/>
        <v/>
      </c>
    </row>
    <row r="151" spans="1:10" x14ac:dyDescent="0.3">
      <c r="A151" s="1" t="str">
        <f t="shared" si="4"/>
        <v/>
      </c>
      <c r="B151" s="2"/>
      <c r="C151" s="2"/>
      <c r="J151" s="1" t="str">
        <f t="shared" si="5"/>
        <v/>
      </c>
    </row>
    <row r="152" spans="1:10" x14ac:dyDescent="0.3">
      <c r="A152" s="1" t="str">
        <f t="shared" si="4"/>
        <v/>
      </c>
      <c r="B152" s="2"/>
      <c r="C152" s="2"/>
      <c r="J152" s="1" t="str">
        <f t="shared" si="5"/>
        <v/>
      </c>
    </row>
    <row r="153" spans="1:10" x14ac:dyDescent="0.3">
      <c r="A153" s="1" t="str">
        <f t="shared" si="4"/>
        <v/>
      </c>
      <c r="B153" s="2"/>
      <c r="C153" s="2"/>
      <c r="J153" s="1" t="str">
        <f t="shared" si="5"/>
        <v/>
      </c>
    </row>
    <row r="154" spans="1:10" x14ac:dyDescent="0.3">
      <c r="A154" s="1" t="str">
        <f t="shared" si="4"/>
        <v/>
      </c>
      <c r="B154" s="2"/>
      <c r="C154" s="2"/>
      <c r="J154" s="1" t="str">
        <f t="shared" si="5"/>
        <v/>
      </c>
    </row>
    <row r="155" spans="1:10" x14ac:dyDescent="0.3">
      <c r="A155" s="1" t="str">
        <f t="shared" si="4"/>
        <v/>
      </c>
      <c r="B155" s="2"/>
      <c r="C155" s="2"/>
      <c r="J155" s="1" t="str">
        <f t="shared" si="5"/>
        <v/>
      </c>
    </row>
    <row r="156" spans="1:10" x14ac:dyDescent="0.3">
      <c r="A156" s="1" t="str">
        <f t="shared" si="4"/>
        <v/>
      </c>
      <c r="B156" s="2"/>
      <c r="C156" s="2"/>
      <c r="J156" s="1" t="str">
        <f t="shared" si="5"/>
        <v/>
      </c>
    </row>
    <row r="157" spans="1:10" x14ac:dyDescent="0.3">
      <c r="A157" s="1" t="str">
        <f t="shared" si="4"/>
        <v/>
      </c>
      <c r="B157" s="2"/>
      <c r="C157" s="2"/>
      <c r="J157" s="1" t="str">
        <f t="shared" si="5"/>
        <v/>
      </c>
    </row>
    <row r="158" spans="1:10" x14ac:dyDescent="0.3">
      <c r="A158" s="1" t="str">
        <f t="shared" si="4"/>
        <v/>
      </c>
      <c r="B158" s="2"/>
      <c r="C158" s="2"/>
      <c r="J158" s="1" t="str">
        <f t="shared" si="5"/>
        <v/>
      </c>
    </row>
    <row r="159" spans="1:10" x14ac:dyDescent="0.3">
      <c r="A159" s="1" t="str">
        <f t="shared" si="4"/>
        <v/>
      </c>
      <c r="B159" s="2"/>
      <c r="C159" s="2"/>
      <c r="J159" s="1" t="str">
        <f t="shared" si="5"/>
        <v/>
      </c>
    </row>
    <row r="160" spans="1:10" x14ac:dyDescent="0.3">
      <c r="A160" s="1" t="str">
        <f t="shared" si="4"/>
        <v/>
      </c>
      <c r="B160" s="2"/>
      <c r="C160" s="2"/>
      <c r="J160" s="1" t="str">
        <f t="shared" si="5"/>
        <v/>
      </c>
    </row>
    <row r="161" spans="1:10" x14ac:dyDescent="0.3">
      <c r="A161" s="1" t="str">
        <f t="shared" si="4"/>
        <v/>
      </c>
      <c r="B161" s="2"/>
      <c r="C161" s="2"/>
      <c r="J161" s="1" t="str">
        <f t="shared" si="5"/>
        <v/>
      </c>
    </row>
    <row r="162" spans="1:10" x14ac:dyDescent="0.3">
      <c r="A162" s="1" t="str">
        <f t="shared" si="4"/>
        <v/>
      </c>
      <c r="B162" s="2"/>
      <c r="C162" s="2"/>
      <c r="J162" s="1" t="str">
        <f t="shared" si="5"/>
        <v/>
      </c>
    </row>
    <row r="163" spans="1:10" x14ac:dyDescent="0.3">
      <c r="A163" s="1" t="str">
        <f t="shared" si="4"/>
        <v/>
      </c>
      <c r="B163" s="2"/>
      <c r="C163" s="2"/>
      <c r="J163" s="1" t="str">
        <f t="shared" si="5"/>
        <v/>
      </c>
    </row>
    <row r="164" spans="1:10" x14ac:dyDescent="0.3">
      <c r="A164" s="1" t="str">
        <f t="shared" si="4"/>
        <v/>
      </c>
      <c r="B164" s="2"/>
      <c r="C164" s="2"/>
      <c r="J164" s="1" t="str">
        <f t="shared" si="5"/>
        <v/>
      </c>
    </row>
    <row r="165" spans="1:10" x14ac:dyDescent="0.3">
      <c r="A165" s="1" t="str">
        <f t="shared" si="4"/>
        <v/>
      </c>
      <c r="B165" s="2"/>
      <c r="C165" s="2"/>
      <c r="J165" s="1" t="str">
        <f t="shared" si="5"/>
        <v/>
      </c>
    </row>
    <row r="166" spans="1:10" x14ac:dyDescent="0.3">
      <c r="A166" s="1" t="str">
        <f t="shared" si="4"/>
        <v/>
      </c>
      <c r="B166" s="2"/>
      <c r="C166" s="2"/>
      <c r="J166" s="1" t="str">
        <f t="shared" si="5"/>
        <v/>
      </c>
    </row>
    <row r="167" spans="1:10" x14ac:dyDescent="0.3">
      <c r="A167" s="1" t="str">
        <f t="shared" si="4"/>
        <v/>
      </c>
      <c r="B167" s="2"/>
      <c r="C167" s="2"/>
      <c r="J167" s="1" t="str">
        <f t="shared" si="5"/>
        <v/>
      </c>
    </row>
    <row r="168" spans="1:10" x14ac:dyDescent="0.3">
      <c r="A168" s="1" t="str">
        <f t="shared" si="4"/>
        <v/>
      </c>
      <c r="B168" s="2"/>
      <c r="C168" s="2"/>
      <c r="J168" s="1" t="str">
        <f t="shared" si="5"/>
        <v/>
      </c>
    </row>
    <row r="169" spans="1:10" x14ac:dyDescent="0.3">
      <c r="A169" s="1" t="str">
        <f t="shared" si="4"/>
        <v/>
      </c>
      <c r="B169" s="2"/>
      <c r="C169" s="2"/>
      <c r="J169" s="1" t="str">
        <f t="shared" si="5"/>
        <v/>
      </c>
    </row>
    <row r="170" spans="1:10" x14ac:dyDescent="0.3">
      <c r="A170" s="1" t="str">
        <f t="shared" si="4"/>
        <v/>
      </c>
      <c r="B170" s="2"/>
      <c r="C170" s="2"/>
      <c r="J170" s="1" t="str">
        <f t="shared" si="5"/>
        <v/>
      </c>
    </row>
    <row r="171" spans="1:10" x14ac:dyDescent="0.3">
      <c r="A171" s="1" t="str">
        <f t="shared" si="4"/>
        <v/>
      </c>
      <c r="B171" s="2"/>
      <c r="C171" s="2"/>
      <c r="J171" s="1" t="str">
        <f t="shared" si="5"/>
        <v/>
      </c>
    </row>
    <row r="172" spans="1:10" x14ac:dyDescent="0.3">
      <c r="A172" s="1" t="str">
        <f t="shared" si="4"/>
        <v/>
      </c>
      <c r="B172" s="2"/>
      <c r="C172" s="2"/>
      <c r="J172" s="1" t="str">
        <f t="shared" si="5"/>
        <v/>
      </c>
    </row>
    <row r="173" spans="1:10" x14ac:dyDescent="0.3">
      <c r="A173" s="1" t="str">
        <f t="shared" si="4"/>
        <v/>
      </c>
      <c r="B173" s="2"/>
      <c r="C173" s="2"/>
      <c r="J173" s="1" t="str">
        <f t="shared" si="5"/>
        <v/>
      </c>
    </row>
    <row r="174" spans="1:10" x14ac:dyDescent="0.3">
      <c r="A174" s="1" t="str">
        <f t="shared" si="4"/>
        <v/>
      </c>
      <c r="B174" s="2"/>
      <c r="C174" s="2"/>
      <c r="J174" s="1" t="str">
        <f t="shared" si="5"/>
        <v/>
      </c>
    </row>
    <row r="175" spans="1:10" x14ac:dyDescent="0.3">
      <c r="A175" s="1" t="str">
        <f t="shared" si="4"/>
        <v/>
      </c>
      <c r="B175" s="2"/>
      <c r="C175" s="2"/>
      <c r="J175" s="1" t="str">
        <f t="shared" si="5"/>
        <v/>
      </c>
    </row>
    <row r="176" spans="1:10" x14ac:dyDescent="0.3">
      <c r="A176" s="1" t="str">
        <f t="shared" si="4"/>
        <v/>
      </c>
      <c r="B176" s="2"/>
      <c r="C176" s="2"/>
      <c r="J176" s="1" t="str">
        <f t="shared" si="5"/>
        <v/>
      </c>
    </row>
    <row r="177" spans="1:10" x14ac:dyDescent="0.3">
      <c r="A177" s="1" t="str">
        <f t="shared" si="4"/>
        <v/>
      </c>
      <c r="B177" s="2"/>
      <c r="C177" s="2"/>
      <c r="J177" s="1" t="str">
        <f t="shared" si="5"/>
        <v/>
      </c>
    </row>
    <row r="178" spans="1:10" x14ac:dyDescent="0.3">
      <c r="A178" s="1" t="str">
        <f t="shared" si="4"/>
        <v/>
      </c>
      <c r="B178" s="2"/>
      <c r="C178" s="2"/>
      <c r="J178" s="1" t="str">
        <f t="shared" si="5"/>
        <v/>
      </c>
    </row>
    <row r="179" spans="1:10" x14ac:dyDescent="0.3">
      <c r="A179" s="1" t="str">
        <f t="shared" si="4"/>
        <v/>
      </c>
      <c r="B179" s="2"/>
      <c r="C179" s="2"/>
      <c r="J179" s="1" t="str">
        <f t="shared" si="5"/>
        <v/>
      </c>
    </row>
    <row r="180" spans="1:10" x14ac:dyDescent="0.3">
      <c r="A180" s="1" t="str">
        <f t="shared" si="4"/>
        <v/>
      </c>
      <c r="B180" s="2"/>
      <c r="C180" s="2"/>
      <c r="J180" s="1" t="str">
        <f t="shared" si="5"/>
        <v/>
      </c>
    </row>
    <row r="181" spans="1:10" x14ac:dyDescent="0.3">
      <c r="A181" s="1" t="str">
        <f t="shared" si="4"/>
        <v/>
      </c>
      <c r="B181" s="2"/>
      <c r="C181" s="2"/>
      <c r="J181" s="1" t="str">
        <f t="shared" si="5"/>
        <v/>
      </c>
    </row>
    <row r="182" spans="1:10" x14ac:dyDescent="0.3">
      <c r="A182" s="1" t="str">
        <f t="shared" si="4"/>
        <v/>
      </c>
      <c r="B182" s="2"/>
      <c r="C182" s="2"/>
      <c r="J182" s="1" t="str">
        <f t="shared" si="5"/>
        <v/>
      </c>
    </row>
    <row r="183" spans="1:10" x14ac:dyDescent="0.3">
      <c r="A183" s="1" t="str">
        <f t="shared" si="4"/>
        <v/>
      </c>
      <c r="B183" s="2"/>
      <c r="C183" s="2"/>
      <c r="J183" s="1" t="str">
        <f t="shared" si="5"/>
        <v/>
      </c>
    </row>
    <row r="184" spans="1:10" x14ac:dyDescent="0.3">
      <c r="A184" s="1" t="str">
        <f t="shared" si="4"/>
        <v/>
      </c>
      <c r="B184" s="2"/>
      <c r="C184" s="2"/>
      <c r="J184" s="1" t="str">
        <f t="shared" si="5"/>
        <v/>
      </c>
    </row>
    <row r="185" spans="1:10" x14ac:dyDescent="0.3">
      <c r="A185" s="1" t="str">
        <f t="shared" si="4"/>
        <v/>
      </c>
      <c r="B185" s="2"/>
      <c r="C185" s="2"/>
      <c r="J185" s="1" t="str">
        <f t="shared" si="5"/>
        <v/>
      </c>
    </row>
    <row r="186" spans="1:10" x14ac:dyDescent="0.3">
      <c r="A186" s="1" t="str">
        <f t="shared" si="4"/>
        <v/>
      </c>
      <c r="B186" s="2"/>
      <c r="C186" s="2"/>
      <c r="J186" s="1" t="str">
        <f t="shared" si="5"/>
        <v/>
      </c>
    </row>
    <row r="187" spans="1:10" x14ac:dyDescent="0.3">
      <c r="A187" s="1" t="str">
        <f t="shared" si="4"/>
        <v/>
      </c>
      <c r="B187" s="2"/>
      <c r="C187" s="2"/>
      <c r="J187" s="1" t="str">
        <f t="shared" si="5"/>
        <v/>
      </c>
    </row>
    <row r="188" spans="1:10" x14ac:dyDescent="0.3">
      <c r="A188" s="1" t="str">
        <f t="shared" si="4"/>
        <v/>
      </c>
      <c r="B188" s="2"/>
      <c r="C188" s="2"/>
      <c r="J188" s="1" t="str">
        <f t="shared" si="5"/>
        <v/>
      </c>
    </row>
    <row r="189" spans="1:10" x14ac:dyDescent="0.3">
      <c r="A189" s="1" t="str">
        <f t="shared" si="4"/>
        <v/>
      </c>
      <c r="B189" s="2"/>
      <c r="C189" s="2"/>
      <c r="J189" s="1" t="str">
        <f t="shared" si="5"/>
        <v/>
      </c>
    </row>
    <row r="190" spans="1:10" x14ac:dyDescent="0.3">
      <c r="A190" s="1" t="str">
        <f t="shared" si="4"/>
        <v/>
      </c>
      <c r="B190" s="2"/>
      <c r="C190" s="2"/>
      <c r="J190" s="1" t="str">
        <f t="shared" si="5"/>
        <v/>
      </c>
    </row>
    <row r="191" spans="1:10" x14ac:dyDescent="0.3">
      <c r="A191" s="1" t="str">
        <f t="shared" si="4"/>
        <v/>
      </c>
      <c r="B191" s="2"/>
      <c r="C191" s="2"/>
      <c r="J191" s="1" t="str">
        <f t="shared" si="5"/>
        <v/>
      </c>
    </row>
    <row r="192" spans="1:10" x14ac:dyDescent="0.3">
      <c r="A192" s="1" t="str">
        <f t="shared" si="4"/>
        <v/>
      </c>
      <c r="B192" s="2"/>
      <c r="C192" s="2"/>
      <c r="J192" s="1" t="str">
        <f t="shared" si="5"/>
        <v/>
      </c>
    </row>
    <row r="193" spans="1:10" x14ac:dyDescent="0.3">
      <c r="A193" s="1" t="str">
        <f t="shared" si="4"/>
        <v/>
      </c>
      <c r="B193" s="2"/>
      <c r="C193" s="2"/>
      <c r="J193" s="1" t="str">
        <f t="shared" si="5"/>
        <v/>
      </c>
    </row>
    <row r="194" spans="1:10" x14ac:dyDescent="0.3">
      <c r="A194" s="1" t="str">
        <f t="shared" si="4"/>
        <v/>
      </c>
      <c r="B194" s="2"/>
      <c r="C194" s="2"/>
      <c r="J194" s="1" t="str">
        <f t="shared" si="5"/>
        <v/>
      </c>
    </row>
    <row r="195" spans="1:10" x14ac:dyDescent="0.3">
      <c r="A195" s="1" t="str">
        <f t="shared" si="4"/>
        <v/>
      </c>
      <c r="B195" s="2"/>
      <c r="C195" s="2"/>
      <c r="J195" s="1" t="str">
        <f t="shared" si="5"/>
        <v/>
      </c>
    </row>
    <row r="196" spans="1:10" x14ac:dyDescent="0.3">
      <c r="A196" s="1" t="str">
        <f t="shared" si="4"/>
        <v/>
      </c>
      <c r="B196" s="2"/>
      <c r="C196" s="2"/>
      <c r="J196" s="1" t="str">
        <f t="shared" si="5"/>
        <v/>
      </c>
    </row>
    <row r="197" spans="1:10" x14ac:dyDescent="0.3">
      <c r="A197" s="1" t="str">
        <f t="shared" si="4"/>
        <v/>
      </c>
      <c r="B197" s="2"/>
      <c r="C197" s="2"/>
      <c r="J197" s="1" t="str">
        <f t="shared" si="5"/>
        <v/>
      </c>
    </row>
    <row r="198" spans="1:10" x14ac:dyDescent="0.3">
      <c r="A198" s="1" t="str">
        <f t="shared" si="4"/>
        <v/>
      </c>
      <c r="B198" s="2"/>
      <c r="C198" s="2"/>
      <c r="J198" s="1" t="str">
        <f t="shared" si="5"/>
        <v/>
      </c>
    </row>
    <row r="199" spans="1:10" x14ac:dyDescent="0.3">
      <c r="A199" s="1" t="str">
        <f t="shared" ref="A199:A262" si="6">IF(B199&lt;&gt;"",A198+1,"")</f>
        <v/>
      </c>
      <c r="B199" s="2"/>
      <c r="C199" s="2"/>
      <c r="J199" s="1" t="str">
        <f t="shared" ref="J199:J262" si="7">IF(K199&lt;&gt;"",J198+1,"")</f>
        <v/>
      </c>
    </row>
    <row r="200" spans="1:10" x14ac:dyDescent="0.3">
      <c r="A200" s="1" t="str">
        <f t="shared" si="6"/>
        <v/>
      </c>
      <c r="B200" s="2"/>
      <c r="C200" s="2"/>
      <c r="J200" s="1" t="str">
        <f t="shared" si="7"/>
        <v/>
      </c>
    </row>
    <row r="201" spans="1:10" x14ac:dyDescent="0.3">
      <c r="A201" s="1" t="str">
        <f t="shared" si="6"/>
        <v/>
      </c>
      <c r="B201" s="2"/>
      <c r="C201" s="2"/>
      <c r="J201" s="1" t="str">
        <f t="shared" si="7"/>
        <v/>
      </c>
    </row>
    <row r="202" spans="1:10" x14ac:dyDescent="0.3">
      <c r="A202" s="1" t="str">
        <f t="shared" si="6"/>
        <v/>
      </c>
      <c r="B202" s="2"/>
      <c r="C202" s="2"/>
      <c r="J202" s="1" t="str">
        <f t="shared" si="7"/>
        <v/>
      </c>
    </row>
    <row r="203" spans="1:10" x14ac:dyDescent="0.3">
      <c r="A203" s="1" t="str">
        <f t="shared" si="6"/>
        <v/>
      </c>
      <c r="B203" s="2"/>
      <c r="C203" s="2"/>
      <c r="J203" s="1" t="str">
        <f t="shared" si="7"/>
        <v/>
      </c>
    </row>
    <row r="204" spans="1:10" x14ac:dyDescent="0.3">
      <c r="A204" s="1" t="str">
        <f t="shared" si="6"/>
        <v/>
      </c>
      <c r="B204" s="2"/>
      <c r="C204" s="2"/>
      <c r="J204" s="1" t="str">
        <f t="shared" si="7"/>
        <v/>
      </c>
    </row>
    <row r="205" spans="1:10" x14ac:dyDescent="0.3">
      <c r="A205" s="1" t="str">
        <f t="shared" si="6"/>
        <v/>
      </c>
      <c r="B205" s="2"/>
      <c r="C205" s="2"/>
      <c r="J205" s="1" t="str">
        <f t="shared" si="7"/>
        <v/>
      </c>
    </row>
    <row r="206" spans="1:10" x14ac:dyDescent="0.3">
      <c r="A206" s="1" t="str">
        <f t="shared" si="6"/>
        <v/>
      </c>
      <c r="B206" s="2"/>
      <c r="C206" s="2"/>
      <c r="J206" s="1" t="str">
        <f t="shared" si="7"/>
        <v/>
      </c>
    </row>
    <row r="207" spans="1:10" x14ac:dyDescent="0.3">
      <c r="A207" s="1" t="str">
        <f t="shared" si="6"/>
        <v/>
      </c>
      <c r="B207" s="2"/>
      <c r="C207" s="2"/>
      <c r="J207" s="1" t="str">
        <f t="shared" si="7"/>
        <v/>
      </c>
    </row>
    <row r="208" spans="1:10" x14ac:dyDescent="0.3">
      <c r="A208" s="1" t="str">
        <f t="shared" si="6"/>
        <v/>
      </c>
      <c r="B208" s="2"/>
      <c r="C208" s="2"/>
      <c r="J208" s="1" t="str">
        <f t="shared" si="7"/>
        <v/>
      </c>
    </row>
    <row r="209" spans="1:10" x14ac:dyDescent="0.3">
      <c r="A209" s="1" t="str">
        <f t="shared" si="6"/>
        <v/>
      </c>
      <c r="B209" s="2"/>
      <c r="C209" s="2"/>
      <c r="J209" s="1" t="str">
        <f t="shared" si="7"/>
        <v/>
      </c>
    </row>
    <row r="210" spans="1:10" x14ac:dyDescent="0.3">
      <c r="A210" s="1" t="str">
        <f t="shared" si="6"/>
        <v/>
      </c>
      <c r="B210" s="2"/>
      <c r="C210" s="2"/>
      <c r="J210" s="1" t="str">
        <f t="shared" si="7"/>
        <v/>
      </c>
    </row>
    <row r="211" spans="1:10" x14ac:dyDescent="0.3">
      <c r="A211" s="1" t="str">
        <f t="shared" si="6"/>
        <v/>
      </c>
      <c r="B211" s="2"/>
      <c r="C211" s="2"/>
      <c r="J211" s="1" t="str">
        <f t="shared" si="7"/>
        <v/>
      </c>
    </row>
    <row r="212" spans="1:10" x14ac:dyDescent="0.3">
      <c r="A212" s="1" t="str">
        <f t="shared" si="6"/>
        <v/>
      </c>
      <c r="B212" s="2"/>
      <c r="C212" s="2"/>
      <c r="J212" s="1" t="str">
        <f t="shared" si="7"/>
        <v/>
      </c>
    </row>
    <row r="213" spans="1:10" x14ac:dyDescent="0.3">
      <c r="A213" s="1" t="str">
        <f t="shared" si="6"/>
        <v/>
      </c>
      <c r="B213" s="2"/>
      <c r="C213" s="2"/>
      <c r="J213" s="1" t="str">
        <f t="shared" si="7"/>
        <v/>
      </c>
    </row>
    <row r="214" spans="1:10" x14ac:dyDescent="0.3">
      <c r="A214" s="1" t="str">
        <f t="shared" si="6"/>
        <v/>
      </c>
      <c r="B214" s="2"/>
      <c r="C214" s="2"/>
      <c r="J214" s="1" t="str">
        <f t="shared" si="7"/>
        <v/>
      </c>
    </row>
    <row r="215" spans="1:10" x14ac:dyDescent="0.3">
      <c r="A215" s="1" t="str">
        <f t="shared" si="6"/>
        <v/>
      </c>
      <c r="B215" s="2"/>
      <c r="C215" s="2"/>
      <c r="J215" s="1" t="str">
        <f t="shared" si="7"/>
        <v/>
      </c>
    </row>
    <row r="216" spans="1:10" x14ac:dyDescent="0.3">
      <c r="A216" s="1" t="str">
        <f t="shared" si="6"/>
        <v/>
      </c>
      <c r="B216" s="2"/>
      <c r="C216" s="2"/>
      <c r="J216" s="1" t="str">
        <f t="shared" si="7"/>
        <v/>
      </c>
    </row>
    <row r="217" spans="1:10" x14ac:dyDescent="0.3">
      <c r="A217" s="1" t="str">
        <f t="shared" si="6"/>
        <v/>
      </c>
      <c r="B217" s="2"/>
      <c r="C217" s="2"/>
      <c r="J217" s="1" t="str">
        <f t="shared" si="7"/>
        <v/>
      </c>
    </row>
    <row r="218" spans="1:10" x14ac:dyDescent="0.3">
      <c r="A218" s="1" t="str">
        <f t="shared" si="6"/>
        <v/>
      </c>
      <c r="B218" s="2"/>
      <c r="C218" s="2"/>
      <c r="J218" s="1" t="str">
        <f t="shared" si="7"/>
        <v/>
      </c>
    </row>
    <row r="219" spans="1:10" x14ac:dyDescent="0.3">
      <c r="A219" s="1" t="str">
        <f t="shared" si="6"/>
        <v/>
      </c>
      <c r="B219" s="2"/>
      <c r="C219" s="2"/>
      <c r="J219" s="1" t="str">
        <f t="shared" si="7"/>
        <v/>
      </c>
    </row>
    <row r="220" spans="1:10" x14ac:dyDescent="0.3">
      <c r="A220" s="1" t="str">
        <f t="shared" si="6"/>
        <v/>
      </c>
      <c r="B220" s="2"/>
      <c r="C220" s="2"/>
      <c r="J220" s="1" t="str">
        <f t="shared" si="7"/>
        <v/>
      </c>
    </row>
    <row r="221" spans="1:10" x14ac:dyDescent="0.3">
      <c r="A221" s="1" t="str">
        <f t="shared" si="6"/>
        <v/>
      </c>
      <c r="B221" s="2"/>
      <c r="C221" s="2"/>
      <c r="J221" s="1" t="str">
        <f t="shared" si="7"/>
        <v/>
      </c>
    </row>
    <row r="222" spans="1:10" x14ac:dyDescent="0.3">
      <c r="A222" s="1" t="str">
        <f t="shared" si="6"/>
        <v/>
      </c>
      <c r="B222" s="2"/>
      <c r="C222" s="2"/>
      <c r="J222" s="1" t="str">
        <f t="shared" si="7"/>
        <v/>
      </c>
    </row>
    <row r="223" spans="1:10" x14ac:dyDescent="0.3">
      <c r="A223" s="1" t="str">
        <f t="shared" si="6"/>
        <v/>
      </c>
      <c r="B223" s="2"/>
      <c r="C223" s="2"/>
      <c r="J223" s="1" t="str">
        <f t="shared" si="7"/>
        <v/>
      </c>
    </row>
    <row r="224" spans="1:10" x14ac:dyDescent="0.3">
      <c r="A224" s="1" t="str">
        <f t="shared" si="6"/>
        <v/>
      </c>
      <c r="B224" s="2"/>
      <c r="C224" s="2"/>
      <c r="J224" s="1" t="str">
        <f t="shared" si="7"/>
        <v/>
      </c>
    </row>
    <row r="225" spans="1:10" x14ac:dyDescent="0.3">
      <c r="A225" s="1" t="str">
        <f t="shared" si="6"/>
        <v/>
      </c>
      <c r="B225" s="2"/>
      <c r="C225" s="2"/>
      <c r="J225" s="1" t="str">
        <f t="shared" si="7"/>
        <v/>
      </c>
    </row>
    <row r="226" spans="1:10" x14ac:dyDescent="0.3">
      <c r="A226" s="1" t="str">
        <f t="shared" si="6"/>
        <v/>
      </c>
      <c r="B226" s="2"/>
      <c r="C226" s="2"/>
      <c r="J226" s="1" t="str">
        <f t="shared" si="7"/>
        <v/>
      </c>
    </row>
    <row r="227" spans="1:10" x14ac:dyDescent="0.3">
      <c r="A227" s="1" t="str">
        <f t="shared" si="6"/>
        <v/>
      </c>
      <c r="B227" s="2"/>
      <c r="C227" s="2"/>
      <c r="J227" s="1" t="str">
        <f t="shared" si="7"/>
        <v/>
      </c>
    </row>
    <row r="228" spans="1:10" x14ac:dyDescent="0.3">
      <c r="A228" s="1" t="str">
        <f t="shared" si="6"/>
        <v/>
      </c>
      <c r="B228" s="2"/>
      <c r="C228" s="2"/>
      <c r="J228" s="1" t="str">
        <f t="shared" si="7"/>
        <v/>
      </c>
    </row>
    <row r="229" spans="1:10" x14ac:dyDescent="0.3">
      <c r="A229" s="1" t="str">
        <f t="shared" si="6"/>
        <v/>
      </c>
      <c r="B229" s="2"/>
      <c r="C229" s="2"/>
      <c r="J229" s="1" t="str">
        <f t="shared" si="7"/>
        <v/>
      </c>
    </row>
    <row r="230" spans="1:10" x14ac:dyDescent="0.3">
      <c r="A230" s="1" t="str">
        <f t="shared" si="6"/>
        <v/>
      </c>
      <c r="B230" s="2"/>
      <c r="C230" s="2"/>
      <c r="J230" s="1" t="str">
        <f t="shared" si="7"/>
        <v/>
      </c>
    </row>
    <row r="231" spans="1:10" x14ac:dyDescent="0.3">
      <c r="A231" s="1" t="str">
        <f t="shared" si="6"/>
        <v/>
      </c>
      <c r="B231" s="2"/>
      <c r="C231" s="2"/>
      <c r="J231" s="1" t="str">
        <f t="shared" si="7"/>
        <v/>
      </c>
    </row>
    <row r="232" spans="1:10" x14ac:dyDescent="0.3">
      <c r="A232" s="1" t="str">
        <f t="shared" si="6"/>
        <v/>
      </c>
      <c r="B232" s="2"/>
      <c r="C232" s="2"/>
      <c r="J232" s="1" t="str">
        <f t="shared" si="7"/>
        <v/>
      </c>
    </row>
    <row r="233" spans="1:10" x14ac:dyDescent="0.3">
      <c r="A233" s="1" t="str">
        <f t="shared" si="6"/>
        <v/>
      </c>
      <c r="B233" s="2"/>
      <c r="C233" s="2"/>
      <c r="J233" s="1" t="str">
        <f t="shared" si="7"/>
        <v/>
      </c>
    </row>
    <row r="234" spans="1:10" x14ac:dyDescent="0.3">
      <c r="A234" s="1" t="str">
        <f t="shared" si="6"/>
        <v/>
      </c>
      <c r="B234" s="2"/>
      <c r="C234" s="2"/>
      <c r="J234" s="1" t="str">
        <f t="shared" si="7"/>
        <v/>
      </c>
    </row>
    <row r="235" spans="1:10" x14ac:dyDescent="0.3">
      <c r="A235" s="1" t="str">
        <f t="shared" si="6"/>
        <v/>
      </c>
      <c r="B235" s="2"/>
      <c r="C235" s="2"/>
      <c r="J235" s="1" t="str">
        <f t="shared" si="7"/>
        <v/>
      </c>
    </row>
    <row r="236" spans="1:10" x14ac:dyDescent="0.3">
      <c r="A236" s="1" t="str">
        <f t="shared" si="6"/>
        <v/>
      </c>
      <c r="B236" s="2"/>
      <c r="C236" s="2"/>
      <c r="J236" s="1" t="str">
        <f t="shared" si="7"/>
        <v/>
      </c>
    </row>
    <row r="237" spans="1:10" x14ac:dyDescent="0.3">
      <c r="A237" s="1" t="str">
        <f t="shared" si="6"/>
        <v/>
      </c>
      <c r="B237" s="2"/>
      <c r="C237" s="2"/>
      <c r="J237" s="1" t="str">
        <f t="shared" si="7"/>
        <v/>
      </c>
    </row>
    <row r="238" spans="1:10" x14ac:dyDescent="0.3">
      <c r="A238" s="1" t="str">
        <f t="shared" si="6"/>
        <v/>
      </c>
      <c r="B238" s="2"/>
      <c r="C238" s="2"/>
      <c r="J238" s="1" t="str">
        <f t="shared" si="7"/>
        <v/>
      </c>
    </row>
    <row r="239" spans="1:10" x14ac:dyDescent="0.3">
      <c r="A239" s="1" t="str">
        <f t="shared" si="6"/>
        <v/>
      </c>
      <c r="B239" s="2"/>
      <c r="C239" s="2"/>
      <c r="J239" s="1" t="str">
        <f t="shared" si="7"/>
        <v/>
      </c>
    </row>
    <row r="240" spans="1:10" x14ac:dyDescent="0.3">
      <c r="A240" s="1" t="str">
        <f t="shared" si="6"/>
        <v/>
      </c>
      <c r="B240" s="2"/>
      <c r="C240" s="2"/>
      <c r="J240" s="1" t="str">
        <f t="shared" si="7"/>
        <v/>
      </c>
    </row>
    <row r="241" spans="1:10" x14ac:dyDescent="0.3">
      <c r="A241" s="1" t="str">
        <f t="shared" si="6"/>
        <v/>
      </c>
      <c r="B241" s="2"/>
      <c r="C241" s="2"/>
      <c r="J241" s="1" t="str">
        <f t="shared" si="7"/>
        <v/>
      </c>
    </row>
    <row r="242" spans="1:10" x14ac:dyDescent="0.3">
      <c r="A242" s="1" t="str">
        <f t="shared" si="6"/>
        <v/>
      </c>
      <c r="B242" s="2"/>
      <c r="C242" s="2"/>
      <c r="J242" s="1" t="str">
        <f t="shared" si="7"/>
        <v/>
      </c>
    </row>
    <row r="243" spans="1:10" x14ac:dyDescent="0.3">
      <c r="A243" s="1" t="str">
        <f t="shared" si="6"/>
        <v/>
      </c>
      <c r="B243" s="2"/>
      <c r="C243" s="2"/>
      <c r="J243" s="1" t="str">
        <f t="shared" si="7"/>
        <v/>
      </c>
    </row>
    <row r="244" spans="1:10" x14ac:dyDescent="0.3">
      <c r="A244" s="1" t="str">
        <f t="shared" si="6"/>
        <v/>
      </c>
      <c r="B244" s="2"/>
      <c r="C244" s="2"/>
      <c r="J244" s="1" t="str">
        <f t="shared" si="7"/>
        <v/>
      </c>
    </row>
    <row r="245" spans="1:10" x14ac:dyDescent="0.3">
      <c r="A245" s="1" t="str">
        <f t="shared" si="6"/>
        <v/>
      </c>
      <c r="B245" s="2"/>
      <c r="C245" s="2"/>
      <c r="J245" s="1" t="str">
        <f t="shared" si="7"/>
        <v/>
      </c>
    </row>
    <row r="246" spans="1:10" x14ac:dyDescent="0.3">
      <c r="A246" s="1" t="str">
        <f t="shared" si="6"/>
        <v/>
      </c>
      <c r="B246" s="2"/>
      <c r="C246" s="2"/>
      <c r="J246" s="1" t="str">
        <f t="shared" si="7"/>
        <v/>
      </c>
    </row>
    <row r="247" spans="1:10" x14ac:dyDescent="0.3">
      <c r="A247" s="1" t="str">
        <f t="shared" si="6"/>
        <v/>
      </c>
      <c r="B247" s="2"/>
      <c r="C247" s="2"/>
      <c r="J247" s="1" t="str">
        <f t="shared" si="7"/>
        <v/>
      </c>
    </row>
    <row r="248" spans="1:10" x14ac:dyDescent="0.3">
      <c r="A248" s="1" t="str">
        <f t="shared" si="6"/>
        <v/>
      </c>
      <c r="B248" s="2"/>
      <c r="C248" s="2"/>
      <c r="J248" s="1" t="str">
        <f t="shared" si="7"/>
        <v/>
      </c>
    </row>
    <row r="249" spans="1:10" x14ac:dyDescent="0.3">
      <c r="A249" s="1" t="str">
        <f t="shared" si="6"/>
        <v/>
      </c>
      <c r="B249" s="2"/>
      <c r="C249" s="2"/>
      <c r="J249" s="1" t="str">
        <f t="shared" si="7"/>
        <v/>
      </c>
    </row>
    <row r="250" spans="1:10" x14ac:dyDescent="0.3">
      <c r="A250" s="1" t="str">
        <f t="shared" si="6"/>
        <v/>
      </c>
      <c r="B250" s="2"/>
      <c r="C250" s="2"/>
      <c r="J250" s="1" t="str">
        <f t="shared" si="7"/>
        <v/>
      </c>
    </row>
    <row r="251" spans="1:10" x14ac:dyDescent="0.3">
      <c r="A251" s="1" t="str">
        <f t="shared" si="6"/>
        <v/>
      </c>
      <c r="B251" s="2"/>
      <c r="C251" s="2"/>
      <c r="J251" s="1" t="str">
        <f t="shared" si="7"/>
        <v/>
      </c>
    </row>
    <row r="252" spans="1:10" x14ac:dyDescent="0.3">
      <c r="A252" s="1" t="str">
        <f t="shared" si="6"/>
        <v/>
      </c>
      <c r="B252" s="2"/>
      <c r="C252" s="2"/>
      <c r="J252" s="1" t="str">
        <f t="shared" si="7"/>
        <v/>
      </c>
    </row>
    <row r="253" spans="1:10" x14ac:dyDescent="0.3">
      <c r="A253" s="1" t="str">
        <f t="shared" si="6"/>
        <v/>
      </c>
      <c r="B253" s="2"/>
      <c r="C253" s="2"/>
      <c r="J253" s="1" t="str">
        <f t="shared" si="7"/>
        <v/>
      </c>
    </row>
    <row r="254" spans="1:10" x14ac:dyDescent="0.3">
      <c r="A254" s="1" t="str">
        <f t="shared" si="6"/>
        <v/>
      </c>
      <c r="B254" s="2"/>
      <c r="C254" s="2"/>
      <c r="J254" s="1" t="str">
        <f t="shared" si="7"/>
        <v/>
      </c>
    </row>
    <row r="255" spans="1:10" x14ac:dyDescent="0.3">
      <c r="A255" s="1" t="str">
        <f t="shared" si="6"/>
        <v/>
      </c>
      <c r="B255" s="2"/>
      <c r="C255" s="2"/>
      <c r="J255" s="1" t="str">
        <f t="shared" si="7"/>
        <v/>
      </c>
    </row>
    <row r="256" spans="1:10" x14ac:dyDescent="0.3">
      <c r="A256" s="1" t="str">
        <f t="shared" si="6"/>
        <v/>
      </c>
      <c r="B256" s="2"/>
      <c r="C256" s="2"/>
      <c r="J256" s="1" t="str">
        <f t="shared" si="7"/>
        <v/>
      </c>
    </row>
    <row r="257" spans="1:10" x14ac:dyDescent="0.3">
      <c r="A257" s="1" t="str">
        <f t="shared" si="6"/>
        <v/>
      </c>
      <c r="B257" s="2"/>
      <c r="C257" s="2"/>
      <c r="J257" s="1" t="str">
        <f t="shared" si="7"/>
        <v/>
      </c>
    </row>
    <row r="258" spans="1:10" x14ac:dyDescent="0.3">
      <c r="A258" s="1" t="str">
        <f t="shared" si="6"/>
        <v/>
      </c>
      <c r="B258" s="2"/>
      <c r="C258" s="2"/>
      <c r="J258" s="1" t="str">
        <f t="shared" si="7"/>
        <v/>
      </c>
    </row>
    <row r="259" spans="1:10" x14ac:dyDescent="0.3">
      <c r="A259" s="1" t="str">
        <f t="shared" si="6"/>
        <v/>
      </c>
      <c r="B259" s="2"/>
      <c r="C259" s="2"/>
      <c r="J259" s="1" t="str">
        <f t="shared" si="7"/>
        <v/>
      </c>
    </row>
    <row r="260" spans="1:10" x14ac:dyDescent="0.3">
      <c r="A260" s="1" t="str">
        <f t="shared" si="6"/>
        <v/>
      </c>
      <c r="B260" s="2"/>
      <c r="C260" s="2"/>
      <c r="J260" s="1" t="str">
        <f t="shared" si="7"/>
        <v/>
      </c>
    </row>
    <row r="261" spans="1:10" x14ac:dyDescent="0.3">
      <c r="A261" s="1" t="str">
        <f t="shared" si="6"/>
        <v/>
      </c>
      <c r="B261" s="2"/>
      <c r="C261" s="2"/>
      <c r="J261" s="1" t="str">
        <f t="shared" si="7"/>
        <v/>
      </c>
    </row>
    <row r="262" spans="1:10" x14ac:dyDescent="0.3">
      <c r="A262" s="1" t="str">
        <f t="shared" si="6"/>
        <v/>
      </c>
      <c r="B262" s="2"/>
      <c r="C262" s="2"/>
      <c r="J262" s="1" t="str">
        <f t="shared" si="7"/>
        <v/>
      </c>
    </row>
    <row r="263" spans="1:10" x14ac:dyDescent="0.3">
      <c r="A263" s="1" t="str">
        <f t="shared" ref="A263:A326" si="8">IF(B263&lt;&gt;"",A262+1,"")</f>
        <v/>
      </c>
      <c r="B263" s="2"/>
      <c r="C263" s="2"/>
      <c r="J263" s="1" t="str">
        <f t="shared" ref="J263:J326" si="9">IF(K263&lt;&gt;"",J262+1,"")</f>
        <v/>
      </c>
    </row>
    <row r="264" spans="1:10" x14ac:dyDescent="0.3">
      <c r="A264" s="1" t="str">
        <f t="shared" si="8"/>
        <v/>
      </c>
      <c r="B264" s="2"/>
      <c r="C264" s="2"/>
      <c r="J264" s="1" t="str">
        <f t="shared" si="9"/>
        <v/>
      </c>
    </row>
    <row r="265" spans="1:10" x14ac:dyDescent="0.3">
      <c r="A265" s="1" t="str">
        <f t="shared" si="8"/>
        <v/>
      </c>
      <c r="B265" s="2"/>
      <c r="C265" s="2"/>
      <c r="J265" s="1" t="str">
        <f t="shared" si="9"/>
        <v/>
      </c>
    </row>
    <row r="266" spans="1:10" x14ac:dyDescent="0.3">
      <c r="A266" s="1" t="str">
        <f t="shared" si="8"/>
        <v/>
      </c>
      <c r="B266" s="2"/>
      <c r="C266" s="2"/>
      <c r="J266" s="1" t="str">
        <f t="shared" si="9"/>
        <v/>
      </c>
    </row>
    <row r="267" spans="1:10" x14ac:dyDescent="0.3">
      <c r="A267" s="1" t="str">
        <f t="shared" si="8"/>
        <v/>
      </c>
      <c r="B267" s="2"/>
      <c r="C267" s="2"/>
      <c r="J267" s="1" t="str">
        <f t="shared" si="9"/>
        <v/>
      </c>
    </row>
    <row r="268" spans="1:10" x14ac:dyDescent="0.3">
      <c r="A268" s="1" t="str">
        <f t="shared" si="8"/>
        <v/>
      </c>
      <c r="B268" s="2"/>
      <c r="C268" s="2"/>
      <c r="J268" s="1" t="str">
        <f t="shared" si="9"/>
        <v/>
      </c>
    </row>
    <row r="269" spans="1:10" x14ac:dyDescent="0.3">
      <c r="A269" s="1" t="str">
        <f t="shared" si="8"/>
        <v/>
      </c>
      <c r="B269" s="2"/>
      <c r="C269" s="2"/>
      <c r="J269" s="1" t="str">
        <f t="shared" si="9"/>
        <v/>
      </c>
    </row>
    <row r="270" spans="1:10" x14ac:dyDescent="0.3">
      <c r="A270" s="1" t="str">
        <f t="shared" si="8"/>
        <v/>
      </c>
      <c r="B270" s="2"/>
      <c r="C270" s="2"/>
      <c r="J270" s="1" t="str">
        <f t="shared" si="9"/>
        <v/>
      </c>
    </row>
    <row r="271" spans="1:10" x14ac:dyDescent="0.3">
      <c r="A271" s="1" t="str">
        <f t="shared" si="8"/>
        <v/>
      </c>
      <c r="B271" s="2"/>
      <c r="C271" s="2"/>
      <c r="J271" s="1" t="str">
        <f t="shared" si="9"/>
        <v/>
      </c>
    </row>
    <row r="272" spans="1:10" x14ac:dyDescent="0.3">
      <c r="A272" s="1" t="str">
        <f t="shared" si="8"/>
        <v/>
      </c>
      <c r="B272" s="2"/>
      <c r="C272" s="2"/>
      <c r="J272" s="1" t="str">
        <f t="shared" si="9"/>
        <v/>
      </c>
    </row>
    <row r="273" spans="1:10" x14ac:dyDescent="0.3">
      <c r="A273" s="1" t="str">
        <f t="shared" si="8"/>
        <v/>
      </c>
      <c r="B273" s="2"/>
      <c r="C273" s="2"/>
      <c r="J273" s="1" t="str">
        <f t="shared" si="9"/>
        <v/>
      </c>
    </row>
    <row r="274" spans="1:10" x14ac:dyDescent="0.3">
      <c r="A274" s="1" t="str">
        <f t="shared" si="8"/>
        <v/>
      </c>
      <c r="B274" s="2"/>
      <c r="C274" s="2"/>
      <c r="J274" s="1" t="str">
        <f t="shared" si="9"/>
        <v/>
      </c>
    </row>
    <row r="275" spans="1:10" x14ac:dyDescent="0.3">
      <c r="A275" s="1" t="str">
        <f t="shared" si="8"/>
        <v/>
      </c>
      <c r="B275" s="2"/>
      <c r="C275" s="2"/>
      <c r="J275" s="1" t="str">
        <f t="shared" si="9"/>
        <v/>
      </c>
    </row>
    <row r="276" spans="1:10" x14ac:dyDescent="0.3">
      <c r="A276" s="1" t="str">
        <f t="shared" si="8"/>
        <v/>
      </c>
      <c r="B276" s="2"/>
      <c r="C276" s="2"/>
      <c r="J276" s="1" t="str">
        <f t="shared" si="9"/>
        <v/>
      </c>
    </row>
    <row r="277" spans="1:10" x14ac:dyDescent="0.3">
      <c r="A277" s="1" t="str">
        <f t="shared" si="8"/>
        <v/>
      </c>
      <c r="B277" s="2"/>
      <c r="C277" s="2"/>
      <c r="J277" s="1" t="str">
        <f t="shared" si="9"/>
        <v/>
      </c>
    </row>
    <row r="278" spans="1:10" x14ac:dyDescent="0.3">
      <c r="A278" s="1" t="str">
        <f t="shared" si="8"/>
        <v/>
      </c>
      <c r="B278" s="2"/>
      <c r="C278" s="2"/>
      <c r="J278" s="1" t="str">
        <f t="shared" si="9"/>
        <v/>
      </c>
    </row>
    <row r="279" spans="1:10" x14ac:dyDescent="0.3">
      <c r="A279" s="1" t="str">
        <f t="shared" si="8"/>
        <v/>
      </c>
      <c r="B279" s="2"/>
      <c r="C279" s="2"/>
      <c r="J279" s="1" t="str">
        <f t="shared" si="9"/>
        <v/>
      </c>
    </row>
    <row r="280" spans="1:10" x14ac:dyDescent="0.3">
      <c r="A280" s="1" t="str">
        <f t="shared" si="8"/>
        <v/>
      </c>
      <c r="B280" s="2"/>
      <c r="C280" s="2"/>
      <c r="J280" s="1" t="str">
        <f t="shared" si="9"/>
        <v/>
      </c>
    </row>
    <row r="281" spans="1:10" x14ac:dyDescent="0.3">
      <c r="A281" s="1" t="str">
        <f t="shared" si="8"/>
        <v/>
      </c>
      <c r="B281" s="2"/>
      <c r="C281" s="2"/>
      <c r="J281" s="1" t="str">
        <f t="shared" si="9"/>
        <v/>
      </c>
    </row>
    <row r="282" spans="1:10" x14ac:dyDescent="0.3">
      <c r="A282" s="1" t="str">
        <f t="shared" si="8"/>
        <v/>
      </c>
      <c r="B282" s="2"/>
      <c r="C282" s="2"/>
      <c r="J282" s="1" t="str">
        <f t="shared" si="9"/>
        <v/>
      </c>
    </row>
    <row r="283" spans="1:10" x14ac:dyDescent="0.3">
      <c r="A283" s="1" t="str">
        <f t="shared" si="8"/>
        <v/>
      </c>
      <c r="B283" s="2"/>
      <c r="C283" s="2"/>
      <c r="J283" s="1" t="str">
        <f t="shared" si="9"/>
        <v/>
      </c>
    </row>
    <row r="284" spans="1:10" x14ac:dyDescent="0.3">
      <c r="A284" s="1" t="str">
        <f t="shared" si="8"/>
        <v/>
      </c>
      <c r="B284" s="2"/>
      <c r="C284" s="2"/>
      <c r="J284" s="1" t="str">
        <f t="shared" si="9"/>
        <v/>
      </c>
    </row>
    <row r="285" spans="1:10" x14ac:dyDescent="0.3">
      <c r="A285" s="1" t="str">
        <f t="shared" si="8"/>
        <v/>
      </c>
      <c r="B285" s="2"/>
      <c r="C285" s="2"/>
      <c r="J285" s="1" t="str">
        <f t="shared" si="9"/>
        <v/>
      </c>
    </row>
    <row r="286" spans="1:10" x14ac:dyDescent="0.3">
      <c r="A286" s="1" t="str">
        <f t="shared" si="8"/>
        <v/>
      </c>
      <c r="B286" s="2"/>
      <c r="C286" s="2"/>
      <c r="J286" s="1" t="str">
        <f t="shared" si="9"/>
        <v/>
      </c>
    </row>
    <row r="287" spans="1:10" x14ac:dyDescent="0.3">
      <c r="A287" s="1" t="str">
        <f t="shared" si="8"/>
        <v/>
      </c>
      <c r="B287" s="2"/>
      <c r="C287" s="2"/>
      <c r="J287" s="1" t="str">
        <f t="shared" si="9"/>
        <v/>
      </c>
    </row>
    <row r="288" spans="1:10" x14ac:dyDescent="0.3">
      <c r="A288" s="1" t="str">
        <f t="shared" si="8"/>
        <v/>
      </c>
      <c r="B288" s="2"/>
      <c r="C288" s="2"/>
      <c r="J288" s="1" t="str">
        <f t="shared" si="9"/>
        <v/>
      </c>
    </row>
    <row r="289" spans="1:10" x14ac:dyDescent="0.3">
      <c r="A289" s="1" t="str">
        <f t="shared" si="8"/>
        <v/>
      </c>
      <c r="B289" s="2"/>
      <c r="C289" s="2"/>
      <c r="J289" s="1" t="str">
        <f t="shared" si="9"/>
        <v/>
      </c>
    </row>
    <row r="290" spans="1:10" x14ac:dyDescent="0.3">
      <c r="A290" s="1" t="str">
        <f t="shared" si="8"/>
        <v/>
      </c>
      <c r="B290" s="2"/>
      <c r="C290" s="2"/>
      <c r="J290" s="1" t="str">
        <f t="shared" si="9"/>
        <v/>
      </c>
    </row>
    <row r="291" spans="1:10" x14ac:dyDescent="0.3">
      <c r="A291" s="1" t="str">
        <f t="shared" si="8"/>
        <v/>
      </c>
      <c r="B291" s="2"/>
      <c r="C291" s="2"/>
      <c r="J291" s="1" t="str">
        <f t="shared" si="9"/>
        <v/>
      </c>
    </row>
    <row r="292" spans="1:10" x14ac:dyDescent="0.3">
      <c r="A292" s="1" t="str">
        <f t="shared" si="8"/>
        <v/>
      </c>
      <c r="B292" s="2"/>
      <c r="C292" s="2"/>
      <c r="J292" s="1" t="str">
        <f t="shared" si="9"/>
        <v/>
      </c>
    </row>
    <row r="293" spans="1:10" x14ac:dyDescent="0.3">
      <c r="A293" s="1" t="str">
        <f t="shared" si="8"/>
        <v/>
      </c>
      <c r="B293" s="2"/>
      <c r="C293" s="2"/>
      <c r="J293" s="1" t="str">
        <f t="shared" si="9"/>
        <v/>
      </c>
    </row>
    <row r="294" spans="1:10" x14ac:dyDescent="0.3">
      <c r="A294" s="1" t="str">
        <f t="shared" si="8"/>
        <v/>
      </c>
      <c r="B294" s="2"/>
      <c r="C294" s="2"/>
      <c r="J294" s="1" t="str">
        <f t="shared" si="9"/>
        <v/>
      </c>
    </row>
    <row r="295" spans="1:10" x14ac:dyDescent="0.3">
      <c r="A295" s="1" t="str">
        <f t="shared" si="8"/>
        <v/>
      </c>
      <c r="B295" s="2"/>
      <c r="C295" s="2"/>
      <c r="J295" s="1" t="str">
        <f t="shared" si="9"/>
        <v/>
      </c>
    </row>
    <row r="296" spans="1:10" x14ac:dyDescent="0.3">
      <c r="A296" s="1" t="str">
        <f t="shared" si="8"/>
        <v/>
      </c>
      <c r="B296" s="2"/>
      <c r="C296" s="2"/>
      <c r="J296" s="1" t="str">
        <f t="shared" si="9"/>
        <v/>
      </c>
    </row>
    <row r="297" spans="1:10" x14ac:dyDescent="0.3">
      <c r="A297" s="1" t="str">
        <f t="shared" si="8"/>
        <v/>
      </c>
      <c r="B297" s="2"/>
      <c r="C297" s="2"/>
      <c r="J297" s="1" t="str">
        <f t="shared" si="9"/>
        <v/>
      </c>
    </row>
    <row r="298" spans="1:10" x14ac:dyDescent="0.3">
      <c r="A298" s="1" t="str">
        <f t="shared" si="8"/>
        <v/>
      </c>
      <c r="B298" s="2"/>
      <c r="C298" s="2"/>
      <c r="J298" s="1" t="str">
        <f t="shared" si="9"/>
        <v/>
      </c>
    </row>
    <row r="299" spans="1:10" x14ac:dyDescent="0.3">
      <c r="A299" s="1" t="str">
        <f t="shared" si="8"/>
        <v/>
      </c>
      <c r="B299" s="2"/>
      <c r="C299" s="2"/>
      <c r="J299" s="1" t="str">
        <f t="shared" si="9"/>
        <v/>
      </c>
    </row>
    <row r="300" spans="1:10" x14ac:dyDescent="0.3">
      <c r="A300" s="1" t="str">
        <f t="shared" si="8"/>
        <v/>
      </c>
      <c r="B300" s="2"/>
      <c r="C300" s="2"/>
      <c r="J300" s="1" t="str">
        <f t="shared" si="9"/>
        <v/>
      </c>
    </row>
    <row r="301" spans="1:10" x14ac:dyDescent="0.3">
      <c r="A301" s="1" t="str">
        <f t="shared" si="8"/>
        <v/>
      </c>
      <c r="B301" s="2"/>
      <c r="C301" s="2"/>
      <c r="J301" s="1" t="str">
        <f t="shared" si="9"/>
        <v/>
      </c>
    </row>
    <row r="302" spans="1:10" x14ac:dyDescent="0.3">
      <c r="A302" s="1" t="str">
        <f t="shared" si="8"/>
        <v/>
      </c>
      <c r="B302" s="2"/>
      <c r="C302" s="2"/>
      <c r="J302" s="1" t="str">
        <f t="shared" si="9"/>
        <v/>
      </c>
    </row>
    <row r="303" spans="1:10" x14ac:dyDescent="0.3">
      <c r="A303" s="1" t="str">
        <f t="shared" si="8"/>
        <v/>
      </c>
      <c r="B303" s="2"/>
      <c r="C303" s="2"/>
      <c r="J303" s="1" t="str">
        <f t="shared" si="9"/>
        <v/>
      </c>
    </row>
    <row r="304" spans="1:10" x14ac:dyDescent="0.3">
      <c r="A304" s="1" t="str">
        <f t="shared" si="8"/>
        <v/>
      </c>
      <c r="B304" s="2"/>
      <c r="C304" s="2"/>
      <c r="J304" s="1" t="str">
        <f t="shared" si="9"/>
        <v/>
      </c>
    </row>
    <row r="305" spans="1:10" x14ac:dyDescent="0.3">
      <c r="A305" s="1" t="str">
        <f t="shared" si="8"/>
        <v/>
      </c>
      <c r="B305" s="2"/>
      <c r="C305" s="2"/>
      <c r="J305" s="1" t="str">
        <f t="shared" si="9"/>
        <v/>
      </c>
    </row>
    <row r="306" spans="1:10" x14ac:dyDescent="0.3">
      <c r="A306" s="1" t="str">
        <f t="shared" si="8"/>
        <v/>
      </c>
      <c r="B306" s="2"/>
      <c r="C306" s="2"/>
      <c r="J306" s="1" t="str">
        <f t="shared" si="9"/>
        <v/>
      </c>
    </row>
    <row r="307" spans="1:10" x14ac:dyDescent="0.3">
      <c r="A307" s="1" t="str">
        <f t="shared" si="8"/>
        <v/>
      </c>
      <c r="B307" s="2"/>
      <c r="C307" s="2"/>
      <c r="J307" s="1" t="str">
        <f t="shared" si="9"/>
        <v/>
      </c>
    </row>
    <row r="308" spans="1:10" x14ac:dyDescent="0.3">
      <c r="A308" s="1" t="str">
        <f t="shared" si="8"/>
        <v/>
      </c>
      <c r="B308" s="2"/>
      <c r="C308" s="2"/>
      <c r="J308" s="1" t="str">
        <f t="shared" si="9"/>
        <v/>
      </c>
    </row>
    <row r="309" spans="1:10" x14ac:dyDescent="0.3">
      <c r="A309" s="1" t="str">
        <f t="shared" si="8"/>
        <v/>
      </c>
      <c r="B309" s="2"/>
      <c r="C309" s="2"/>
      <c r="J309" s="1" t="str">
        <f t="shared" si="9"/>
        <v/>
      </c>
    </row>
    <row r="310" spans="1:10" x14ac:dyDescent="0.3">
      <c r="A310" s="1" t="str">
        <f t="shared" si="8"/>
        <v/>
      </c>
      <c r="B310" s="2"/>
      <c r="C310" s="2"/>
      <c r="J310" s="1" t="str">
        <f t="shared" si="9"/>
        <v/>
      </c>
    </row>
    <row r="311" spans="1:10" x14ac:dyDescent="0.3">
      <c r="A311" s="1" t="str">
        <f t="shared" si="8"/>
        <v/>
      </c>
      <c r="B311" s="2"/>
      <c r="C311" s="2"/>
      <c r="J311" s="1" t="str">
        <f t="shared" si="9"/>
        <v/>
      </c>
    </row>
    <row r="312" spans="1:10" x14ac:dyDescent="0.3">
      <c r="A312" s="1" t="str">
        <f t="shared" si="8"/>
        <v/>
      </c>
      <c r="B312" s="2"/>
      <c r="C312" s="2"/>
      <c r="J312" s="1" t="str">
        <f t="shared" si="9"/>
        <v/>
      </c>
    </row>
    <row r="313" spans="1:10" x14ac:dyDescent="0.3">
      <c r="A313" s="1" t="str">
        <f t="shared" si="8"/>
        <v/>
      </c>
      <c r="B313" s="2"/>
      <c r="C313" s="2"/>
      <c r="J313" s="1" t="str">
        <f t="shared" si="9"/>
        <v/>
      </c>
    </row>
    <row r="314" spans="1:10" x14ac:dyDescent="0.3">
      <c r="A314" s="1" t="str">
        <f t="shared" si="8"/>
        <v/>
      </c>
      <c r="B314" s="2"/>
      <c r="C314" s="2"/>
      <c r="J314" s="1" t="str">
        <f t="shared" si="9"/>
        <v/>
      </c>
    </row>
    <row r="315" spans="1:10" x14ac:dyDescent="0.3">
      <c r="A315" s="1" t="str">
        <f t="shared" si="8"/>
        <v/>
      </c>
      <c r="B315" s="2"/>
      <c r="C315" s="2"/>
      <c r="J315" s="1" t="str">
        <f t="shared" si="9"/>
        <v/>
      </c>
    </row>
    <row r="316" spans="1:10" x14ac:dyDescent="0.3">
      <c r="A316" s="1" t="str">
        <f t="shared" si="8"/>
        <v/>
      </c>
      <c r="B316" s="2"/>
      <c r="C316" s="2"/>
      <c r="J316" s="1" t="str">
        <f t="shared" si="9"/>
        <v/>
      </c>
    </row>
    <row r="317" spans="1:10" x14ac:dyDescent="0.3">
      <c r="A317" s="1" t="str">
        <f t="shared" si="8"/>
        <v/>
      </c>
      <c r="B317" s="2"/>
      <c r="C317" s="2"/>
      <c r="J317" s="1" t="str">
        <f t="shared" si="9"/>
        <v/>
      </c>
    </row>
    <row r="318" spans="1:10" x14ac:dyDescent="0.3">
      <c r="A318" s="1" t="str">
        <f t="shared" si="8"/>
        <v/>
      </c>
      <c r="B318" s="2"/>
      <c r="C318" s="2"/>
      <c r="J318" s="1" t="str">
        <f t="shared" si="9"/>
        <v/>
      </c>
    </row>
    <row r="319" spans="1:10" x14ac:dyDescent="0.3">
      <c r="A319" s="1" t="str">
        <f t="shared" si="8"/>
        <v/>
      </c>
      <c r="B319" s="2"/>
      <c r="C319" s="2"/>
      <c r="J319" s="1" t="str">
        <f t="shared" si="9"/>
        <v/>
      </c>
    </row>
    <row r="320" spans="1:10" x14ac:dyDescent="0.3">
      <c r="A320" s="1" t="str">
        <f t="shared" si="8"/>
        <v/>
      </c>
      <c r="B320" s="2"/>
      <c r="C320" s="2"/>
      <c r="J320" s="1" t="str">
        <f t="shared" si="9"/>
        <v/>
      </c>
    </row>
    <row r="321" spans="1:10" x14ac:dyDescent="0.3">
      <c r="A321" s="1" t="str">
        <f t="shared" si="8"/>
        <v/>
      </c>
      <c r="B321" s="2"/>
      <c r="C321" s="2"/>
      <c r="J321" s="1" t="str">
        <f t="shared" si="9"/>
        <v/>
      </c>
    </row>
    <row r="322" spans="1:10" x14ac:dyDescent="0.3">
      <c r="A322" s="1" t="str">
        <f t="shared" si="8"/>
        <v/>
      </c>
      <c r="B322" s="2"/>
      <c r="C322" s="2"/>
      <c r="J322" s="1" t="str">
        <f t="shared" si="9"/>
        <v/>
      </c>
    </row>
    <row r="323" spans="1:10" x14ac:dyDescent="0.3">
      <c r="A323" s="1" t="str">
        <f t="shared" si="8"/>
        <v/>
      </c>
      <c r="B323" s="2"/>
      <c r="C323" s="2"/>
      <c r="J323" s="1" t="str">
        <f t="shared" si="9"/>
        <v/>
      </c>
    </row>
    <row r="324" spans="1:10" x14ac:dyDescent="0.3">
      <c r="A324" s="1" t="str">
        <f t="shared" si="8"/>
        <v/>
      </c>
      <c r="B324" s="2"/>
      <c r="C324" s="2"/>
      <c r="J324" s="1" t="str">
        <f t="shared" si="9"/>
        <v/>
      </c>
    </row>
    <row r="325" spans="1:10" x14ac:dyDescent="0.3">
      <c r="A325" s="1" t="str">
        <f t="shared" si="8"/>
        <v/>
      </c>
      <c r="B325" s="2"/>
      <c r="C325" s="2"/>
      <c r="J325" s="1" t="str">
        <f t="shared" si="9"/>
        <v/>
      </c>
    </row>
    <row r="326" spans="1:10" x14ac:dyDescent="0.3">
      <c r="A326" s="1" t="str">
        <f t="shared" si="8"/>
        <v/>
      </c>
      <c r="B326" s="2"/>
      <c r="C326" s="2"/>
      <c r="J326" s="1" t="str">
        <f t="shared" si="9"/>
        <v/>
      </c>
    </row>
    <row r="327" spans="1:10" x14ac:dyDescent="0.3">
      <c r="A327" s="1" t="str">
        <f t="shared" ref="A327:A390" si="10">IF(B327&lt;&gt;"",A326+1,"")</f>
        <v/>
      </c>
      <c r="B327" s="2"/>
      <c r="C327" s="2"/>
      <c r="J327" s="1" t="str">
        <f t="shared" ref="J327:J375" si="11">IF(K327&lt;&gt;"",J326+1,"")</f>
        <v/>
      </c>
    </row>
    <row r="328" spans="1:10" x14ac:dyDescent="0.3">
      <c r="A328" s="1" t="str">
        <f t="shared" si="10"/>
        <v/>
      </c>
      <c r="B328" s="2"/>
      <c r="C328" s="2"/>
      <c r="J328" s="1" t="str">
        <f t="shared" si="11"/>
        <v/>
      </c>
    </row>
    <row r="329" spans="1:10" x14ac:dyDescent="0.3">
      <c r="A329" s="1" t="str">
        <f t="shared" si="10"/>
        <v/>
      </c>
      <c r="B329" s="2"/>
      <c r="C329" s="2"/>
      <c r="J329" s="1" t="str">
        <f t="shared" si="11"/>
        <v/>
      </c>
    </row>
    <row r="330" spans="1:10" x14ac:dyDescent="0.3">
      <c r="A330" s="1" t="str">
        <f t="shared" si="10"/>
        <v/>
      </c>
      <c r="B330" s="2"/>
      <c r="C330" s="2"/>
      <c r="J330" s="1" t="str">
        <f t="shared" si="11"/>
        <v/>
      </c>
    </row>
    <row r="331" spans="1:10" x14ac:dyDescent="0.3">
      <c r="A331" s="1" t="str">
        <f t="shared" si="10"/>
        <v/>
      </c>
      <c r="B331" s="2"/>
      <c r="C331" s="2"/>
      <c r="J331" s="1" t="str">
        <f t="shared" si="11"/>
        <v/>
      </c>
    </row>
    <row r="332" spans="1:10" x14ac:dyDescent="0.3">
      <c r="A332" s="1" t="str">
        <f t="shared" si="10"/>
        <v/>
      </c>
      <c r="B332" s="2"/>
      <c r="C332" s="2"/>
      <c r="J332" s="1" t="str">
        <f t="shared" si="11"/>
        <v/>
      </c>
    </row>
    <row r="333" spans="1:10" x14ac:dyDescent="0.3">
      <c r="A333" s="1" t="str">
        <f t="shared" si="10"/>
        <v/>
      </c>
      <c r="B333" s="2"/>
      <c r="C333" s="2"/>
      <c r="J333" s="1" t="str">
        <f t="shared" si="11"/>
        <v/>
      </c>
    </row>
    <row r="334" spans="1:10" x14ac:dyDescent="0.3">
      <c r="A334" s="1" t="str">
        <f t="shared" si="10"/>
        <v/>
      </c>
      <c r="B334" s="2"/>
      <c r="C334" s="2"/>
      <c r="J334" s="1" t="str">
        <f t="shared" si="11"/>
        <v/>
      </c>
    </row>
    <row r="335" spans="1:10" x14ac:dyDescent="0.3">
      <c r="A335" s="1" t="str">
        <f t="shared" si="10"/>
        <v/>
      </c>
      <c r="B335" s="2"/>
      <c r="C335" s="2"/>
      <c r="J335" s="1" t="str">
        <f t="shared" si="11"/>
        <v/>
      </c>
    </row>
    <row r="336" spans="1:10" x14ac:dyDescent="0.3">
      <c r="A336" s="1" t="str">
        <f t="shared" si="10"/>
        <v/>
      </c>
      <c r="B336" s="2"/>
      <c r="C336" s="2"/>
      <c r="J336" s="1" t="str">
        <f t="shared" si="11"/>
        <v/>
      </c>
    </row>
    <row r="337" spans="1:10" x14ac:dyDescent="0.3">
      <c r="A337" s="1" t="str">
        <f t="shared" si="10"/>
        <v/>
      </c>
      <c r="B337" s="2"/>
      <c r="C337" s="2"/>
      <c r="J337" s="1" t="str">
        <f t="shared" si="11"/>
        <v/>
      </c>
    </row>
    <row r="338" spans="1:10" x14ac:dyDescent="0.3">
      <c r="A338" s="1" t="str">
        <f t="shared" si="10"/>
        <v/>
      </c>
      <c r="B338" s="2"/>
      <c r="C338" s="2"/>
      <c r="J338" s="1" t="str">
        <f t="shared" si="11"/>
        <v/>
      </c>
    </row>
    <row r="339" spans="1:10" x14ac:dyDescent="0.3">
      <c r="A339" s="1" t="str">
        <f t="shared" si="10"/>
        <v/>
      </c>
      <c r="B339" s="2"/>
      <c r="C339" s="2"/>
      <c r="J339" s="1" t="str">
        <f t="shared" si="11"/>
        <v/>
      </c>
    </row>
    <row r="340" spans="1:10" x14ac:dyDescent="0.3">
      <c r="A340" s="1" t="str">
        <f t="shared" si="10"/>
        <v/>
      </c>
      <c r="B340" s="2"/>
      <c r="C340" s="2"/>
      <c r="J340" s="1" t="str">
        <f t="shared" si="11"/>
        <v/>
      </c>
    </row>
    <row r="341" spans="1:10" x14ac:dyDescent="0.3">
      <c r="A341" s="1" t="str">
        <f t="shared" si="10"/>
        <v/>
      </c>
      <c r="B341" s="2"/>
      <c r="C341" s="2"/>
      <c r="J341" s="1" t="str">
        <f t="shared" si="11"/>
        <v/>
      </c>
    </row>
    <row r="342" spans="1:10" x14ac:dyDescent="0.3">
      <c r="A342" s="1" t="str">
        <f t="shared" si="10"/>
        <v/>
      </c>
      <c r="B342" s="2"/>
      <c r="C342" s="2"/>
      <c r="J342" s="1" t="str">
        <f t="shared" si="11"/>
        <v/>
      </c>
    </row>
    <row r="343" spans="1:10" x14ac:dyDescent="0.3">
      <c r="A343" s="1" t="str">
        <f t="shared" si="10"/>
        <v/>
      </c>
      <c r="B343" s="2"/>
      <c r="C343" s="2"/>
      <c r="J343" s="1" t="str">
        <f t="shared" si="11"/>
        <v/>
      </c>
    </row>
    <row r="344" spans="1:10" x14ac:dyDescent="0.3">
      <c r="A344" s="1" t="str">
        <f t="shared" si="10"/>
        <v/>
      </c>
      <c r="B344" s="2"/>
      <c r="C344" s="2"/>
      <c r="J344" s="1" t="str">
        <f t="shared" si="11"/>
        <v/>
      </c>
    </row>
    <row r="345" spans="1:10" x14ac:dyDescent="0.3">
      <c r="A345" s="1" t="str">
        <f t="shared" si="10"/>
        <v/>
      </c>
      <c r="B345" s="2"/>
      <c r="C345" s="2"/>
      <c r="J345" s="1" t="str">
        <f t="shared" si="11"/>
        <v/>
      </c>
    </row>
    <row r="346" spans="1:10" x14ac:dyDescent="0.3">
      <c r="A346" s="1" t="str">
        <f t="shared" si="10"/>
        <v/>
      </c>
      <c r="B346" s="2"/>
      <c r="C346" s="2"/>
      <c r="J346" s="1" t="str">
        <f t="shared" si="11"/>
        <v/>
      </c>
    </row>
    <row r="347" spans="1:10" x14ac:dyDescent="0.3">
      <c r="A347" s="1" t="str">
        <f t="shared" si="10"/>
        <v/>
      </c>
      <c r="B347" s="2"/>
      <c r="C347" s="2"/>
      <c r="J347" s="1" t="str">
        <f t="shared" si="11"/>
        <v/>
      </c>
    </row>
    <row r="348" spans="1:10" x14ac:dyDescent="0.3">
      <c r="A348" s="1" t="str">
        <f t="shared" si="10"/>
        <v/>
      </c>
      <c r="B348" s="2"/>
      <c r="C348" s="2"/>
      <c r="J348" s="1" t="str">
        <f t="shared" si="11"/>
        <v/>
      </c>
    </row>
    <row r="349" spans="1:10" x14ac:dyDescent="0.3">
      <c r="A349" s="1" t="str">
        <f t="shared" si="10"/>
        <v/>
      </c>
      <c r="B349" s="2"/>
      <c r="C349" s="2"/>
      <c r="J349" s="1" t="str">
        <f t="shared" si="11"/>
        <v/>
      </c>
    </row>
    <row r="350" spans="1:10" x14ac:dyDescent="0.3">
      <c r="A350" s="1" t="str">
        <f t="shared" si="10"/>
        <v/>
      </c>
      <c r="B350" s="2"/>
      <c r="C350" s="2"/>
      <c r="J350" s="1" t="str">
        <f t="shared" si="11"/>
        <v/>
      </c>
    </row>
    <row r="351" spans="1:10" x14ac:dyDescent="0.3">
      <c r="A351" s="1" t="str">
        <f t="shared" si="10"/>
        <v/>
      </c>
      <c r="B351" s="2"/>
      <c r="C351" s="2"/>
      <c r="J351" s="1" t="str">
        <f t="shared" si="11"/>
        <v/>
      </c>
    </row>
    <row r="352" spans="1:10" x14ac:dyDescent="0.3">
      <c r="A352" s="1" t="str">
        <f t="shared" si="10"/>
        <v/>
      </c>
      <c r="B352" s="2"/>
      <c r="C352" s="2"/>
      <c r="J352" s="1" t="str">
        <f t="shared" si="11"/>
        <v/>
      </c>
    </row>
    <row r="353" spans="1:10" x14ac:dyDescent="0.3">
      <c r="A353" s="1" t="str">
        <f t="shared" si="10"/>
        <v/>
      </c>
      <c r="B353" s="2"/>
      <c r="C353" s="2"/>
      <c r="J353" s="1" t="str">
        <f t="shared" si="11"/>
        <v/>
      </c>
    </row>
    <row r="354" spans="1:10" x14ac:dyDescent="0.3">
      <c r="A354" s="1" t="str">
        <f t="shared" si="10"/>
        <v/>
      </c>
      <c r="B354" s="2"/>
      <c r="C354" s="2"/>
      <c r="J354" s="1" t="str">
        <f t="shared" si="11"/>
        <v/>
      </c>
    </row>
    <row r="355" spans="1:10" x14ac:dyDescent="0.3">
      <c r="A355" s="1" t="str">
        <f t="shared" si="10"/>
        <v/>
      </c>
      <c r="B355" s="2"/>
      <c r="C355" s="2"/>
      <c r="J355" s="1" t="str">
        <f t="shared" si="11"/>
        <v/>
      </c>
    </row>
    <row r="356" spans="1:10" x14ac:dyDescent="0.3">
      <c r="A356" s="1" t="str">
        <f t="shared" si="10"/>
        <v/>
      </c>
      <c r="B356" s="2"/>
      <c r="C356" s="2"/>
      <c r="J356" s="1" t="str">
        <f t="shared" si="11"/>
        <v/>
      </c>
    </row>
    <row r="357" spans="1:10" x14ac:dyDescent="0.3">
      <c r="A357" s="1" t="str">
        <f t="shared" si="10"/>
        <v/>
      </c>
      <c r="B357" s="2"/>
      <c r="C357" s="2"/>
      <c r="J357" s="1" t="str">
        <f t="shared" si="11"/>
        <v/>
      </c>
    </row>
    <row r="358" spans="1:10" x14ac:dyDescent="0.3">
      <c r="A358" s="1" t="str">
        <f t="shared" si="10"/>
        <v/>
      </c>
      <c r="B358" s="2"/>
      <c r="C358" s="2"/>
      <c r="J358" s="1" t="str">
        <f t="shared" si="11"/>
        <v/>
      </c>
    </row>
    <row r="359" spans="1:10" x14ac:dyDescent="0.3">
      <c r="A359" s="1" t="str">
        <f t="shared" si="10"/>
        <v/>
      </c>
      <c r="B359" s="2"/>
      <c r="C359" s="2"/>
      <c r="J359" s="1" t="str">
        <f t="shared" si="11"/>
        <v/>
      </c>
    </row>
    <row r="360" spans="1:10" x14ac:dyDescent="0.3">
      <c r="A360" s="1" t="str">
        <f t="shared" si="10"/>
        <v/>
      </c>
      <c r="B360" s="2"/>
      <c r="C360" s="2"/>
      <c r="J360" s="1" t="str">
        <f t="shared" si="11"/>
        <v/>
      </c>
    </row>
    <row r="361" spans="1:10" x14ac:dyDescent="0.3">
      <c r="A361" s="1" t="str">
        <f t="shared" si="10"/>
        <v/>
      </c>
      <c r="B361" s="2"/>
      <c r="C361" s="2"/>
      <c r="J361" s="1" t="str">
        <f t="shared" si="11"/>
        <v/>
      </c>
    </row>
    <row r="362" spans="1:10" x14ac:dyDescent="0.3">
      <c r="A362" s="1" t="str">
        <f t="shared" si="10"/>
        <v/>
      </c>
      <c r="B362" s="2"/>
      <c r="C362" s="2"/>
      <c r="J362" s="1" t="str">
        <f t="shared" si="11"/>
        <v/>
      </c>
    </row>
    <row r="363" spans="1:10" x14ac:dyDescent="0.3">
      <c r="A363" s="1" t="str">
        <f t="shared" si="10"/>
        <v/>
      </c>
      <c r="B363" s="2"/>
      <c r="C363" s="2"/>
      <c r="J363" s="1" t="str">
        <f t="shared" si="11"/>
        <v/>
      </c>
    </row>
    <row r="364" spans="1:10" x14ac:dyDescent="0.3">
      <c r="A364" s="1" t="str">
        <f t="shared" si="10"/>
        <v/>
      </c>
      <c r="B364" s="2"/>
      <c r="C364" s="2"/>
      <c r="J364" s="1" t="str">
        <f t="shared" si="11"/>
        <v/>
      </c>
    </row>
    <row r="365" spans="1:10" x14ac:dyDescent="0.3">
      <c r="A365" s="1" t="str">
        <f t="shared" si="10"/>
        <v/>
      </c>
      <c r="B365" s="2"/>
      <c r="C365" s="2"/>
      <c r="J365" s="1" t="str">
        <f t="shared" si="11"/>
        <v/>
      </c>
    </row>
    <row r="366" spans="1:10" x14ac:dyDescent="0.3">
      <c r="A366" s="1" t="str">
        <f t="shared" si="10"/>
        <v/>
      </c>
      <c r="B366" s="2"/>
      <c r="C366" s="2"/>
      <c r="J366" s="1" t="str">
        <f t="shared" si="11"/>
        <v/>
      </c>
    </row>
    <row r="367" spans="1:10" x14ac:dyDescent="0.3">
      <c r="A367" s="1" t="str">
        <f t="shared" si="10"/>
        <v/>
      </c>
      <c r="B367" s="2"/>
      <c r="C367" s="2"/>
      <c r="J367" s="1" t="str">
        <f t="shared" si="11"/>
        <v/>
      </c>
    </row>
    <row r="368" spans="1:10" x14ac:dyDescent="0.3">
      <c r="A368" s="1" t="str">
        <f t="shared" si="10"/>
        <v/>
      </c>
      <c r="B368" s="2"/>
      <c r="C368" s="2"/>
      <c r="J368" s="1" t="str">
        <f t="shared" si="11"/>
        <v/>
      </c>
    </row>
    <row r="369" spans="1:10" x14ac:dyDescent="0.3">
      <c r="A369" s="1" t="str">
        <f t="shared" si="10"/>
        <v/>
      </c>
      <c r="B369" s="2"/>
      <c r="C369" s="2"/>
      <c r="J369" s="1" t="str">
        <f t="shared" si="11"/>
        <v/>
      </c>
    </row>
    <row r="370" spans="1:10" x14ac:dyDescent="0.3">
      <c r="A370" s="1" t="str">
        <f t="shared" si="10"/>
        <v/>
      </c>
      <c r="B370" s="2"/>
      <c r="C370" s="2"/>
      <c r="J370" s="1" t="str">
        <f t="shared" si="11"/>
        <v/>
      </c>
    </row>
    <row r="371" spans="1:10" x14ac:dyDescent="0.3">
      <c r="A371" s="1" t="str">
        <f t="shared" si="10"/>
        <v/>
      </c>
      <c r="B371" s="2"/>
      <c r="C371" s="2"/>
      <c r="J371" s="1" t="str">
        <f t="shared" si="11"/>
        <v/>
      </c>
    </row>
    <row r="372" spans="1:10" x14ac:dyDescent="0.3">
      <c r="A372" s="1" t="str">
        <f t="shared" si="10"/>
        <v/>
      </c>
      <c r="B372" s="2"/>
      <c r="C372" s="2"/>
      <c r="J372" s="1" t="str">
        <f t="shared" si="11"/>
        <v/>
      </c>
    </row>
    <row r="373" spans="1:10" x14ac:dyDescent="0.3">
      <c r="A373" s="1" t="str">
        <f t="shared" si="10"/>
        <v/>
      </c>
      <c r="B373" s="2"/>
      <c r="C373" s="2"/>
      <c r="J373" s="1" t="str">
        <f t="shared" si="11"/>
        <v/>
      </c>
    </row>
    <row r="374" spans="1:10" x14ac:dyDescent="0.3">
      <c r="A374" s="1" t="str">
        <f t="shared" si="10"/>
        <v/>
      </c>
      <c r="B374" s="2"/>
      <c r="C374" s="2"/>
      <c r="J374" s="1" t="str">
        <f t="shared" si="11"/>
        <v/>
      </c>
    </row>
    <row r="375" spans="1:10" x14ac:dyDescent="0.3">
      <c r="A375" s="1" t="str">
        <f t="shared" si="10"/>
        <v/>
      </c>
      <c r="B375" s="2"/>
      <c r="C375" s="2"/>
      <c r="J375" s="1" t="str">
        <f t="shared" si="11"/>
        <v/>
      </c>
    </row>
    <row r="376" spans="1:10" x14ac:dyDescent="0.3">
      <c r="A376" s="1" t="str">
        <f t="shared" si="10"/>
        <v/>
      </c>
      <c r="B376" s="2"/>
      <c r="C376" s="2"/>
    </row>
    <row r="377" spans="1:10" x14ac:dyDescent="0.3">
      <c r="A377" s="1" t="str">
        <f t="shared" si="10"/>
        <v/>
      </c>
      <c r="B377" s="2"/>
      <c r="C377" s="2"/>
    </row>
    <row r="378" spans="1:10" x14ac:dyDescent="0.3">
      <c r="A378" s="1" t="str">
        <f t="shared" si="10"/>
        <v/>
      </c>
      <c r="B378" s="2"/>
      <c r="C378" s="2"/>
    </row>
    <row r="379" spans="1:10" x14ac:dyDescent="0.3">
      <c r="A379" s="1" t="str">
        <f t="shared" si="10"/>
        <v/>
      </c>
      <c r="B379" s="2"/>
      <c r="C379" s="2"/>
    </row>
    <row r="380" spans="1:10" x14ac:dyDescent="0.3">
      <c r="A380" s="1" t="str">
        <f t="shared" si="10"/>
        <v/>
      </c>
      <c r="B380" s="2"/>
      <c r="C380" s="2"/>
    </row>
    <row r="381" spans="1:10" x14ac:dyDescent="0.3">
      <c r="A381" s="1" t="str">
        <f t="shared" si="10"/>
        <v/>
      </c>
      <c r="B381" s="2"/>
      <c r="C381" s="2"/>
    </row>
    <row r="382" spans="1:10" x14ac:dyDescent="0.3">
      <c r="A382" s="1" t="str">
        <f t="shared" si="10"/>
        <v/>
      </c>
      <c r="B382" s="2"/>
      <c r="C382" s="2"/>
    </row>
    <row r="383" spans="1:10" x14ac:dyDescent="0.3">
      <c r="A383" s="1" t="str">
        <f t="shared" si="10"/>
        <v/>
      </c>
      <c r="B383" s="2"/>
      <c r="C383" s="2"/>
    </row>
    <row r="384" spans="1:10" x14ac:dyDescent="0.3">
      <c r="A384" s="1" t="str">
        <f t="shared" si="10"/>
        <v/>
      </c>
      <c r="B384" s="2"/>
      <c r="C384" s="2"/>
    </row>
    <row r="385" spans="1:3" x14ac:dyDescent="0.3">
      <c r="A385" s="1" t="str">
        <f t="shared" si="10"/>
        <v/>
      </c>
      <c r="B385" s="2"/>
      <c r="C385" s="2"/>
    </row>
    <row r="386" spans="1:3" x14ac:dyDescent="0.3">
      <c r="A386" s="1" t="str">
        <f t="shared" si="10"/>
        <v/>
      </c>
      <c r="B386" s="2"/>
      <c r="C386" s="2"/>
    </row>
    <row r="387" spans="1:3" x14ac:dyDescent="0.3">
      <c r="A387" s="1" t="str">
        <f t="shared" si="10"/>
        <v/>
      </c>
      <c r="B387" s="2"/>
      <c r="C387" s="2"/>
    </row>
    <row r="388" spans="1:3" x14ac:dyDescent="0.3">
      <c r="A388" s="1" t="str">
        <f t="shared" si="10"/>
        <v/>
      </c>
      <c r="B388" s="2"/>
      <c r="C388" s="2"/>
    </row>
    <row r="389" spans="1:3" x14ac:dyDescent="0.3">
      <c r="A389" s="1" t="str">
        <f t="shared" si="10"/>
        <v/>
      </c>
      <c r="B389" s="2"/>
      <c r="C389" s="2"/>
    </row>
    <row r="390" spans="1:3" x14ac:dyDescent="0.3">
      <c r="A390" s="1" t="str">
        <f t="shared" si="10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A3:C3"/>
    <mergeCell ref="E3:H3"/>
    <mergeCell ref="B1:E1"/>
    <mergeCell ref="R3:U3"/>
    <mergeCell ref="J3:P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7703B-20F2-4B9F-B1D3-B655BAEB3DC0}">
  <sheetPr codeName="Sheet2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161" t="str">
        <f>_xlfn.CONCAT("Design",Intermediate!C1,"Overturning")</f>
        <v>Design4Overturning</v>
      </c>
      <c r="C1" s="161"/>
      <c r="D1" s="161"/>
      <c r="E1" s="161"/>
      <c r="G1" s="6" t="s">
        <v>17</v>
      </c>
    </row>
    <row r="3" spans="1:21" s="10" customFormat="1" ht="28.95" customHeight="1" x14ac:dyDescent="0.3">
      <c r="A3" s="159" t="s">
        <v>0</v>
      </c>
      <c r="B3" s="159"/>
      <c r="C3" s="159"/>
      <c r="E3" s="160" t="s">
        <v>7</v>
      </c>
      <c r="F3" s="160"/>
      <c r="G3" s="160"/>
      <c r="H3" s="160"/>
      <c r="J3" s="159" t="s">
        <v>11</v>
      </c>
      <c r="K3" s="159"/>
      <c r="L3" s="159"/>
      <c r="M3" s="159"/>
      <c r="N3" s="159"/>
      <c r="O3" s="159"/>
      <c r="P3" s="159"/>
      <c r="R3" s="159" t="s">
        <v>15</v>
      </c>
      <c r="S3" s="159"/>
      <c r="T3" s="159"/>
      <c r="U3" s="159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0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5</v>
      </c>
      <c r="S5" s="1">
        <v>0</v>
      </c>
      <c r="T5" s="1">
        <v>0</v>
      </c>
      <c r="U5" s="1">
        <f>Intermediate!E10</f>
        <v>1029.5999999999999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25.56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27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41.04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54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Intermediate!$C$12</f>
        <v>29000</v>
      </c>
      <c r="O9" s="1">
        <f>Intermediate!$C$13*Intermediate!E16</f>
        <v>4.3890000000000002</v>
      </c>
      <c r="P9" s="1">
        <f>Intermediate!$E$14*Intermediate!E16</f>
        <v>8.2650000000000006</v>
      </c>
    </row>
    <row r="10" spans="1:21" x14ac:dyDescent="0.3">
      <c r="A10" s="1">
        <f t="shared" si="1"/>
        <v>6</v>
      </c>
      <c r="B10" s="2">
        <f>B11</f>
        <v>104.5</v>
      </c>
      <c r="C10" s="2">
        <f>C9-Intermediate!E4+Intermediate!E9+B10*Intermediate!E15</f>
        <v>25.56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Intermediate!$C$12</f>
        <v>29000</v>
      </c>
      <c r="O10" s="1">
        <f>Intermediate!$C$13*Intermediate!E17</f>
        <v>7.3150000000000004</v>
      </c>
      <c r="P10" s="1">
        <f>Intermediate!$E$14*Intermediate!E17</f>
        <v>13.774999999999999</v>
      </c>
    </row>
    <row r="11" spans="1:21" x14ac:dyDescent="0.3">
      <c r="A11" s="1">
        <f t="shared" si="1"/>
        <v>7</v>
      </c>
      <c r="B11" s="2">
        <f>(Intermediate!E5-3.5)</f>
        <v>104.5</v>
      </c>
      <c r="C11" s="2">
        <f>C9-Intermediate!E8+B11*Intermediate!E15</f>
        <v>41.04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Intermediate!$C$12</f>
        <v>29000</v>
      </c>
      <c r="O11" s="1">
        <f>Intermediate!$C$13*Intermediate!E17</f>
        <v>7.3150000000000004</v>
      </c>
      <c r="P11" s="1">
        <f>Intermediate!$E$14*Intermediate!E17</f>
        <v>13.774999999999999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E18" s="1" t="s">
        <v>27</v>
      </c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F4551-9069-491E-95B4-ACA109EA43FF}">
  <sheetPr codeName="Sheet6">
    <tabColor rgb="FFFF0000"/>
  </sheetPr>
  <dimension ref="A1:U662"/>
  <sheetViews>
    <sheetView tabSelected="1" zoomScale="130" zoomScaleNormal="130" workbookViewId="0">
      <selection activeCell="G13" sqref="G13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161" t="str">
        <f>_xlfn.CONCAT("Design",Intermediate!C1,"Stiffness")</f>
        <v>Design4Stiffness</v>
      </c>
      <c r="C1" s="161"/>
      <c r="D1" s="161"/>
      <c r="E1" s="161"/>
      <c r="G1" s="6" t="s">
        <v>17</v>
      </c>
    </row>
    <row r="3" spans="1:21" s="10" customFormat="1" ht="28.95" customHeight="1" x14ac:dyDescent="0.3">
      <c r="A3" s="159" t="s">
        <v>0</v>
      </c>
      <c r="B3" s="159"/>
      <c r="C3" s="159"/>
      <c r="E3" s="160" t="s">
        <v>7</v>
      </c>
      <c r="F3" s="160"/>
      <c r="G3" s="160"/>
      <c r="H3" s="160"/>
      <c r="J3" s="159" t="s">
        <v>11</v>
      </c>
      <c r="K3" s="159"/>
      <c r="L3" s="159"/>
      <c r="M3" s="159"/>
      <c r="N3" s="159"/>
      <c r="O3" s="159"/>
      <c r="P3" s="159"/>
      <c r="R3" s="159" t="s">
        <v>15</v>
      </c>
      <c r="S3" s="159"/>
      <c r="T3" s="159"/>
      <c r="U3" s="159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1</v>
      </c>
      <c r="S5" s="1">
        <v>0</v>
      </c>
      <c r="T5" s="1">
        <v>0</v>
      </c>
      <c r="U5" s="1">
        <v>1000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25.56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27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41.04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54</v>
      </c>
      <c r="J9" s="1">
        <f t="shared" si="0"/>
        <v>5</v>
      </c>
      <c r="K9" s="1">
        <v>4</v>
      </c>
      <c r="L9" s="1">
        <v>7</v>
      </c>
      <c r="M9" s="1">
        <v>1</v>
      </c>
      <c r="N9" s="1">
        <f>Intermediate!$C$12</f>
        <v>29000</v>
      </c>
      <c r="O9" s="1">
        <f>Intermediate!$C$13*Intermediate!E16</f>
        <v>4.3890000000000002</v>
      </c>
      <c r="P9" s="1">
        <f>Intermediate!$E$14*Intermediate!E16</f>
        <v>8.2650000000000006</v>
      </c>
    </row>
    <row r="10" spans="1:21" x14ac:dyDescent="0.3">
      <c r="A10" s="1">
        <f t="shared" si="1"/>
        <v>6</v>
      </c>
      <c r="B10" s="2">
        <f>B11</f>
        <v>104.5</v>
      </c>
      <c r="C10" s="2">
        <f>C9-Intermediate!E4+Intermediate!E9+B10*Intermediate!E15</f>
        <v>25.56</v>
      </c>
      <c r="J10" s="1">
        <f t="shared" si="0"/>
        <v>6</v>
      </c>
      <c r="K10" s="1">
        <v>4</v>
      </c>
      <c r="L10" s="1">
        <v>6</v>
      </c>
      <c r="M10" s="1">
        <v>1</v>
      </c>
      <c r="N10" s="1">
        <f>Intermediate!$C$12</f>
        <v>29000</v>
      </c>
      <c r="O10" s="1">
        <f>Intermediate!$C$13*Intermediate!E17</f>
        <v>7.3150000000000004</v>
      </c>
      <c r="P10" s="1">
        <f>Intermediate!$E$14*Intermediate!E17</f>
        <v>13.774999999999999</v>
      </c>
    </row>
    <row r="11" spans="1:21" x14ac:dyDescent="0.3">
      <c r="A11" s="1">
        <f t="shared" si="1"/>
        <v>7</v>
      </c>
      <c r="B11" s="2">
        <f>(Intermediate!E5-3.5)</f>
        <v>104.5</v>
      </c>
      <c r="C11" s="2">
        <f>C9-Intermediate!E8+B11*Intermediate!E15</f>
        <v>41.04</v>
      </c>
      <c r="J11" s="1">
        <f t="shared" si="0"/>
        <v>7</v>
      </c>
      <c r="K11" s="1">
        <v>2</v>
      </c>
      <c r="L11" s="1">
        <v>7</v>
      </c>
      <c r="M11" s="1">
        <v>1</v>
      </c>
      <c r="N11" s="1">
        <f>Intermediate!$C$12</f>
        <v>29000</v>
      </c>
      <c r="O11" s="1">
        <f>Intermediate!$C$13*Intermediate!E17</f>
        <v>7.3150000000000004</v>
      </c>
      <c r="P11" s="1">
        <f>Intermediate!$E$14*Intermediate!E17</f>
        <v>13.774999999999999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F17" s="1" t="s">
        <v>28</v>
      </c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26E20-5E13-4B30-A392-42111C1F8190}">
  <sheetPr codeName="Sheet8">
    <tabColor rgb="FFFF0000"/>
  </sheetPr>
  <dimension ref="A4:G41"/>
  <sheetViews>
    <sheetView topLeftCell="A16" workbookViewId="0">
      <selection activeCell="A34" sqref="A34:G41"/>
    </sheetView>
  </sheetViews>
  <sheetFormatPr defaultRowHeight="14.4" x14ac:dyDescent="0.3"/>
  <cols>
    <col min="1" max="1" width="15.44140625" customWidth="1"/>
    <col min="2" max="7" width="12.88671875" bestFit="1" customWidth="1"/>
  </cols>
  <sheetData>
    <row r="4" spans="1:7" x14ac:dyDescent="0.3">
      <c r="A4" s="137" t="s">
        <v>38</v>
      </c>
      <c r="B4" s="21">
        <v>8.6999999999999993</v>
      </c>
      <c r="C4" s="20">
        <v>6</v>
      </c>
      <c r="D4" s="21" t="s">
        <v>81</v>
      </c>
      <c r="E4" s="20" t="s">
        <v>81</v>
      </c>
      <c r="F4" s="21" t="s">
        <v>81</v>
      </c>
      <c r="G4" s="20" t="s">
        <v>81</v>
      </c>
    </row>
    <row r="5" spans="1:7" x14ac:dyDescent="0.3">
      <c r="A5" s="137" t="s">
        <v>37</v>
      </c>
      <c r="B5" s="19">
        <v>7.4175000000000013</v>
      </c>
      <c r="C5" s="18">
        <v>6</v>
      </c>
      <c r="D5" s="19">
        <v>6.7908524479453485</v>
      </c>
      <c r="E5" s="18">
        <v>6.549761571946938</v>
      </c>
      <c r="F5" s="19">
        <v>6.7908524479453485</v>
      </c>
      <c r="G5" s="18">
        <v>6.549761571946938</v>
      </c>
    </row>
    <row r="6" spans="1:7" x14ac:dyDescent="0.3">
      <c r="A6" s="137" t="s">
        <v>36</v>
      </c>
      <c r="B6" s="19" t="s">
        <v>81</v>
      </c>
      <c r="C6" s="18" t="s">
        <v>81</v>
      </c>
      <c r="D6" s="19">
        <v>6.7908524479453485</v>
      </c>
      <c r="E6" s="18">
        <v>6.549761571946938</v>
      </c>
      <c r="F6" s="19">
        <v>6.7908524479453485</v>
      </c>
      <c r="G6" s="18">
        <v>6.549761571946938</v>
      </c>
    </row>
    <row r="7" spans="1:7" x14ac:dyDescent="0.3">
      <c r="A7" s="137" t="s">
        <v>35</v>
      </c>
      <c r="B7" s="19" t="s">
        <v>81</v>
      </c>
      <c r="C7" s="18" t="s">
        <v>81</v>
      </c>
      <c r="D7" s="19" t="s">
        <v>81</v>
      </c>
      <c r="E7" s="18" t="s">
        <v>81</v>
      </c>
      <c r="F7" s="19" t="s">
        <v>81</v>
      </c>
      <c r="G7" s="18" t="s">
        <v>81</v>
      </c>
    </row>
    <row r="8" spans="1:7" x14ac:dyDescent="0.3">
      <c r="A8" s="137" t="s">
        <v>34</v>
      </c>
      <c r="B8" s="19" t="s">
        <v>81</v>
      </c>
      <c r="C8" s="18" t="s">
        <v>81</v>
      </c>
      <c r="D8" s="19" t="s">
        <v>81</v>
      </c>
      <c r="E8" s="18" t="s">
        <v>81</v>
      </c>
      <c r="F8" s="19" t="s">
        <v>81</v>
      </c>
      <c r="G8" s="18" t="s">
        <v>81</v>
      </c>
    </row>
    <row r="9" spans="1:7" x14ac:dyDescent="0.3">
      <c r="A9" s="137" t="s">
        <v>33</v>
      </c>
      <c r="B9" s="19" t="s">
        <v>81</v>
      </c>
      <c r="C9" s="18" t="s">
        <v>81</v>
      </c>
      <c r="D9" s="19" t="s">
        <v>81</v>
      </c>
      <c r="E9" s="18" t="s">
        <v>81</v>
      </c>
      <c r="F9" s="19" t="s">
        <v>81</v>
      </c>
      <c r="G9" s="18" t="s">
        <v>81</v>
      </c>
    </row>
    <row r="10" spans="1:7" x14ac:dyDescent="0.3">
      <c r="A10" s="137" t="s">
        <v>32</v>
      </c>
      <c r="B10" s="19" t="s">
        <v>81</v>
      </c>
      <c r="C10" s="18" t="s">
        <v>81</v>
      </c>
      <c r="D10" s="19" t="s">
        <v>81</v>
      </c>
      <c r="E10" s="18" t="s">
        <v>81</v>
      </c>
      <c r="F10" s="19" t="s">
        <v>81</v>
      </c>
      <c r="G10" s="18" t="s">
        <v>81</v>
      </c>
    </row>
    <row r="11" spans="1:7" ht="15" thickBot="1" x14ac:dyDescent="0.35">
      <c r="A11" s="137" t="s">
        <v>31</v>
      </c>
      <c r="B11" s="17">
        <v>14.371257485029941</v>
      </c>
      <c r="C11" s="16">
        <v>14.371257485029941</v>
      </c>
      <c r="D11" s="17">
        <v>14.371257485029941</v>
      </c>
      <c r="E11" s="16">
        <v>14.371257485029941</v>
      </c>
      <c r="F11" s="17">
        <v>14.371257485029941</v>
      </c>
      <c r="G11" s="16">
        <v>14.371257485029941</v>
      </c>
    </row>
    <row r="14" spans="1:7" x14ac:dyDescent="0.3">
      <c r="A14" s="137" t="s">
        <v>38</v>
      </c>
      <c r="B14" s="21">
        <v>8.6999999999999993</v>
      </c>
      <c r="C14" s="20">
        <v>6</v>
      </c>
      <c r="D14" s="21">
        <v>8.6474125935703814</v>
      </c>
      <c r="E14" s="20">
        <v>6.2115524438577712</v>
      </c>
      <c r="F14" s="21" t="s">
        <v>81</v>
      </c>
      <c r="G14" s="20" t="s">
        <v>81</v>
      </c>
    </row>
    <row r="15" spans="1:7" x14ac:dyDescent="0.3">
      <c r="A15" s="137" t="s">
        <v>37</v>
      </c>
      <c r="B15" s="19">
        <v>7.4324999999999983</v>
      </c>
      <c r="C15" s="18">
        <v>6</v>
      </c>
      <c r="D15" s="19">
        <v>7.3062670478486114</v>
      </c>
      <c r="E15" s="18">
        <v>6.2115524438577712</v>
      </c>
      <c r="F15" s="19">
        <v>6.800811598449175</v>
      </c>
      <c r="G15" s="18">
        <v>6.5503916035038943</v>
      </c>
    </row>
    <row r="16" spans="1:7" x14ac:dyDescent="0.3">
      <c r="A16" s="137" t="s">
        <v>36</v>
      </c>
      <c r="B16" s="19" t="s">
        <v>81</v>
      </c>
      <c r="C16" s="18" t="s">
        <v>81</v>
      </c>
      <c r="D16" s="19" t="s">
        <v>81</v>
      </c>
      <c r="E16" s="18" t="s">
        <v>81</v>
      </c>
      <c r="F16" s="19">
        <v>6.800811598449175</v>
      </c>
      <c r="G16" s="18">
        <v>6.5503916035038943</v>
      </c>
    </row>
    <row r="17" spans="1:7" x14ac:dyDescent="0.3">
      <c r="A17" s="137" t="s">
        <v>35</v>
      </c>
      <c r="B17" s="19" t="s">
        <v>81</v>
      </c>
      <c r="C17" s="18" t="s">
        <v>81</v>
      </c>
      <c r="D17" s="19" t="s">
        <v>81</v>
      </c>
      <c r="E17" s="18" t="s">
        <v>81</v>
      </c>
      <c r="F17" s="19" t="s">
        <v>81</v>
      </c>
      <c r="G17" s="18" t="s">
        <v>81</v>
      </c>
    </row>
    <row r="18" spans="1:7" x14ac:dyDescent="0.3">
      <c r="A18" s="137" t="s">
        <v>34</v>
      </c>
      <c r="B18" s="19" t="s">
        <v>81</v>
      </c>
      <c r="C18" s="18" t="s">
        <v>81</v>
      </c>
      <c r="D18" s="19" t="s">
        <v>81</v>
      </c>
      <c r="E18" s="18" t="s">
        <v>81</v>
      </c>
      <c r="F18" s="19" t="s">
        <v>81</v>
      </c>
      <c r="G18" s="18" t="s">
        <v>81</v>
      </c>
    </row>
    <row r="19" spans="1:7" x14ac:dyDescent="0.3">
      <c r="A19" s="137" t="s">
        <v>33</v>
      </c>
      <c r="B19" s="19" t="s">
        <v>81</v>
      </c>
      <c r="C19" s="18" t="s">
        <v>81</v>
      </c>
      <c r="D19" s="19" t="s">
        <v>81</v>
      </c>
      <c r="E19" s="18" t="s">
        <v>81</v>
      </c>
      <c r="F19" s="19" t="s">
        <v>81</v>
      </c>
      <c r="G19" s="18" t="s">
        <v>81</v>
      </c>
    </row>
    <row r="20" spans="1:7" x14ac:dyDescent="0.3">
      <c r="A20" s="137" t="s">
        <v>32</v>
      </c>
      <c r="B20" s="19" t="s">
        <v>81</v>
      </c>
      <c r="C20" s="18" t="s">
        <v>81</v>
      </c>
      <c r="D20" s="19" t="s">
        <v>81</v>
      </c>
      <c r="E20" s="18" t="s">
        <v>81</v>
      </c>
      <c r="F20" s="19" t="s">
        <v>81</v>
      </c>
      <c r="G20" s="18" t="s">
        <v>81</v>
      </c>
    </row>
    <row r="21" spans="1:7" ht="15" thickBot="1" x14ac:dyDescent="0.35">
      <c r="A21" s="137" t="s">
        <v>31</v>
      </c>
      <c r="B21" s="17">
        <v>14.371257485029941</v>
      </c>
      <c r="C21" s="16">
        <v>14.371257485029941</v>
      </c>
      <c r="D21" s="17">
        <v>14.371257485029941</v>
      </c>
      <c r="E21" s="16">
        <v>14.371257485029941</v>
      </c>
      <c r="F21" s="17">
        <v>14.371257485029941</v>
      </c>
      <c r="G21" s="16">
        <v>14.371257485029941</v>
      </c>
    </row>
    <row r="24" spans="1:7" x14ac:dyDescent="0.3">
      <c r="A24" s="137" t="s">
        <v>38</v>
      </c>
      <c r="B24" s="21">
        <v>9</v>
      </c>
      <c r="C24" s="20">
        <v>6</v>
      </c>
      <c r="D24" s="21">
        <v>8.5786912904686545</v>
      </c>
      <c r="E24" s="20">
        <v>6.2527852257188075</v>
      </c>
      <c r="F24" s="21">
        <v>8.5786912904686545</v>
      </c>
      <c r="G24" s="20">
        <v>6.2527852257188075</v>
      </c>
    </row>
    <row r="25" spans="1:7" x14ac:dyDescent="0.3">
      <c r="A25" s="137" t="s">
        <v>37</v>
      </c>
      <c r="B25" s="19">
        <v>9</v>
      </c>
      <c r="C25" s="18">
        <v>6</v>
      </c>
      <c r="D25" s="19">
        <v>8.5786912904686545</v>
      </c>
      <c r="E25" s="18">
        <v>6.2527852257188075</v>
      </c>
      <c r="F25" s="19">
        <v>8.5786912904686545</v>
      </c>
      <c r="G25" s="18">
        <v>6.2527852257188075</v>
      </c>
    </row>
    <row r="26" spans="1:7" x14ac:dyDescent="0.3">
      <c r="A26" s="137" t="s">
        <v>36</v>
      </c>
      <c r="B26" s="19" t="s">
        <v>81</v>
      </c>
      <c r="C26" s="18" t="s">
        <v>81</v>
      </c>
      <c r="D26" s="19" t="s">
        <v>81</v>
      </c>
      <c r="E26" s="18" t="s">
        <v>81</v>
      </c>
      <c r="F26" s="19" t="s">
        <v>81</v>
      </c>
      <c r="G26" s="18" t="s">
        <v>81</v>
      </c>
    </row>
    <row r="27" spans="1:7" x14ac:dyDescent="0.3">
      <c r="A27" s="137" t="s">
        <v>35</v>
      </c>
      <c r="B27" s="19" t="s">
        <v>81</v>
      </c>
      <c r="C27" s="18" t="s">
        <v>81</v>
      </c>
      <c r="D27" s="19" t="s">
        <v>81</v>
      </c>
      <c r="E27" s="18" t="s">
        <v>81</v>
      </c>
      <c r="F27" s="19" t="s">
        <v>81</v>
      </c>
      <c r="G27" s="18" t="s">
        <v>81</v>
      </c>
    </row>
    <row r="28" spans="1:7" x14ac:dyDescent="0.3">
      <c r="A28" s="137" t="s">
        <v>34</v>
      </c>
      <c r="B28" s="19" t="s">
        <v>81</v>
      </c>
      <c r="C28" s="18" t="s">
        <v>81</v>
      </c>
      <c r="D28" s="19" t="s">
        <v>81</v>
      </c>
      <c r="E28" s="18" t="s">
        <v>81</v>
      </c>
      <c r="F28" s="19" t="s">
        <v>81</v>
      </c>
      <c r="G28" s="18" t="s">
        <v>81</v>
      </c>
    </row>
    <row r="29" spans="1:7" x14ac:dyDescent="0.3">
      <c r="A29" s="137" t="s">
        <v>33</v>
      </c>
      <c r="B29" s="19" t="s">
        <v>81</v>
      </c>
      <c r="C29" s="18" t="s">
        <v>81</v>
      </c>
      <c r="D29" s="19" t="s">
        <v>81</v>
      </c>
      <c r="E29" s="18" t="s">
        <v>81</v>
      </c>
      <c r="F29" s="19" t="s">
        <v>81</v>
      </c>
      <c r="G29" s="18" t="s">
        <v>81</v>
      </c>
    </row>
    <row r="30" spans="1:7" x14ac:dyDescent="0.3">
      <c r="A30" s="137" t="s">
        <v>32</v>
      </c>
      <c r="B30" s="19">
        <v>14.371257485029941</v>
      </c>
      <c r="C30" s="18">
        <v>14.371257485029941</v>
      </c>
      <c r="D30" s="19">
        <v>14.371257485029941</v>
      </c>
      <c r="E30" s="18">
        <v>14.371257485029941</v>
      </c>
      <c r="F30" s="19">
        <v>14.371257485029941</v>
      </c>
      <c r="G30" s="18">
        <v>14.371257485029941</v>
      </c>
    </row>
    <row r="31" spans="1:7" ht="15" thickBot="1" x14ac:dyDescent="0.35">
      <c r="A31" s="137" t="s">
        <v>31</v>
      </c>
      <c r="B31" s="17">
        <v>14.371257485029941</v>
      </c>
      <c r="C31" s="16">
        <v>14.371257485029941</v>
      </c>
      <c r="D31" s="17">
        <v>14.371257485029941</v>
      </c>
      <c r="E31" s="16">
        <v>14.371257485029941</v>
      </c>
      <c r="F31" s="17">
        <v>14.371257485029941</v>
      </c>
      <c r="G31" s="16">
        <v>14.371257485029941</v>
      </c>
    </row>
    <row r="34" spans="1:7" x14ac:dyDescent="0.3">
      <c r="A34" s="137" t="s">
        <v>38</v>
      </c>
      <c r="B34" s="21">
        <v>9</v>
      </c>
      <c r="C34" s="20">
        <v>6</v>
      </c>
      <c r="D34" s="21">
        <v>8.5786912904686545</v>
      </c>
      <c r="E34" s="20">
        <v>6.2527852257188075</v>
      </c>
      <c r="F34" s="21">
        <v>8.5786912904686545</v>
      </c>
      <c r="G34" s="20">
        <v>6.2527852257188075</v>
      </c>
    </row>
    <row r="35" spans="1:7" x14ac:dyDescent="0.3">
      <c r="A35" s="137" t="s">
        <v>37</v>
      </c>
      <c r="B35" s="19">
        <v>9</v>
      </c>
      <c r="C35" s="18">
        <v>6</v>
      </c>
      <c r="D35" s="19">
        <v>8.5786912904686545</v>
      </c>
      <c r="E35" s="18">
        <v>6.2527852257188075</v>
      </c>
      <c r="F35" s="19">
        <v>8.5786912904686545</v>
      </c>
      <c r="G35" s="18">
        <v>6.2527852257188075</v>
      </c>
    </row>
    <row r="36" spans="1:7" x14ac:dyDescent="0.3">
      <c r="A36" s="137" t="s">
        <v>36</v>
      </c>
      <c r="B36" s="19" t="s">
        <v>81</v>
      </c>
      <c r="C36" s="18" t="s">
        <v>81</v>
      </c>
      <c r="D36" s="19" t="s">
        <v>81</v>
      </c>
      <c r="E36" s="18" t="s">
        <v>81</v>
      </c>
      <c r="F36" s="19" t="s">
        <v>81</v>
      </c>
      <c r="G36" s="18" t="s">
        <v>81</v>
      </c>
    </row>
    <row r="37" spans="1:7" x14ac:dyDescent="0.3">
      <c r="A37" s="137" t="s">
        <v>35</v>
      </c>
      <c r="B37" s="19" t="s">
        <v>81</v>
      </c>
      <c r="C37" s="18" t="s">
        <v>81</v>
      </c>
      <c r="D37" s="19" t="s">
        <v>81</v>
      </c>
      <c r="E37" s="18" t="s">
        <v>81</v>
      </c>
      <c r="F37" s="19" t="s">
        <v>81</v>
      </c>
      <c r="G37" s="18" t="s">
        <v>81</v>
      </c>
    </row>
    <row r="38" spans="1:7" x14ac:dyDescent="0.3">
      <c r="A38" s="137" t="s">
        <v>34</v>
      </c>
      <c r="B38" s="19" t="s">
        <v>81</v>
      </c>
      <c r="C38" s="18" t="s">
        <v>81</v>
      </c>
      <c r="D38" s="19" t="s">
        <v>81</v>
      </c>
      <c r="E38" s="18" t="s">
        <v>81</v>
      </c>
      <c r="F38" s="19" t="s">
        <v>81</v>
      </c>
      <c r="G38" s="18" t="s">
        <v>81</v>
      </c>
    </row>
    <row r="39" spans="1:7" x14ac:dyDescent="0.3">
      <c r="A39" s="137" t="s">
        <v>33</v>
      </c>
      <c r="B39" s="19" t="s">
        <v>81</v>
      </c>
      <c r="C39" s="18" t="s">
        <v>81</v>
      </c>
      <c r="D39" s="19" t="s">
        <v>81</v>
      </c>
      <c r="E39" s="18" t="s">
        <v>81</v>
      </c>
      <c r="F39" s="19" t="s">
        <v>81</v>
      </c>
      <c r="G39" s="18" t="s">
        <v>81</v>
      </c>
    </row>
    <row r="40" spans="1:7" x14ac:dyDescent="0.3">
      <c r="A40" s="137" t="s">
        <v>32</v>
      </c>
      <c r="B40" s="19">
        <v>14.371257485029941</v>
      </c>
      <c r="C40" s="18">
        <v>14.371257485029941</v>
      </c>
      <c r="D40" s="19">
        <v>14.371257485029941</v>
      </c>
      <c r="E40" s="18">
        <v>14.371257485029941</v>
      </c>
      <c r="F40" s="19">
        <v>14.371257485029941</v>
      </c>
      <c r="G40" s="18">
        <v>14.371257485029941</v>
      </c>
    </row>
    <row r="41" spans="1:7" ht="15" thickBot="1" x14ac:dyDescent="0.35">
      <c r="A41" s="137" t="s">
        <v>31</v>
      </c>
      <c r="B41" s="17">
        <v>14.371257485029941</v>
      </c>
      <c r="C41" s="16">
        <v>14.371257485029941</v>
      </c>
      <c r="D41" s="17">
        <v>14.371257485029941</v>
      </c>
      <c r="E41" s="16">
        <v>14.371257485029941</v>
      </c>
      <c r="F41" s="17">
        <v>14.371257485029941</v>
      </c>
      <c r="G41" s="16">
        <v>14.371257485029941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66112-B6B4-4431-80EC-EEF075FF78E2}">
  <sheetPr codeName="Sheet11">
    <tabColor rgb="FFFF0000"/>
  </sheetPr>
  <dimension ref="A1:AE75"/>
  <sheetViews>
    <sheetView view="pageBreakPreview" topLeftCell="A16" zoomScale="70" zoomScaleNormal="85" zoomScaleSheetLayoutView="70" workbookViewId="0">
      <selection activeCell="P50" sqref="P50"/>
    </sheetView>
  </sheetViews>
  <sheetFormatPr defaultRowHeight="14.4" x14ac:dyDescent="0.3"/>
  <cols>
    <col min="1" max="1" width="12.21875" style="49" customWidth="1"/>
    <col min="2" max="2" width="7.21875" style="49" customWidth="1"/>
    <col min="3" max="3" width="7.77734375" style="49" customWidth="1"/>
    <col min="4" max="5" width="12.88671875" style="49" bestFit="1" customWidth="1"/>
    <col min="6" max="6" width="12.109375" style="49" customWidth="1"/>
    <col min="7" max="7" width="11.5546875" style="49" customWidth="1"/>
    <col min="8" max="18" width="8.88671875" style="49"/>
    <col min="19" max="19" width="11.5546875" style="49" bestFit="1" customWidth="1"/>
    <col min="20" max="16384" width="8.88671875" style="49"/>
  </cols>
  <sheetData>
    <row r="1" spans="1:31" x14ac:dyDescent="0.3">
      <c r="A1" s="66"/>
      <c r="B1" s="66"/>
      <c r="C1" s="66"/>
      <c r="D1" s="66"/>
      <c r="E1" s="66" t="s">
        <v>105</v>
      </c>
      <c r="F1" s="66"/>
      <c r="G1" s="66"/>
      <c r="N1" s="162" t="s">
        <v>45</v>
      </c>
      <c r="O1" s="58"/>
      <c r="P1" s="162" t="s">
        <v>43</v>
      </c>
      <c r="Q1" s="58"/>
    </row>
    <row r="2" spans="1:31" x14ac:dyDescent="0.3">
      <c r="A2" s="66"/>
      <c r="B2" s="66"/>
      <c r="C2" s="66"/>
      <c r="D2" s="66">
        <v>1</v>
      </c>
      <c r="E2" s="66">
        <v>2</v>
      </c>
      <c r="F2" s="66">
        <v>3</v>
      </c>
      <c r="G2" s="66"/>
      <c r="N2" s="162"/>
      <c r="O2" s="58"/>
      <c r="P2" s="162"/>
      <c r="Q2" s="58"/>
      <c r="U2" s="164" t="s">
        <v>46</v>
      </c>
      <c r="V2" s="54"/>
      <c r="W2" s="162" t="s">
        <v>45</v>
      </c>
      <c r="X2" s="56"/>
      <c r="Y2" s="164" t="s">
        <v>44</v>
      </c>
      <c r="Z2" s="162" t="s">
        <v>43</v>
      </c>
    </row>
    <row r="3" spans="1:31" x14ac:dyDescent="0.3">
      <c r="A3" s="66"/>
      <c r="B3" s="66"/>
      <c r="C3" s="66"/>
      <c r="D3" s="67">
        <f>Intermediate!L10/12</f>
        <v>8.125</v>
      </c>
      <c r="E3" s="67">
        <f>Intermediate!L12/12</f>
        <v>8.2267688067673337</v>
      </c>
      <c r="F3" s="67">
        <f>Intermediate!L14/12</f>
        <v>8.2267688067673337</v>
      </c>
      <c r="G3" s="69" t="s">
        <v>149</v>
      </c>
      <c r="M3" s="49" t="s">
        <v>42</v>
      </c>
      <c r="N3" s="163"/>
      <c r="O3" s="59" t="s">
        <v>137</v>
      </c>
      <c r="P3" s="163"/>
      <c r="Q3" s="70" t="s">
        <v>137</v>
      </c>
      <c r="U3" s="164"/>
      <c r="V3" s="54"/>
      <c r="W3" s="162"/>
      <c r="X3" s="56"/>
      <c r="Y3" s="164"/>
      <c r="Z3" s="162"/>
    </row>
    <row r="4" spans="1:31" ht="14.4" customHeight="1" x14ac:dyDescent="0.3">
      <c r="A4" s="66"/>
      <c r="B4" s="66" t="s">
        <v>138</v>
      </c>
      <c r="C4" s="66" t="s">
        <v>139</v>
      </c>
      <c r="D4" s="67">
        <f>Intermediate!J11</f>
        <v>0</v>
      </c>
      <c r="E4" s="67">
        <f>Intermediate!J13</f>
        <v>8.4261741906269041</v>
      </c>
      <c r="F4" s="67">
        <f>Intermediate!J15</f>
        <v>8.4261741906269041</v>
      </c>
      <c r="G4" s="69" t="s">
        <v>150</v>
      </c>
      <c r="M4" s="49">
        <v>0</v>
      </c>
      <c r="N4" s="25">
        <v>9</v>
      </c>
      <c r="O4" s="25">
        <f>(N5-N4)/(M5-M4)</f>
        <v>-0.05</v>
      </c>
      <c r="P4" s="25">
        <v>6</v>
      </c>
      <c r="Q4" s="71">
        <f>(P5-P4)/(M5-M4)</f>
        <v>3.0000000000000013E-2</v>
      </c>
      <c r="T4" s="49" t="s">
        <v>47</v>
      </c>
      <c r="U4" s="165"/>
      <c r="V4" s="55" t="s">
        <v>137</v>
      </c>
      <c r="W4" s="163"/>
      <c r="X4" s="57" t="s">
        <v>137</v>
      </c>
      <c r="Y4" s="165"/>
      <c r="Z4" s="163"/>
    </row>
    <row r="5" spans="1:31" x14ac:dyDescent="0.3">
      <c r="A5" s="66" t="s">
        <v>38</v>
      </c>
      <c r="B5" s="66">
        <v>5</v>
      </c>
      <c r="C5" s="66">
        <v>9</v>
      </c>
      <c r="D5" s="66" t="str">
        <f t="shared" ref="D5:F12" si="0">IF(AND(D$3&gt;$B5,D$3&lt;$C5),"OK","-")</f>
        <v>OK</v>
      </c>
      <c r="E5" s="66" t="str">
        <f t="shared" si="0"/>
        <v>OK</v>
      </c>
      <c r="F5" s="66" t="str">
        <f t="shared" si="0"/>
        <v>OK</v>
      </c>
      <c r="G5" s="66"/>
      <c r="M5" s="49">
        <v>15</v>
      </c>
      <c r="N5" s="25">
        <v>8.25</v>
      </c>
      <c r="O5" s="25">
        <f>(N5-N4)/(M5-M4)</f>
        <v>-0.05</v>
      </c>
      <c r="P5" s="25">
        <v>6.45</v>
      </c>
      <c r="Q5" s="71">
        <f t="shared" ref="Q5:Q10" si="1">(P6-P5)/(M6-M5)</f>
        <v>3.9999999999999973E-2</v>
      </c>
      <c r="S5" s="49" t="s">
        <v>38</v>
      </c>
      <c r="T5" s="14">
        <v>5</v>
      </c>
      <c r="U5" s="15">
        <v>6.89</v>
      </c>
      <c r="V5" s="72">
        <f>(U6-U5)/($T6-$T5)</f>
        <v>0</v>
      </c>
      <c r="W5" s="15">
        <f t="shared" ref="W5:W52" si="2">1.5*U5</f>
        <v>10.334999999999999</v>
      </c>
      <c r="X5" s="72">
        <f>(W6-W5)/($T6-$T5)</f>
        <v>0</v>
      </c>
      <c r="Y5" s="15">
        <v>6.89</v>
      </c>
      <c r="Z5" s="15">
        <v>10.34</v>
      </c>
      <c r="AB5" s="23"/>
      <c r="AC5" s="23"/>
      <c r="AD5" s="23"/>
      <c r="AE5" s="23"/>
    </row>
    <row r="6" spans="1:31" x14ac:dyDescent="0.3">
      <c r="A6" s="66" t="s">
        <v>37</v>
      </c>
      <c r="B6" s="66">
        <v>7</v>
      </c>
      <c r="C6" s="66">
        <v>11</v>
      </c>
      <c r="D6" s="66" t="str">
        <f t="shared" si="0"/>
        <v>OK</v>
      </c>
      <c r="E6" s="66" t="str">
        <f t="shared" si="0"/>
        <v>OK</v>
      </c>
      <c r="F6" s="66" t="str">
        <f t="shared" si="0"/>
        <v>OK</v>
      </c>
      <c r="G6" s="66"/>
      <c r="M6" s="49">
        <v>30</v>
      </c>
      <c r="N6" s="25">
        <v>7.5</v>
      </c>
      <c r="O6" s="25">
        <f t="shared" ref="O6:O10" si="3">(N6-N5)/(M6-M5)</f>
        <v>-0.05</v>
      </c>
      <c r="P6" s="25">
        <v>7.05</v>
      </c>
      <c r="Q6" s="71">
        <f t="shared" si="1"/>
        <v>3.0000000000000013E-2</v>
      </c>
      <c r="S6" s="49" t="s">
        <v>38</v>
      </c>
      <c r="T6" s="14">
        <v>6</v>
      </c>
      <c r="U6" s="15">
        <v>6.89</v>
      </c>
      <c r="V6" s="72">
        <f t="shared" ref="V6:X62" si="4">(U7-U6)/($T7-$T6)</f>
        <v>0</v>
      </c>
      <c r="W6" s="15">
        <f t="shared" si="2"/>
        <v>10.334999999999999</v>
      </c>
      <c r="X6" s="72">
        <f t="shared" si="4"/>
        <v>0</v>
      </c>
      <c r="Y6" s="15">
        <v>6.89</v>
      </c>
      <c r="Z6" s="15">
        <v>10.34</v>
      </c>
      <c r="AB6" s="23"/>
      <c r="AC6" s="23"/>
      <c r="AD6" s="23"/>
      <c r="AE6" s="23"/>
    </row>
    <row r="7" spans="1:31" x14ac:dyDescent="0.3">
      <c r="A7" s="66" t="s">
        <v>36</v>
      </c>
      <c r="B7" s="66">
        <v>10</v>
      </c>
      <c r="C7" s="66">
        <v>14</v>
      </c>
      <c r="D7" s="66" t="str">
        <f t="shared" si="0"/>
        <v>-</v>
      </c>
      <c r="E7" s="66" t="str">
        <f t="shared" si="0"/>
        <v>-</v>
      </c>
      <c r="F7" s="66" t="str">
        <f t="shared" si="0"/>
        <v>-</v>
      </c>
      <c r="G7" s="66"/>
      <c r="M7" s="49">
        <v>45</v>
      </c>
      <c r="N7" s="25">
        <v>6.75</v>
      </c>
      <c r="O7" s="25">
        <f t="shared" si="3"/>
        <v>-0.05</v>
      </c>
      <c r="P7" s="25">
        <v>7.5</v>
      </c>
      <c r="Q7" s="71">
        <f t="shared" si="1"/>
        <v>0.1</v>
      </c>
      <c r="S7" s="49" t="s">
        <v>38</v>
      </c>
      <c r="T7" s="14">
        <v>7</v>
      </c>
      <c r="U7" s="15">
        <v>6.89</v>
      </c>
      <c r="V7" s="72">
        <f t="shared" si="4"/>
        <v>0</v>
      </c>
      <c r="W7" s="15">
        <f t="shared" si="2"/>
        <v>10.334999999999999</v>
      </c>
      <c r="X7" s="72">
        <f t="shared" si="4"/>
        <v>0</v>
      </c>
      <c r="Y7" s="15">
        <v>6.89</v>
      </c>
      <c r="Z7" s="15">
        <v>10.34</v>
      </c>
      <c r="AB7" s="23"/>
      <c r="AC7" s="23"/>
      <c r="AD7" s="23"/>
      <c r="AE7" s="23"/>
    </row>
    <row r="8" spans="1:31" x14ac:dyDescent="0.3">
      <c r="A8" s="66" t="s">
        <v>35</v>
      </c>
      <c r="B8" s="66">
        <v>12</v>
      </c>
      <c r="C8" s="66">
        <v>20</v>
      </c>
      <c r="D8" s="66" t="str">
        <f t="shared" si="0"/>
        <v>-</v>
      </c>
      <c r="E8" s="66" t="str">
        <f t="shared" si="0"/>
        <v>-</v>
      </c>
      <c r="F8" s="66" t="str">
        <f t="shared" si="0"/>
        <v>-</v>
      </c>
      <c r="G8" s="66"/>
      <c r="M8" s="49">
        <v>60</v>
      </c>
      <c r="N8" s="25">
        <v>8.5500000000000007</v>
      </c>
      <c r="O8" s="25">
        <f t="shared" si="3"/>
        <v>0.12000000000000005</v>
      </c>
      <c r="P8" s="25">
        <v>9</v>
      </c>
      <c r="Q8" s="71">
        <f t="shared" si="1"/>
        <v>0.1</v>
      </c>
      <c r="S8" s="49" t="s">
        <v>38</v>
      </c>
      <c r="T8" s="14">
        <v>8</v>
      </c>
      <c r="U8" s="15">
        <v>6.89</v>
      </c>
      <c r="V8" s="72">
        <f t="shared" si="4"/>
        <v>-1.0899999999999999</v>
      </c>
      <c r="W8" s="15">
        <f t="shared" si="2"/>
        <v>10.334999999999999</v>
      </c>
      <c r="X8" s="72">
        <f t="shared" si="4"/>
        <v>-1.6349999999999998</v>
      </c>
      <c r="Y8" s="15">
        <v>6.89</v>
      </c>
      <c r="Z8" s="15">
        <v>10.34</v>
      </c>
      <c r="AB8" s="23"/>
      <c r="AC8" s="23"/>
      <c r="AD8" s="23"/>
      <c r="AE8" s="23"/>
    </row>
    <row r="9" spans="1:31" x14ac:dyDescent="0.3">
      <c r="A9" s="66" t="s">
        <v>34</v>
      </c>
      <c r="B9" s="66">
        <v>15</v>
      </c>
      <c r="C9" s="66">
        <v>25</v>
      </c>
      <c r="D9" s="66" t="str">
        <f t="shared" si="0"/>
        <v>-</v>
      </c>
      <c r="E9" s="66" t="str">
        <f t="shared" si="0"/>
        <v>-</v>
      </c>
      <c r="F9" s="66" t="str">
        <f t="shared" si="0"/>
        <v>-</v>
      </c>
      <c r="G9" s="66"/>
      <c r="M9" s="49">
        <v>75</v>
      </c>
      <c r="N9" s="25">
        <v>10.199999999999999</v>
      </c>
      <c r="O9" s="25">
        <f t="shared" si="3"/>
        <v>0.1099999999999999</v>
      </c>
      <c r="P9" s="25">
        <v>10.5</v>
      </c>
      <c r="Q9" s="71">
        <f t="shared" si="1"/>
        <v>0.1</v>
      </c>
      <c r="S9" s="49" t="s">
        <v>38</v>
      </c>
      <c r="T9" s="14">
        <v>9</v>
      </c>
      <c r="U9" s="15">
        <v>5.8</v>
      </c>
      <c r="V9" s="72">
        <v>0</v>
      </c>
      <c r="W9" s="15">
        <f t="shared" si="2"/>
        <v>8.6999999999999993</v>
      </c>
      <c r="X9" s="72">
        <v>0</v>
      </c>
      <c r="Y9" s="15">
        <v>6.89</v>
      </c>
      <c r="Z9" s="15">
        <v>10.34</v>
      </c>
      <c r="AB9" s="23"/>
      <c r="AC9" s="23"/>
      <c r="AD9" s="23"/>
      <c r="AE9" s="23"/>
    </row>
    <row r="10" spans="1:31" x14ac:dyDescent="0.3">
      <c r="A10" s="66" t="s">
        <v>33</v>
      </c>
      <c r="B10" s="66">
        <v>22</v>
      </c>
      <c r="C10" s="66">
        <v>35</v>
      </c>
      <c r="D10" s="66" t="str">
        <f t="shared" si="0"/>
        <v>-</v>
      </c>
      <c r="E10" s="66" t="str">
        <f t="shared" si="0"/>
        <v>-</v>
      </c>
      <c r="F10" s="66" t="str">
        <f t="shared" si="0"/>
        <v>-</v>
      </c>
      <c r="G10" s="66"/>
      <c r="M10" s="49">
        <v>90</v>
      </c>
      <c r="N10" s="25">
        <v>12</v>
      </c>
      <c r="O10" s="25">
        <f t="shared" si="3"/>
        <v>0.12000000000000005</v>
      </c>
      <c r="P10" s="25">
        <v>12</v>
      </c>
      <c r="Q10" s="71">
        <f t="shared" si="1"/>
        <v>0.13333333333333333</v>
      </c>
      <c r="S10" s="49" t="s">
        <v>37</v>
      </c>
      <c r="T10" s="14">
        <v>7</v>
      </c>
      <c r="U10" s="15">
        <v>6.89</v>
      </c>
      <c r="V10" s="72">
        <f t="shared" si="4"/>
        <v>0</v>
      </c>
      <c r="W10" s="15">
        <f t="shared" si="2"/>
        <v>10.334999999999999</v>
      </c>
      <c r="X10" s="72">
        <f t="shared" si="4"/>
        <v>0</v>
      </c>
      <c r="Y10" s="15">
        <v>6.89</v>
      </c>
      <c r="Z10" s="15">
        <v>10.34</v>
      </c>
      <c r="AB10" s="23"/>
      <c r="AC10" s="23"/>
      <c r="AD10" s="23"/>
      <c r="AE10" s="23"/>
    </row>
    <row r="11" spans="1:31" x14ac:dyDescent="0.3">
      <c r="A11" s="66" t="s">
        <v>32</v>
      </c>
      <c r="B11" s="66">
        <v>5</v>
      </c>
      <c r="C11" s="66">
        <v>8</v>
      </c>
      <c r="D11" s="66" t="str">
        <f t="shared" si="0"/>
        <v>-</v>
      </c>
      <c r="E11" s="66" t="str">
        <f t="shared" si="0"/>
        <v>-</v>
      </c>
      <c r="F11" s="66" t="str">
        <f t="shared" si="0"/>
        <v>-</v>
      </c>
      <c r="G11" s="66"/>
      <c r="S11" s="49" t="s">
        <v>37</v>
      </c>
      <c r="T11" s="14">
        <v>8</v>
      </c>
      <c r="U11" s="15">
        <v>6.89</v>
      </c>
      <c r="V11" s="72">
        <f t="shared" si="4"/>
        <v>-1.0899999999999999</v>
      </c>
      <c r="W11" s="15">
        <f t="shared" si="2"/>
        <v>10.334999999999999</v>
      </c>
      <c r="X11" s="72">
        <f t="shared" si="4"/>
        <v>-1.6349999999999998</v>
      </c>
      <c r="Y11" s="15">
        <v>6.89</v>
      </c>
      <c r="Z11" s="15">
        <v>10.34</v>
      </c>
      <c r="AB11" s="23"/>
      <c r="AC11" s="23"/>
      <c r="AD11" s="23"/>
      <c r="AE11" s="23"/>
    </row>
    <row r="12" spans="1:31" x14ac:dyDescent="0.3">
      <c r="A12" s="66" t="s">
        <v>31</v>
      </c>
      <c r="B12" s="66">
        <v>8</v>
      </c>
      <c r="C12" s="66">
        <v>14</v>
      </c>
      <c r="D12" s="66" t="str">
        <f t="shared" si="0"/>
        <v>OK</v>
      </c>
      <c r="E12" s="66" t="str">
        <f t="shared" si="0"/>
        <v>OK</v>
      </c>
      <c r="F12" s="66" t="str">
        <f t="shared" si="0"/>
        <v>OK</v>
      </c>
      <c r="G12" s="66"/>
      <c r="S12" s="49" t="s">
        <v>37</v>
      </c>
      <c r="T12" s="14">
        <v>9</v>
      </c>
      <c r="U12" s="15">
        <v>5.8</v>
      </c>
      <c r="V12" s="72">
        <f t="shared" si="4"/>
        <v>-1</v>
      </c>
      <c r="W12" s="15">
        <f t="shared" si="2"/>
        <v>8.6999999999999993</v>
      </c>
      <c r="X12" s="72">
        <f t="shared" si="4"/>
        <v>-1.5</v>
      </c>
      <c r="Y12" s="15">
        <v>6.89</v>
      </c>
      <c r="Z12" s="15">
        <v>10.34</v>
      </c>
      <c r="AB12" s="23"/>
      <c r="AC12" s="23"/>
      <c r="AD12" s="23"/>
      <c r="AE12" s="23"/>
    </row>
    <row r="13" spans="1:31" x14ac:dyDescent="0.3">
      <c r="S13" s="49" t="s">
        <v>37</v>
      </c>
      <c r="T13" s="14">
        <v>10</v>
      </c>
      <c r="U13" s="15">
        <v>4.8</v>
      </c>
      <c r="V13" s="72">
        <f t="shared" si="4"/>
        <v>-0.70000000000000018</v>
      </c>
      <c r="W13" s="15">
        <f t="shared" si="2"/>
        <v>7.1999999999999993</v>
      </c>
      <c r="X13" s="72">
        <f t="shared" si="4"/>
        <v>-1.0499999999999998</v>
      </c>
      <c r="Y13" s="15">
        <v>6.89</v>
      </c>
      <c r="Z13" s="15">
        <v>10.34</v>
      </c>
      <c r="AB13" s="23"/>
      <c r="AC13" s="23"/>
      <c r="AD13" s="23"/>
      <c r="AE13" s="23"/>
    </row>
    <row r="14" spans="1:31" x14ac:dyDescent="0.3">
      <c r="C14" s="166" t="s">
        <v>151</v>
      </c>
      <c r="D14" s="166"/>
      <c r="E14" s="166" t="s">
        <v>152</v>
      </c>
      <c r="F14" s="166"/>
      <c r="S14" s="49" t="s">
        <v>37</v>
      </c>
      <c r="T14" s="14">
        <v>11</v>
      </c>
      <c r="U14" s="15">
        <v>4.0999999999999996</v>
      </c>
      <c r="V14" s="72">
        <v>0</v>
      </c>
      <c r="W14" s="15">
        <f t="shared" si="2"/>
        <v>6.1499999999999995</v>
      </c>
      <c r="X14" s="72">
        <v>0</v>
      </c>
      <c r="Y14" s="15">
        <v>6.89</v>
      </c>
      <c r="Z14" s="15">
        <v>10.34</v>
      </c>
      <c r="AB14" s="23"/>
      <c r="AC14" s="23"/>
      <c r="AD14" s="23"/>
      <c r="AE14" s="23"/>
    </row>
    <row r="15" spans="1:31" x14ac:dyDescent="0.3">
      <c r="C15" s="49" t="s">
        <v>144</v>
      </c>
      <c r="D15" s="49" t="s">
        <v>141</v>
      </c>
      <c r="E15" s="49" t="s">
        <v>144</v>
      </c>
      <c r="F15" s="49" t="s">
        <v>141</v>
      </c>
      <c r="S15" s="49" t="s">
        <v>36</v>
      </c>
      <c r="T15" s="14">
        <v>10</v>
      </c>
      <c r="U15" s="15">
        <v>4.8</v>
      </c>
      <c r="V15" s="72">
        <f t="shared" si="4"/>
        <v>-0.70000000000000018</v>
      </c>
      <c r="W15" s="15">
        <f t="shared" si="2"/>
        <v>7.1999999999999993</v>
      </c>
      <c r="X15" s="72">
        <f t="shared" si="4"/>
        <v>-1.0499999999999998</v>
      </c>
      <c r="Y15" s="15">
        <v>6.89</v>
      </c>
      <c r="Z15" s="15">
        <v>10.34</v>
      </c>
      <c r="AB15" s="23"/>
      <c r="AC15" s="23"/>
      <c r="AD15" s="23"/>
      <c r="AE15" s="23"/>
    </row>
    <row r="16" spans="1:31" x14ac:dyDescent="0.3">
      <c r="A16" s="24" t="s">
        <v>105</v>
      </c>
      <c r="B16" s="24">
        <v>1</v>
      </c>
      <c r="C16" s="49">
        <f>ROUNDDOWN(D3,0)</f>
        <v>8</v>
      </c>
      <c r="D16" s="49">
        <f>D3-C16</f>
        <v>0.125</v>
      </c>
      <c r="E16" s="49">
        <f>ROUNDDOWN(D4/15,0)*15</f>
        <v>0</v>
      </c>
      <c r="F16" s="68">
        <f>D4-E16</f>
        <v>0</v>
      </c>
      <c r="S16" s="49" t="s">
        <v>36</v>
      </c>
      <c r="T16" s="14">
        <v>11</v>
      </c>
      <c r="U16" s="15">
        <v>4.0999999999999996</v>
      </c>
      <c r="V16" s="72">
        <f t="shared" si="4"/>
        <v>-0.64999999999999947</v>
      </c>
      <c r="W16" s="15">
        <f t="shared" si="2"/>
        <v>6.1499999999999995</v>
      </c>
      <c r="X16" s="72">
        <f t="shared" si="4"/>
        <v>-0.97499999999999876</v>
      </c>
      <c r="Y16" s="15">
        <v>6.89</v>
      </c>
      <c r="Z16" s="15">
        <v>10.34</v>
      </c>
      <c r="AB16" s="23"/>
      <c r="AC16" s="23"/>
      <c r="AD16" s="23"/>
      <c r="AE16" s="23"/>
    </row>
    <row r="17" spans="1:31" x14ac:dyDescent="0.3">
      <c r="B17" s="63"/>
      <c r="C17" s="64" t="s">
        <v>143</v>
      </c>
      <c r="D17" s="65"/>
      <c r="E17" s="63" t="s">
        <v>145</v>
      </c>
      <c r="F17" s="63"/>
      <c r="G17" s="64" t="s">
        <v>147</v>
      </c>
      <c r="H17" s="65"/>
      <c r="I17" s="63"/>
      <c r="J17" s="65" t="s">
        <v>148</v>
      </c>
      <c r="K17" s="65"/>
      <c r="L17" s="24" t="s">
        <v>153</v>
      </c>
      <c r="M17" s="24" t="s">
        <v>154</v>
      </c>
      <c r="S17" s="49" t="s">
        <v>36</v>
      </c>
      <c r="T17" s="14">
        <v>12</v>
      </c>
      <c r="U17" s="15">
        <v>3.45</v>
      </c>
      <c r="V17" s="72">
        <f t="shared" si="4"/>
        <v>-0.45000000000000018</v>
      </c>
      <c r="W17" s="15">
        <f t="shared" si="2"/>
        <v>5.1750000000000007</v>
      </c>
      <c r="X17" s="72">
        <f t="shared" si="4"/>
        <v>-0.67500000000000071</v>
      </c>
      <c r="Y17" s="15">
        <v>6.89</v>
      </c>
      <c r="Z17" s="15">
        <v>10.34</v>
      </c>
      <c r="AB17" s="23"/>
      <c r="AC17" s="23"/>
      <c r="AD17" s="23"/>
      <c r="AE17" s="23"/>
    </row>
    <row r="18" spans="1:31" x14ac:dyDescent="0.3">
      <c r="B18" s="49" t="s">
        <v>140</v>
      </c>
      <c r="C18" s="49" t="s">
        <v>137</v>
      </c>
      <c r="D18" s="49" t="s">
        <v>142</v>
      </c>
      <c r="E18" s="49" t="s">
        <v>146</v>
      </c>
      <c r="F18" s="49" t="s">
        <v>140</v>
      </c>
      <c r="G18" s="49" t="s">
        <v>137</v>
      </c>
      <c r="H18" s="49" t="s">
        <v>142</v>
      </c>
      <c r="I18" s="49" t="s">
        <v>140</v>
      </c>
      <c r="J18" s="49" t="s">
        <v>137</v>
      </c>
      <c r="K18" s="49" t="s">
        <v>142</v>
      </c>
      <c r="L18" s="49" t="s">
        <v>155</v>
      </c>
      <c r="M18" s="49" t="s">
        <v>155</v>
      </c>
      <c r="S18" s="49" t="s">
        <v>36</v>
      </c>
      <c r="T18" s="14">
        <v>13</v>
      </c>
      <c r="U18" s="15">
        <v>3</v>
      </c>
      <c r="V18" s="72">
        <f t="shared" si="4"/>
        <v>-0.39999999999999991</v>
      </c>
      <c r="W18" s="15">
        <f t="shared" si="2"/>
        <v>4.5</v>
      </c>
      <c r="X18" s="72">
        <f t="shared" si="4"/>
        <v>-0.59999999999999964</v>
      </c>
      <c r="Y18" s="15">
        <v>6.89</v>
      </c>
      <c r="Z18" s="15">
        <v>10.34</v>
      </c>
      <c r="AB18" s="23"/>
      <c r="AC18" s="23"/>
      <c r="AD18" s="23"/>
      <c r="AE18" s="23"/>
    </row>
    <row r="19" spans="1:31" x14ac:dyDescent="0.3">
      <c r="A19" s="66" t="s">
        <v>38</v>
      </c>
      <c r="B19" s="49">
        <f>IF(ISNA(VLOOKUP(C16,$T$5:$Z$9,4,FALSE)),"-",VLOOKUP(C16,$T$5:$Z$9,4,FALSE))</f>
        <v>10.334999999999999</v>
      </c>
      <c r="C19" s="49">
        <f>IF(ISNA(VLOOKUP(C16,$T$5:$Z$9,5,FALSE)),"-",VLOOKUP(C16,$T$5:$Z$9,5,FALSE))</f>
        <v>-1.6349999999999998</v>
      </c>
      <c r="D19" s="49">
        <f>IF(OR(C19="-",B19="-"),"-",B19+C19*D16)</f>
        <v>10.130624999999998</v>
      </c>
      <c r="E19" s="49">
        <f>IF(ISNA(VLOOKUP(C16,$T$5:$Z$9,7,FALSE)),"-",VLOOKUP(C16,$T$5:$Z$9,7,FALSE))</f>
        <v>10.34</v>
      </c>
      <c r="F19" s="49">
        <f>VLOOKUP(E16,$M$4:$Q$10,4,FALSE)</f>
        <v>6</v>
      </c>
      <c r="G19" s="49">
        <f>VLOOKUP(E16,$M$4:$Q$10,5,FALSE)</f>
        <v>3.0000000000000013E-2</v>
      </c>
      <c r="H19" s="49">
        <f>F19+F16*G19</f>
        <v>6</v>
      </c>
      <c r="I19" s="49">
        <f>VLOOKUP(E16,$M$4:$Q$10,2,FALSE)</f>
        <v>9</v>
      </c>
      <c r="J19" s="49">
        <f>VLOOKUP(E16,$M$4:$Q$10,3,FALSE)</f>
        <v>-0.05</v>
      </c>
      <c r="K19" s="49">
        <f>I19+F16*J19</f>
        <v>9</v>
      </c>
      <c r="L19" s="49">
        <f>IF(ISNUMBER(D19),MIN(K19,D19),"-")</f>
        <v>9</v>
      </c>
      <c r="M19" s="49">
        <f>IF(ISNUMBER(E19),MIN(E19,H19),"-")</f>
        <v>6</v>
      </c>
      <c r="S19" s="49" t="s">
        <v>36</v>
      </c>
      <c r="T19" s="14">
        <v>14</v>
      </c>
      <c r="U19" s="15">
        <v>2.6</v>
      </c>
      <c r="V19" s="72">
        <v>0</v>
      </c>
      <c r="W19" s="15">
        <f t="shared" si="2"/>
        <v>3.9000000000000004</v>
      </c>
      <c r="X19" s="72">
        <v>0</v>
      </c>
      <c r="Y19" s="15">
        <v>6.89</v>
      </c>
      <c r="Z19" s="15">
        <v>10.34</v>
      </c>
      <c r="AB19" s="23"/>
      <c r="AC19" s="23"/>
      <c r="AD19" s="23"/>
      <c r="AE19" s="23"/>
    </row>
    <row r="20" spans="1:31" x14ac:dyDescent="0.3">
      <c r="A20" s="66" t="s">
        <v>37</v>
      </c>
      <c r="B20" s="49">
        <f>IF(ISNA(VLOOKUP(C16,$T$10:$Z$14,4,FALSE)),"-",VLOOKUP(C16,$T$10:$Z$14,4,FALSE))</f>
        <v>10.334999999999999</v>
      </c>
      <c r="C20" s="49">
        <f>IF(ISNA(VLOOKUP(C16,$T$10:$Z$14,5,FALSE)),"-",VLOOKUP(C16,$T$10:$Z$14,5,FALSE))</f>
        <v>-1.6349999999999998</v>
      </c>
      <c r="D20" s="49">
        <f>IF(OR(C20="-",B20="-"),"-",B20+C20*D16)</f>
        <v>10.130624999999998</v>
      </c>
      <c r="E20" s="49">
        <f>IF(ISNA(VLOOKUP(C16,$T$10:$Z$14,7,FALSE)),"-",VLOOKUP(C16,$T$10:$Z$14,7,FALSE))</f>
        <v>10.34</v>
      </c>
      <c r="F20" s="49">
        <f>VLOOKUP(E16,$M$4:$Q$10,4,FALSE)</f>
        <v>6</v>
      </c>
      <c r="G20" s="49">
        <f>VLOOKUP(E16,$M$4:$Q$10,5,FALSE)</f>
        <v>3.0000000000000013E-2</v>
      </c>
      <c r="H20" s="49">
        <f>F19+F16*G19</f>
        <v>6</v>
      </c>
      <c r="I20" s="49">
        <f>VLOOKUP(E16,$M$4:$Q$10,2,FALSE)</f>
        <v>9</v>
      </c>
      <c r="J20" s="49">
        <f>VLOOKUP(E16,$M$4:$Q$10,3,FALSE)</f>
        <v>-0.05</v>
      </c>
      <c r="K20" s="49">
        <f>I19+F16*J19</f>
        <v>9</v>
      </c>
      <c r="L20" s="49">
        <f t="shared" ref="L20:L24" si="5">IF(ISNUMBER(D20),MIN(K20,D20),"-")</f>
        <v>9</v>
      </c>
      <c r="M20" s="49">
        <f t="shared" ref="M20:M24" si="6">IF(ISNUMBER(E20),MIN(E20,H20),"-")</f>
        <v>6</v>
      </c>
      <c r="S20" s="49" t="s">
        <v>35</v>
      </c>
      <c r="T20" s="14">
        <v>12</v>
      </c>
      <c r="U20" s="15">
        <v>6.2</v>
      </c>
      <c r="V20" s="72">
        <f t="shared" si="4"/>
        <v>-0.70000000000000018</v>
      </c>
      <c r="W20" s="15">
        <f t="shared" si="2"/>
        <v>9.3000000000000007</v>
      </c>
      <c r="X20" s="72">
        <f t="shared" si="4"/>
        <v>-1.0500000000000007</v>
      </c>
      <c r="Y20" s="15">
        <v>8.51</v>
      </c>
      <c r="Z20" s="15">
        <v>12.76</v>
      </c>
      <c r="AB20" s="23"/>
      <c r="AC20" s="23"/>
      <c r="AD20" s="23"/>
      <c r="AE20" s="23"/>
    </row>
    <row r="21" spans="1:31" x14ac:dyDescent="0.3">
      <c r="A21" s="66" t="s">
        <v>36</v>
      </c>
      <c r="B21" s="49" t="str">
        <f>IF(ISNA(VLOOKUP(C16,$T$15:$Z$19,4,FALSE)),"-",VLOOKUP(C16,$T$15:$Z$19,4,FALSE))</f>
        <v>-</v>
      </c>
      <c r="C21" s="49" t="str">
        <f>IF(ISNA(VLOOKUP(C16,$T$15:$Z$19,5,FALSE)),"-",VLOOKUP(C16,$T$15:$Z$19,5,FALSE))</f>
        <v>-</v>
      </c>
      <c r="D21" s="49" t="str">
        <f>IF(OR(C21="-",B21="-"),"-",B21+C21*D16)</f>
        <v>-</v>
      </c>
      <c r="E21" s="49" t="str">
        <f>IF(ISNA(VLOOKUP(C16,$T$15:$Z$19,7,FALSE)),"-",VLOOKUP(C16,$T$15:$Z$19,7,FALSE))</f>
        <v>-</v>
      </c>
      <c r="F21" s="49">
        <f>VLOOKUP(E16,$M$4:$Q$10,4,FALSE)</f>
        <v>6</v>
      </c>
      <c r="G21" s="49">
        <f>VLOOKUP(E16,$M$4:$Q$10,5,FALSE)</f>
        <v>3.0000000000000013E-2</v>
      </c>
      <c r="H21" s="49">
        <f>F19+F16*G19</f>
        <v>6</v>
      </c>
      <c r="I21" s="49">
        <f>VLOOKUP(E16,$M$4:$Q$10,2,FALSE)</f>
        <v>9</v>
      </c>
      <c r="J21" s="49">
        <f>VLOOKUP(E16,$M$4:$Q$10,3,FALSE)</f>
        <v>-0.05</v>
      </c>
      <c r="K21" s="49">
        <f>I19+F16*J19</f>
        <v>9</v>
      </c>
      <c r="L21" s="49" t="str">
        <f t="shared" si="5"/>
        <v>-</v>
      </c>
      <c r="M21" s="49" t="str">
        <f t="shared" si="6"/>
        <v>-</v>
      </c>
      <c r="S21" s="49" t="s">
        <v>35</v>
      </c>
      <c r="T21" s="14">
        <v>13</v>
      </c>
      <c r="U21" s="15">
        <v>5.5</v>
      </c>
      <c r="V21" s="72">
        <f t="shared" si="4"/>
        <v>-0.70000000000000018</v>
      </c>
      <c r="W21" s="15">
        <f t="shared" si="2"/>
        <v>8.25</v>
      </c>
      <c r="X21" s="72">
        <f t="shared" si="4"/>
        <v>-1.0500000000000007</v>
      </c>
      <c r="Y21" s="15">
        <v>8.51</v>
      </c>
      <c r="Z21" s="15">
        <v>12.76</v>
      </c>
      <c r="AB21" s="23"/>
      <c r="AC21" s="23"/>
      <c r="AD21" s="23"/>
      <c r="AE21" s="23"/>
    </row>
    <row r="22" spans="1:31" x14ac:dyDescent="0.3">
      <c r="A22" s="66" t="s">
        <v>35</v>
      </c>
      <c r="B22" s="49" t="str">
        <f>IF(ISNA(VLOOKUP(C16,$T$20:$Z$28,4,FALSE)),"-",VLOOKUP(C16,$T$20:$Z$28,4,FALSE))</f>
        <v>-</v>
      </c>
      <c r="C22" s="49" t="str">
        <f>IF(ISNA(VLOOKUP(C16,$T$20:$Z$28,5,FALSE)),"-",VLOOKUP(C16,$T$20:$Z$28,5,FALSE))</f>
        <v>-</v>
      </c>
      <c r="D22" s="49" t="str">
        <f>IF(OR(C22="-",B22="-"),"-",B19+C19*D16)</f>
        <v>-</v>
      </c>
      <c r="E22" s="49" t="str">
        <f>IF(ISNA(VLOOKUP(C16,$T$20:$Z$28,7,FALSE)),"-",VLOOKUP(C16,$T$20:$Z$28,7,FALSE))</f>
        <v>-</v>
      </c>
      <c r="F22" s="49">
        <f>VLOOKUP(E16,$M$4:$Q$10,4,FALSE)</f>
        <v>6</v>
      </c>
      <c r="G22" s="49">
        <f>VLOOKUP(E16,$M$4:$Q$10,5,FALSE)</f>
        <v>3.0000000000000013E-2</v>
      </c>
      <c r="H22" s="49">
        <f>F19+F16*G19</f>
        <v>6</v>
      </c>
      <c r="I22" s="49">
        <f>VLOOKUP(E16,$M$4:$Q$10,2,FALSE)</f>
        <v>9</v>
      </c>
      <c r="J22" s="49">
        <f>VLOOKUP(E16,$M$4:$Q$10,3,FALSE)</f>
        <v>-0.05</v>
      </c>
      <c r="K22" s="49">
        <f>I19+F16*J19</f>
        <v>9</v>
      </c>
      <c r="L22" s="49" t="str">
        <f t="shared" si="5"/>
        <v>-</v>
      </c>
      <c r="M22" s="49" t="str">
        <f t="shared" si="6"/>
        <v>-</v>
      </c>
      <c r="S22" s="49" t="s">
        <v>35</v>
      </c>
      <c r="T22" s="14">
        <v>14</v>
      </c>
      <c r="U22" s="15">
        <v>4.8</v>
      </c>
      <c r="V22" s="72">
        <f t="shared" si="4"/>
        <v>-0.59999999999999964</v>
      </c>
      <c r="W22" s="15">
        <f t="shared" si="2"/>
        <v>7.1999999999999993</v>
      </c>
      <c r="X22" s="72">
        <f t="shared" si="4"/>
        <v>-0.89999999999999858</v>
      </c>
      <c r="Y22" s="15">
        <v>8.51</v>
      </c>
      <c r="Z22" s="15">
        <v>12.76</v>
      </c>
      <c r="AB22" s="23"/>
      <c r="AC22" s="23"/>
      <c r="AD22" s="23"/>
      <c r="AE22" s="23"/>
    </row>
    <row r="23" spans="1:31" x14ac:dyDescent="0.3">
      <c r="A23" s="66" t="s">
        <v>34</v>
      </c>
      <c r="B23" s="49" t="str">
        <f>IF(ISNA(VLOOKUP(C16,$T$29:$Z$39,4,FALSE)),"-",VLOOKUP(C16,$T$29:$Z$39,4,FALSE))</f>
        <v>-</v>
      </c>
      <c r="C23" s="49" t="str">
        <f>IF(ISNA(VLOOKUP(C16,$T$29:$Z$39,5,FALSE)),"-",VLOOKUP(C16,$T$29:$Z$39,5,FALSE))</f>
        <v>-</v>
      </c>
      <c r="D23" s="49" t="str">
        <f>IF(OR(C23="-",B23="-"),"-",B23+C23*D16)</f>
        <v>-</v>
      </c>
      <c r="E23" s="49" t="str">
        <f>IF(ISNA(VLOOKUP(C16,$T$29:$Z$39,7,FALSE)),"-",VLOOKUP(C16,$T$29:$Z$39,7,FALSE))</f>
        <v>-</v>
      </c>
      <c r="F23" s="49">
        <f>VLOOKUP(E16,$M$4:$Q$10,4,FALSE)</f>
        <v>6</v>
      </c>
      <c r="G23" s="49">
        <f>VLOOKUP(E16,$M$4:$Q$10,5,FALSE)</f>
        <v>3.0000000000000013E-2</v>
      </c>
      <c r="H23" s="49">
        <f>F19+F16*G19</f>
        <v>6</v>
      </c>
      <c r="I23" s="49">
        <f>VLOOKUP(E16,$M$4:$Q$10,2,FALSE)</f>
        <v>9</v>
      </c>
      <c r="J23" s="49">
        <f>VLOOKUP(E16,$M$4:$Q$10,3,FALSE)</f>
        <v>-0.05</v>
      </c>
      <c r="K23" s="49">
        <f>I19+F16*J19</f>
        <v>9</v>
      </c>
      <c r="L23" s="49" t="str">
        <f t="shared" si="5"/>
        <v>-</v>
      </c>
      <c r="M23" s="49" t="str">
        <f t="shared" si="6"/>
        <v>-</v>
      </c>
      <c r="S23" s="49" t="s">
        <v>35</v>
      </c>
      <c r="T23" s="14">
        <v>15</v>
      </c>
      <c r="U23" s="15">
        <v>4.2</v>
      </c>
      <c r="V23" s="72">
        <f t="shared" si="4"/>
        <v>-0.40000000000000036</v>
      </c>
      <c r="W23" s="15">
        <f t="shared" si="2"/>
        <v>6.3000000000000007</v>
      </c>
      <c r="X23" s="72">
        <f t="shared" si="4"/>
        <v>-0.60000000000000142</v>
      </c>
      <c r="Y23" s="15">
        <v>8.51</v>
      </c>
      <c r="Z23" s="15">
        <v>12.76</v>
      </c>
      <c r="AB23" s="23"/>
      <c r="AC23" s="23"/>
      <c r="AD23" s="23"/>
      <c r="AE23" s="23"/>
    </row>
    <row r="24" spans="1:31" x14ac:dyDescent="0.3">
      <c r="A24" s="66" t="s">
        <v>33</v>
      </c>
      <c r="B24" s="49" t="str">
        <f>IF(ISNA(VLOOKUP(C16,$T$40:$Z$52,4,FALSE)),"-",VLOOKUP(C16,$T$40:$Z$52,4,FALSE))</f>
        <v>-</v>
      </c>
      <c r="C24" s="49" t="str">
        <f>IF(ISNA(VLOOKUP(C16,$T$40:$Z$52,5,FALSE)),"-",VLOOKUP(C16,$T$40:$Z$52,5,FALSE))</f>
        <v>-</v>
      </c>
      <c r="D24" s="49" t="str">
        <f>IF(OR(C24="-",B24="-"),"-",B24+C24*D16)</f>
        <v>-</v>
      </c>
      <c r="E24" s="49" t="str">
        <f>IF(ISNA(VLOOKUP(C16,$T$40:$Z$52,7,FALSE)),"-",VLOOKUP(C16,$T$40:$Z$52,7,FALSE))</f>
        <v>-</v>
      </c>
      <c r="F24" s="49">
        <f>VLOOKUP(E16,$M$4:$Q$10,4,FALSE)</f>
        <v>6</v>
      </c>
      <c r="G24" s="49">
        <f>VLOOKUP(E16,$M$4:$Q$10,5,FALSE)</f>
        <v>3.0000000000000013E-2</v>
      </c>
      <c r="H24" s="49">
        <f>F19+F16*G19</f>
        <v>6</v>
      </c>
      <c r="I24" s="49">
        <f>VLOOKUP(E16,$M$4:$Q$10,2,FALSE)</f>
        <v>9</v>
      </c>
      <c r="J24" s="49">
        <f>VLOOKUP(E16,$M$4:$Q$10,3,FALSE)</f>
        <v>-0.05</v>
      </c>
      <c r="K24" s="49">
        <f>I19+F16*J19</f>
        <v>9</v>
      </c>
      <c r="L24" s="49" t="str">
        <f t="shared" si="5"/>
        <v>-</v>
      </c>
      <c r="M24" s="49" t="str">
        <f t="shared" si="6"/>
        <v>-</v>
      </c>
      <c r="S24" s="49" t="s">
        <v>35</v>
      </c>
      <c r="T24" s="14">
        <v>16</v>
      </c>
      <c r="U24" s="15">
        <v>3.8</v>
      </c>
      <c r="V24" s="72">
        <f t="shared" si="4"/>
        <v>-0.39999999999999991</v>
      </c>
      <c r="W24" s="15">
        <f t="shared" si="2"/>
        <v>5.6999999999999993</v>
      </c>
      <c r="X24" s="72">
        <f t="shared" si="4"/>
        <v>-0.59999999999999964</v>
      </c>
      <c r="Y24" s="15">
        <v>8.51</v>
      </c>
      <c r="Z24" s="15">
        <v>12.76</v>
      </c>
      <c r="AB24" s="23"/>
      <c r="AC24" s="23"/>
      <c r="AD24" s="23"/>
      <c r="AE24" s="23"/>
    </row>
    <row r="25" spans="1:31" x14ac:dyDescent="0.3">
      <c r="A25" s="66" t="s">
        <v>32</v>
      </c>
      <c r="B25" s="41">
        <f>IF(ISNA(VLOOKUP(C16,$T$53:$Z$56,4,FALSE)),"-",VLOOKUP(C16,$T$53:$Z$56,4,FALSE))</f>
        <v>14.371257485029941</v>
      </c>
      <c r="C25" s="41">
        <f>IF(ISNA(VLOOKUP(C16,$T$53:$Z$56,5,FALSE)),"-",VLOOKUP(C16,$T$53:$Z$56,5,FALSE))</f>
        <v>0</v>
      </c>
      <c r="D25" s="41">
        <f>IF(OR(C25="-",B25="-"),"-",B25+C25*D16)</f>
        <v>14.371257485029941</v>
      </c>
      <c r="E25" s="41">
        <f>IF(ISNA(VLOOKUP(C16,$T$53:$Z$56,7,FALSE)),"-",VLOOKUP(C16,$T$53:$Z$56,7,FALSE))</f>
        <v>14.371257485029941</v>
      </c>
      <c r="F25" s="49">
        <f>VLOOKUP(E16,$M$4:$Q$10,4,FALSE)</f>
        <v>6</v>
      </c>
      <c r="G25" s="49">
        <f>VLOOKUP(E16,$M$4:$Q$10,5,FALSE)</f>
        <v>3.0000000000000013E-2</v>
      </c>
      <c r="H25" s="49">
        <f>F19+F16*G19</f>
        <v>6</v>
      </c>
      <c r="I25" s="49">
        <f>VLOOKUP(E16,$M$4:$Q$10,2,FALSE)</f>
        <v>9</v>
      </c>
      <c r="J25" s="49">
        <f>VLOOKUP(E16,$M$4:$Q$10,3,FALSE)</f>
        <v>-0.05</v>
      </c>
      <c r="K25" s="49">
        <f>I19+F16*J19</f>
        <v>9</v>
      </c>
      <c r="L25" s="49">
        <f>IF(ISNUMBER(D25),D25,"-")</f>
        <v>14.371257485029941</v>
      </c>
      <c r="M25" s="49">
        <f>IF(ISNUMBER(E25),E25,"-")</f>
        <v>14.371257485029941</v>
      </c>
      <c r="S25" s="49" t="s">
        <v>35</v>
      </c>
      <c r="T25" s="14">
        <v>17</v>
      </c>
      <c r="U25" s="15">
        <v>3.4</v>
      </c>
      <c r="V25" s="72">
        <f t="shared" si="4"/>
        <v>-0.29999999999999982</v>
      </c>
      <c r="W25" s="15">
        <f t="shared" si="2"/>
        <v>5.0999999999999996</v>
      </c>
      <c r="X25" s="72">
        <f t="shared" si="4"/>
        <v>-0.44999999999999929</v>
      </c>
      <c r="Y25" s="15">
        <v>8.51</v>
      </c>
      <c r="Z25" s="15">
        <v>12.76</v>
      </c>
      <c r="AB25" s="23"/>
      <c r="AC25" s="23"/>
      <c r="AD25" s="23"/>
      <c r="AE25" s="23"/>
    </row>
    <row r="26" spans="1:31" x14ac:dyDescent="0.3">
      <c r="A26" s="66" t="s">
        <v>31</v>
      </c>
      <c r="B26" s="41">
        <f>IF(ISNA(VLOOKUP(C16,$T$57:$Z$63,4,FALSE)),"-",VLOOKUP(C16,$T$57:$Z$63,4,FALSE))</f>
        <v>14.371257485029941</v>
      </c>
      <c r="C26" s="41">
        <f>IF(ISNA(VLOOKUP(C16,$T$57:$Z$63,5,FALSE)),"-",VLOOKUP(C16,$T$57:$Z$63,5,FALSE))</f>
        <v>0</v>
      </c>
      <c r="D26" s="41">
        <f>IF(OR(C26="-",B26="-"),"-",B26+C26*D16)</f>
        <v>14.371257485029941</v>
      </c>
      <c r="E26" s="41">
        <f>IF(ISNA(VLOOKUP(C16,$T$57:$Z$63,7,FALSE)),"-",VLOOKUP(C16,$T$57:$Z$63,7,FALSE))</f>
        <v>14.371257485029941</v>
      </c>
      <c r="F26" s="49">
        <f>VLOOKUP(E16,$M$4:$Q$10,4,FALSE)</f>
        <v>6</v>
      </c>
      <c r="G26" s="49">
        <f>VLOOKUP(E16,$M$4:$Q$10,5,FALSE)</f>
        <v>3.0000000000000013E-2</v>
      </c>
      <c r="H26" s="49">
        <f>F19+F16*G19</f>
        <v>6</v>
      </c>
      <c r="I26" s="49">
        <f>VLOOKUP(E16,$M$4:$Q$10,2,FALSE)</f>
        <v>9</v>
      </c>
      <c r="J26" s="49">
        <f>VLOOKUP(E16,$M$4:$Q$10,3,FALSE)</f>
        <v>-0.05</v>
      </c>
      <c r="K26" s="49">
        <f>I19+F16*J19</f>
        <v>9</v>
      </c>
      <c r="L26" s="136">
        <f>IF(ISNUMBER(D26),D26,"-")</f>
        <v>14.371257485029941</v>
      </c>
      <c r="M26" s="136">
        <f>IF(ISNUMBER(E26),E26,"-")</f>
        <v>14.371257485029941</v>
      </c>
      <c r="S26" s="49" t="s">
        <v>35</v>
      </c>
      <c r="T26" s="14">
        <v>18</v>
      </c>
      <c r="U26" s="15">
        <v>3.1</v>
      </c>
      <c r="V26" s="72">
        <f t="shared" si="4"/>
        <v>-0.30000000000000027</v>
      </c>
      <c r="W26" s="15">
        <f t="shared" si="2"/>
        <v>4.6500000000000004</v>
      </c>
      <c r="X26" s="72">
        <f t="shared" si="4"/>
        <v>-0.45000000000000107</v>
      </c>
      <c r="Y26" s="15">
        <v>8.51</v>
      </c>
      <c r="Z26" s="15">
        <v>12.76</v>
      </c>
      <c r="AB26" s="23"/>
      <c r="AC26" s="23"/>
      <c r="AD26" s="23"/>
      <c r="AE26" s="23"/>
    </row>
    <row r="27" spans="1:31" x14ac:dyDescent="0.3">
      <c r="S27" s="49" t="s">
        <v>35</v>
      </c>
      <c r="T27" s="14">
        <v>19</v>
      </c>
      <c r="U27" s="15">
        <v>2.8</v>
      </c>
      <c r="V27" s="72">
        <f t="shared" si="4"/>
        <v>-0.19999999999999973</v>
      </c>
      <c r="W27" s="15">
        <f t="shared" si="2"/>
        <v>4.1999999999999993</v>
      </c>
      <c r="X27" s="72">
        <f t="shared" si="4"/>
        <v>-0.29999999999999893</v>
      </c>
      <c r="Y27" s="15">
        <v>8.51</v>
      </c>
      <c r="Z27" s="15">
        <v>12.76</v>
      </c>
      <c r="AB27" s="23"/>
      <c r="AC27" s="23"/>
      <c r="AD27" s="23"/>
      <c r="AE27" s="23"/>
    </row>
    <row r="28" spans="1:31" x14ac:dyDescent="0.3">
      <c r="C28" s="166" t="s">
        <v>151</v>
      </c>
      <c r="D28" s="166"/>
      <c r="E28" s="166" t="s">
        <v>152</v>
      </c>
      <c r="F28" s="166"/>
      <c r="S28" s="49" t="s">
        <v>35</v>
      </c>
      <c r="T28" s="14">
        <v>20</v>
      </c>
      <c r="U28" s="15">
        <v>2.6</v>
      </c>
      <c r="V28" s="72">
        <v>0</v>
      </c>
      <c r="W28" s="15">
        <f t="shared" si="2"/>
        <v>3.9000000000000004</v>
      </c>
      <c r="X28" s="72">
        <v>0</v>
      </c>
      <c r="Y28" s="15">
        <v>8.51</v>
      </c>
      <c r="Z28" s="15">
        <v>12.76</v>
      </c>
      <c r="AB28" s="23"/>
      <c r="AC28" s="23"/>
      <c r="AD28" s="23"/>
      <c r="AE28" s="23"/>
    </row>
    <row r="29" spans="1:31" x14ac:dyDescent="0.3">
      <c r="C29" s="49" t="s">
        <v>144</v>
      </c>
      <c r="D29" s="49" t="s">
        <v>141</v>
      </c>
      <c r="E29" s="49" t="s">
        <v>144</v>
      </c>
      <c r="F29" s="49" t="s">
        <v>141</v>
      </c>
      <c r="S29" s="49" t="s">
        <v>34</v>
      </c>
      <c r="T29" s="14">
        <v>15</v>
      </c>
      <c r="U29" s="15">
        <v>4.2</v>
      </c>
      <c r="V29" s="72">
        <f t="shared" si="4"/>
        <v>-0.40000000000000036</v>
      </c>
      <c r="W29" s="15">
        <f t="shared" si="2"/>
        <v>6.3000000000000007</v>
      </c>
      <c r="X29" s="72">
        <f t="shared" si="4"/>
        <v>-0.60000000000000142</v>
      </c>
      <c r="Y29" s="15">
        <v>8.51</v>
      </c>
      <c r="Z29" s="15">
        <v>12.76</v>
      </c>
      <c r="AB29" s="23"/>
      <c r="AC29" s="23"/>
      <c r="AD29" s="23"/>
      <c r="AE29" s="23"/>
    </row>
    <row r="30" spans="1:31" x14ac:dyDescent="0.3">
      <c r="A30" s="24" t="s">
        <v>105</v>
      </c>
      <c r="B30" s="24">
        <v>1</v>
      </c>
      <c r="C30" s="68">
        <f>ROUNDDOWN(E3,0)</f>
        <v>8</v>
      </c>
      <c r="D30" s="68">
        <f>E3-C30</f>
        <v>0.22676880676733369</v>
      </c>
      <c r="E30" s="49">
        <f>ROUNDDOWN(E4/15,0)*15</f>
        <v>0</v>
      </c>
      <c r="F30" s="68">
        <f>E4-E30</f>
        <v>8.4261741906269041</v>
      </c>
      <c r="S30" s="49" t="s">
        <v>34</v>
      </c>
      <c r="T30" s="14">
        <v>16</v>
      </c>
      <c r="U30" s="15">
        <v>3.8</v>
      </c>
      <c r="V30" s="72">
        <f t="shared" si="4"/>
        <v>-0.39999999999999991</v>
      </c>
      <c r="W30" s="15">
        <f t="shared" si="2"/>
        <v>5.6999999999999993</v>
      </c>
      <c r="X30" s="72">
        <f t="shared" si="4"/>
        <v>-0.59999999999999964</v>
      </c>
      <c r="Y30" s="15">
        <v>8.51</v>
      </c>
      <c r="Z30" s="15">
        <v>12.76</v>
      </c>
      <c r="AB30" s="23"/>
      <c r="AC30" s="23"/>
      <c r="AD30" s="23"/>
      <c r="AE30" s="23"/>
    </row>
    <row r="31" spans="1:31" x14ac:dyDescent="0.3">
      <c r="B31" s="63"/>
      <c r="C31" s="64" t="s">
        <v>143</v>
      </c>
      <c r="D31" s="65"/>
      <c r="E31" s="63" t="s">
        <v>145</v>
      </c>
      <c r="F31" s="63"/>
      <c r="G31" s="64" t="s">
        <v>147</v>
      </c>
      <c r="H31" s="65"/>
      <c r="I31" s="63"/>
      <c r="J31" s="65" t="s">
        <v>148</v>
      </c>
      <c r="K31" s="65"/>
      <c r="L31" s="24" t="s">
        <v>153</v>
      </c>
      <c r="M31" s="24" t="s">
        <v>154</v>
      </c>
      <c r="S31" s="49" t="s">
        <v>34</v>
      </c>
      <c r="T31" s="14">
        <v>17</v>
      </c>
      <c r="U31" s="15">
        <v>3.4</v>
      </c>
      <c r="V31" s="72">
        <f t="shared" si="4"/>
        <v>-0.29999999999999982</v>
      </c>
      <c r="W31" s="15">
        <f t="shared" si="2"/>
        <v>5.0999999999999996</v>
      </c>
      <c r="X31" s="72">
        <f t="shared" si="4"/>
        <v>-0.44999999999999929</v>
      </c>
      <c r="Y31" s="15">
        <v>8.51</v>
      </c>
      <c r="Z31" s="15">
        <v>12.76</v>
      </c>
      <c r="AB31" s="23"/>
      <c r="AC31" s="23"/>
      <c r="AD31" s="23"/>
      <c r="AE31" s="23"/>
    </row>
    <row r="32" spans="1:31" x14ac:dyDescent="0.3">
      <c r="B32" s="49" t="s">
        <v>140</v>
      </c>
      <c r="C32" s="49" t="s">
        <v>137</v>
      </c>
      <c r="D32" s="49" t="s">
        <v>142</v>
      </c>
      <c r="E32" s="49" t="s">
        <v>146</v>
      </c>
      <c r="F32" s="49" t="s">
        <v>140</v>
      </c>
      <c r="G32" s="49" t="s">
        <v>137</v>
      </c>
      <c r="H32" s="49" t="s">
        <v>142</v>
      </c>
      <c r="I32" s="49" t="s">
        <v>140</v>
      </c>
      <c r="J32" s="49" t="s">
        <v>137</v>
      </c>
      <c r="K32" s="49" t="s">
        <v>142</v>
      </c>
      <c r="L32" s="49" t="s">
        <v>155</v>
      </c>
      <c r="M32" s="49" t="s">
        <v>155</v>
      </c>
      <c r="S32" s="49" t="s">
        <v>34</v>
      </c>
      <c r="T32" s="14">
        <v>18</v>
      </c>
      <c r="U32" s="15">
        <v>3.1</v>
      </c>
      <c r="V32" s="72">
        <f t="shared" si="4"/>
        <v>-0.30000000000000027</v>
      </c>
      <c r="W32" s="15">
        <f t="shared" si="2"/>
        <v>4.6500000000000004</v>
      </c>
      <c r="X32" s="72">
        <f t="shared" si="4"/>
        <v>-0.45000000000000107</v>
      </c>
      <c r="Y32" s="15">
        <v>8.51</v>
      </c>
      <c r="Z32" s="15">
        <v>12.76</v>
      </c>
      <c r="AB32" s="23"/>
      <c r="AC32" s="23"/>
      <c r="AD32" s="23"/>
      <c r="AE32" s="23"/>
    </row>
    <row r="33" spans="1:31" x14ac:dyDescent="0.3">
      <c r="A33" s="66" t="s">
        <v>38</v>
      </c>
      <c r="B33" s="49">
        <f>IF(ISNA(VLOOKUP(C30,$T$5:$Z$9,4,FALSE)),"-",VLOOKUP(C30,$T$5:$Z$9,4,FALSE))</f>
        <v>10.334999999999999</v>
      </c>
      <c r="C33" s="49">
        <f>IF(ISNA(VLOOKUP(C30,$T$5:$Z$9,5,FALSE)),"-",VLOOKUP(C30,$T$5:$Z$9,5,FALSE))</f>
        <v>-1.6349999999999998</v>
      </c>
      <c r="D33" s="49">
        <f>IF(OR(C33="-",B33="-"),"-",B33+C33*D30)</f>
        <v>9.9642330009354083</v>
      </c>
      <c r="E33" s="49">
        <f>IF(ISNA(VLOOKUP(C30,$T$5:$Z$9,7,FALSE)),"-",VLOOKUP(C30,$T$5:$Z$9,7,FALSE))</f>
        <v>10.34</v>
      </c>
      <c r="F33" s="49">
        <f>VLOOKUP(E30,$M$4:$Q$10,4,FALSE)</f>
        <v>6</v>
      </c>
      <c r="G33" s="49">
        <f>VLOOKUP(E30,$M$4:$Q$10,5,FALSE)</f>
        <v>3.0000000000000013E-2</v>
      </c>
      <c r="H33" s="49">
        <f>F33+F30*G33</f>
        <v>6.2527852257188075</v>
      </c>
      <c r="I33" s="49">
        <f>VLOOKUP(E30,$M$4:$Q$10,2,FALSE)</f>
        <v>9</v>
      </c>
      <c r="J33" s="49">
        <f>VLOOKUP(E30,$M$4:$Q$10,3,FALSE)</f>
        <v>-0.05</v>
      </c>
      <c r="K33" s="49">
        <f>I33+F30*J33</f>
        <v>8.5786912904686545</v>
      </c>
      <c r="L33" s="49">
        <f>IF(ISNUMBER(D33),MIN(K33,D33),"-")</f>
        <v>8.5786912904686545</v>
      </c>
      <c r="M33" s="49">
        <f>IF(ISNUMBER(E33),MIN(E33,H33),"-")</f>
        <v>6.2527852257188075</v>
      </c>
      <c r="S33" s="49" t="s">
        <v>34</v>
      </c>
      <c r="T33" s="14">
        <v>19</v>
      </c>
      <c r="U33" s="15">
        <v>2.8</v>
      </c>
      <c r="V33" s="72">
        <f t="shared" si="4"/>
        <v>-0.19999999999999973</v>
      </c>
      <c r="W33" s="15">
        <f t="shared" si="2"/>
        <v>4.1999999999999993</v>
      </c>
      <c r="X33" s="72">
        <f t="shared" si="4"/>
        <v>-0.29999999999999893</v>
      </c>
      <c r="Y33" s="15">
        <v>8.51</v>
      </c>
      <c r="Z33" s="15">
        <v>12.76</v>
      </c>
      <c r="AB33" s="23"/>
      <c r="AC33" s="23"/>
      <c r="AD33" s="23"/>
      <c r="AE33" s="23"/>
    </row>
    <row r="34" spans="1:31" x14ac:dyDescent="0.3">
      <c r="A34" s="66" t="s">
        <v>37</v>
      </c>
      <c r="B34" s="49">
        <f>IF(ISNA(VLOOKUP(C30,$T$10:$Z$14,4,FALSE)),"-",VLOOKUP(C30,$T$10:$Z$14,4,FALSE))</f>
        <v>10.334999999999999</v>
      </c>
      <c r="C34" s="49">
        <f>IF(ISNA(VLOOKUP(C30,$T$10:$Z$14,5,FALSE)),"-",VLOOKUP(C30,$T$10:$Z$14,5,FALSE))</f>
        <v>-1.6349999999999998</v>
      </c>
      <c r="D34" s="49">
        <f>IF(OR(C34="-",B34="-"),"-",B34+C34*D30)</f>
        <v>9.9642330009354083</v>
      </c>
      <c r="E34" s="49">
        <f>IF(ISNA(VLOOKUP(C30,$T$10:$Z$14,7,FALSE)),"-",VLOOKUP(C30,$T$10:$Z$14,7,FALSE))</f>
        <v>10.34</v>
      </c>
      <c r="F34" s="49">
        <f>VLOOKUP(E30,$M$4:$Q$10,4,FALSE)</f>
        <v>6</v>
      </c>
      <c r="G34" s="49">
        <f>VLOOKUP(E30,$M$4:$Q$10,5,FALSE)</f>
        <v>3.0000000000000013E-2</v>
      </c>
      <c r="H34" s="49">
        <f>F33+F30*G33</f>
        <v>6.2527852257188075</v>
      </c>
      <c r="I34" s="49">
        <f>VLOOKUP(E30,$M$4:$Q$10,2,FALSE)</f>
        <v>9</v>
      </c>
      <c r="J34" s="49">
        <f>VLOOKUP(E30,$M$4:$Q$10,3,FALSE)</f>
        <v>-0.05</v>
      </c>
      <c r="K34" s="49">
        <f>I33+F30*J33</f>
        <v>8.5786912904686545</v>
      </c>
      <c r="L34" s="49">
        <f t="shared" ref="L34:L38" si="7">IF(ISNUMBER(D34),MIN(K34,D34),"-")</f>
        <v>8.5786912904686545</v>
      </c>
      <c r="M34" s="49">
        <f t="shared" ref="M34:M38" si="8">IF(ISNUMBER(E34),MIN(E34,H34),"-")</f>
        <v>6.2527852257188075</v>
      </c>
      <c r="S34" s="49" t="s">
        <v>34</v>
      </c>
      <c r="T34" s="14">
        <v>20</v>
      </c>
      <c r="U34" s="15">
        <v>2.6</v>
      </c>
      <c r="V34" s="72">
        <f t="shared" si="4"/>
        <v>-0.20000000000000018</v>
      </c>
      <c r="W34" s="15">
        <f t="shared" si="2"/>
        <v>3.9000000000000004</v>
      </c>
      <c r="X34" s="72">
        <f t="shared" si="4"/>
        <v>-0.30000000000000071</v>
      </c>
      <c r="Y34" s="15">
        <v>8.51</v>
      </c>
      <c r="Z34" s="15">
        <v>12.76</v>
      </c>
      <c r="AB34" s="23"/>
      <c r="AC34" s="23"/>
      <c r="AD34" s="23"/>
      <c r="AE34" s="23"/>
    </row>
    <row r="35" spans="1:31" x14ac:dyDescent="0.3">
      <c r="A35" s="66" t="s">
        <v>36</v>
      </c>
      <c r="B35" s="49" t="str">
        <f>IF(ISNA(VLOOKUP(C30,$T$15:$Z$19,4,FALSE)),"-",VLOOKUP(C30,$T$15:$Z$19,4,FALSE))</f>
        <v>-</v>
      </c>
      <c r="C35" s="49" t="str">
        <f>IF(ISNA(VLOOKUP(C30,$T$15:$Z$19,5,FALSE)),"-",VLOOKUP(C30,$T$15:$Z$19,5,FALSE))</f>
        <v>-</v>
      </c>
      <c r="D35" s="49" t="str">
        <f>IF(OR(C35="-",B35="-"),"-",B35+C35*D30)</f>
        <v>-</v>
      </c>
      <c r="E35" s="49" t="str">
        <f>IF(ISNA(VLOOKUP(C30,$T$15:$Z$19,7,FALSE)),"-",VLOOKUP(C30,$T$15:$Z$19,7,FALSE))</f>
        <v>-</v>
      </c>
      <c r="F35" s="49">
        <f>VLOOKUP(E30,$M$4:$Q$10,4,FALSE)</f>
        <v>6</v>
      </c>
      <c r="G35" s="49">
        <f>VLOOKUP(E30,$M$4:$Q$10,5,FALSE)</f>
        <v>3.0000000000000013E-2</v>
      </c>
      <c r="H35" s="49">
        <f>F33+F30*G33</f>
        <v>6.2527852257188075</v>
      </c>
      <c r="I35" s="49">
        <f>VLOOKUP(E30,$M$4:$Q$10,2,FALSE)</f>
        <v>9</v>
      </c>
      <c r="J35" s="49">
        <f>VLOOKUP(E30,$M$4:$Q$10,3,FALSE)</f>
        <v>-0.05</v>
      </c>
      <c r="K35" s="49">
        <f>I33+F30*J33</f>
        <v>8.5786912904686545</v>
      </c>
      <c r="L35" s="49" t="str">
        <f t="shared" si="7"/>
        <v>-</v>
      </c>
      <c r="M35" s="49" t="str">
        <f t="shared" si="8"/>
        <v>-</v>
      </c>
      <c r="S35" s="49" t="s">
        <v>34</v>
      </c>
      <c r="T35" s="14">
        <v>21</v>
      </c>
      <c r="U35" s="15">
        <v>2.4</v>
      </c>
      <c r="V35" s="72">
        <f t="shared" si="4"/>
        <v>-0.19999999999999973</v>
      </c>
      <c r="W35" s="15">
        <f t="shared" si="2"/>
        <v>3.5999999999999996</v>
      </c>
      <c r="X35" s="72">
        <f t="shared" si="4"/>
        <v>-0.29999999999999938</v>
      </c>
      <c r="Y35" s="15">
        <v>8.51</v>
      </c>
      <c r="Z35" s="15">
        <v>12.76</v>
      </c>
      <c r="AB35" s="23"/>
      <c r="AC35" s="23"/>
      <c r="AD35" s="23"/>
      <c r="AE35" s="23"/>
    </row>
    <row r="36" spans="1:31" x14ac:dyDescent="0.3">
      <c r="A36" s="66" t="s">
        <v>35</v>
      </c>
      <c r="B36" s="49" t="str">
        <f>IF(ISNA(VLOOKUP(C30,$T$20:$Z$28,4,FALSE)),"-",VLOOKUP(C30,$T$20:$Z$28,4,FALSE))</f>
        <v>-</v>
      </c>
      <c r="C36" s="49" t="str">
        <f>IF(ISNA(VLOOKUP(C30,$T$20:$Z$28,5,FALSE)),"-",VLOOKUP(C30,$T$20:$Z$28,5,FALSE))</f>
        <v>-</v>
      </c>
      <c r="D36" s="49" t="str">
        <f>IF(OR(C36="-",B36="-"),"-",B33+C33*D30)</f>
        <v>-</v>
      </c>
      <c r="E36" s="49" t="str">
        <f>IF(ISNA(VLOOKUP(C30,$T$20:$Z$28,7,FALSE)),"-",VLOOKUP(C30,$T$20:$Z$28,7,FALSE))</f>
        <v>-</v>
      </c>
      <c r="F36" s="49">
        <f>VLOOKUP(E30,$M$4:$Q$10,4,FALSE)</f>
        <v>6</v>
      </c>
      <c r="G36" s="49">
        <f>VLOOKUP(E30,$M$4:$Q$10,5,FALSE)</f>
        <v>3.0000000000000013E-2</v>
      </c>
      <c r="H36" s="49">
        <f>F33+F30*G33</f>
        <v>6.2527852257188075</v>
      </c>
      <c r="I36" s="49">
        <f>VLOOKUP(E30,$M$4:$Q$10,2,FALSE)</f>
        <v>9</v>
      </c>
      <c r="J36" s="49">
        <f>VLOOKUP(E30,$M$4:$Q$10,3,FALSE)</f>
        <v>-0.05</v>
      </c>
      <c r="K36" s="49">
        <f>I33+F30*J33</f>
        <v>8.5786912904686545</v>
      </c>
      <c r="L36" s="49" t="str">
        <f t="shared" si="7"/>
        <v>-</v>
      </c>
      <c r="M36" s="49" t="str">
        <f t="shared" si="8"/>
        <v>-</v>
      </c>
      <c r="S36" s="49" t="s">
        <v>34</v>
      </c>
      <c r="T36" s="14">
        <v>22</v>
      </c>
      <c r="U36" s="15">
        <v>2.2000000000000002</v>
      </c>
      <c r="V36" s="72">
        <f t="shared" si="4"/>
        <v>-0.20000000000000018</v>
      </c>
      <c r="W36" s="15">
        <f t="shared" si="2"/>
        <v>3.3000000000000003</v>
      </c>
      <c r="X36" s="72">
        <f t="shared" si="4"/>
        <v>-0.30000000000000027</v>
      </c>
      <c r="Y36" s="15">
        <v>8.51</v>
      </c>
      <c r="Z36" s="15">
        <v>12.76</v>
      </c>
      <c r="AB36" s="23"/>
      <c r="AC36" s="23"/>
      <c r="AD36" s="23"/>
      <c r="AE36" s="23"/>
    </row>
    <row r="37" spans="1:31" x14ac:dyDescent="0.3">
      <c r="A37" s="66" t="s">
        <v>34</v>
      </c>
      <c r="B37" s="49" t="str">
        <f>IF(ISNA(VLOOKUP(C30,$T$29:$Z$39,4,FALSE)),"-",VLOOKUP(C30,$T$29:$Z$39,4,FALSE))</f>
        <v>-</v>
      </c>
      <c r="C37" s="49" t="str">
        <f>IF(ISNA(VLOOKUP(C30,$T$29:$Z$39,5,FALSE)),"-",VLOOKUP(C30,$T$29:$Z$39,5,FALSE))</f>
        <v>-</v>
      </c>
      <c r="D37" s="49" t="str">
        <f>IF(OR(C37="-",B37="-"),"-",B37+C37*D30)</f>
        <v>-</v>
      </c>
      <c r="E37" s="49" t="str">
        <f>IF(ISNA(VLOOKUP(C30,$T$29:$Z$39,7,FALSE)),"-",VLOOKUP(C30,$T$29:$Z$39,7,FALSE))</f>
        <v>-</v>
      </c>
      <c r="F37" s="49">
        <f>VLOOKUP(E30,$M$4:$Q$10,4,FALSE)</f>
        <v>6</v>
      </c>
      <c r="G37" s="49">
        <f>VLOOKUP(E30,$M$4:$Q$10,5,FALSE)</f>
        <v>3.0000000000000013E-2</v>
      </c>
      <c r="H37" s="49">
        <f>F33+F30*G33</f>
        <v>6.2527852257188075</v>
      </c>
      <c r="I37" s="49">
        <f>VLOOKUP(E30,$M$4:$Q$10,2,FALSE)</f>
        <v>9</v>
      </c>
      <c r="J37" s="49">
        <f>VLOOKUP(E30,$M$4:$Q$10,3,FALSE)</f>
        <v>-0.05</v>
      </c>
      <c r="K37" s="49">
        <f>I33+F30*J33</f>
        <v>8.5786912904686545</v>
      </c>
      <c r="L37" s="49" t="str">
        <f t="shared" si="7"/>
        <v>-</v>
      </c>
      <c r="M37" s="49" t="str">
        <f t="shared" si="8"/>
        <v>-</v>
      </c>
      <c r="S37" s="49" t="s">
        <v>34</v>
      </c>
      <c r="T37" s="14">
        <v>23</v>
      </c>
      <c r="U37" s="15">
        <v>2</v>
      </c>
      <c r="V37" s="72">
        <f t="shared" si="4"/>
        <v>-0.19999999999999996</v>
      </c>
      <c r="W37" s="15">
        <f t="shared" si="2"/>
        <v>3</v>
      </c>
      <c r="X37" s="72">
        <f t="shared" si="4"/>
        <v>-0.29999999999999982</v>
      </c>
      <c r="Y37" s="15">
        <v>8.51</v>
      </c>
      <c r="Z37" s="15">
        <v>12.76</v>
      </c>
      <c r="AB37" s="23"/>
      <c r="AC37" s="23"/>
      <c r="AD37" s="23"/>
      <c r="AE37" s="23"/>
    </row>
    <row r="38" spans="1:31" x14ac:dyDescent="0.3">
      <c r="A38" s="66" t="s">
        <v>33</v>
      </c>
      <c r="B38" s="49" t="str">
        <f>IF(ISNA(VLOOKUP(C30,$T$40:$Z$52,4,FALSE)),"-",VLOOKUP(C30,$T$40:$Z$52,4,FALSE))</f>
        <v>-</v>
      </c>
      <c r="C38" s="49" t="str">
        <f>IF(ISNA(VLOOKUP(C30,$T$40:$Z$52,5,FALSE)),"-",VLOOKUP(C30,$T$40:$Z$52,5,FALSE))</f>
        <v>-</v>
      </c>
      <c r="D38" s="49" t="str">
        <f>IF(OR(C38="-",B38="-"),"-",B38+C38*D30)</f>
        <v>-</v>
      </c>
      <c r="E38" s="49" t="str">
        <f>IF(ISNA(VLOOKUP(C30,$T$40:$Z$52,7,FALSE)),"-",VLOOKUP(C30,$T$40:$Z$52,7,FALSE))</f>
        <v>-</v>
      </c>
      <c r="F38" s="49">
        <f>VLOOKUP(E30,$M$4:$Q$10,4,FALSE)</f>
        <v>6</v>
      </c>
      <c r="G38" s="49">
        <f>VLOOKUP(E30,$M$4:$Q$10,5,FALSE)</f>
        <v>3.0000000000000013E-2</v>
      </c>
      <c r="H38" s="49">
        <f>F33+F30*G33</f>
        <v>6.2527852257188075</v>
      </c>
      <c r="I38" s="49">
        <f>VLOOKUP(E30,$M$4:$Q$10,2,FALSE)</f>
        <v>9</v>
      </c>
      <c r="J38" s="49">
        <f>VLOOKUP(E30,$M$4:$Q$10,3,FALSE)</f>
        <v>-0.05</v>
      </c>
      <c r="K38" s="49">
        <f>I33+F30*J33</f>
        <v>8.5786912904686545</v>
      </c>
      <c r="L38" s="49" t="str">
        <f t="shared" si="7"/>
        <v>-</v>
      </c>
      <c r="M38" s="49" t="str">
        <f t="shared" si="8"/>
        <v>-</v>
      </c>
      <c r="S38" s="49" t="s">
        <v>34</v>
      </c>
      <c r="T38" s="14">
        <v>24</v>
      </c>
      <c r="U38" s="15">
        <v>1.8</v>
      </c>
      <c r="V38" s="72">
        <f t="shared" si="4"/>
        <v>-0.10000000000000009</v>
      </c>
      <c r="W38" s="15">
        <f t="shared" si="2"/>
        <v>2.7</v>
      </c>
      <c r="X38" s="72">
        <f t="shared" si="4"/>
        <v>-0.15000000000000036</v>
      </c>
      <c r="Y38" s="15">
        <v>8.51</v>
      </c>
      <c r="Z38" s="15">
        <v>12.76</v>
      </c>
      <c r="AB38" s="23"/>
      <c r="AC38" s="23"/>
      <c r="AD38" s="23"/>
      <c r="AE38" s="23"/>
    </row>
    <row r="39" spans="1:31" x14ac:dyDescent="0.3">
      <c r="A39" s="66" t="s">
        <v>32</v>
      </c>
      <c r="B39" s="41">
        <f>IF(ISNA(VLOOKUP(C30,$T$53:$Z$56,4,FALSE)),"-",VLOOKUP(C30,$T$53:$Z$56,4,FALSE))</f>
        <v>14.371257485029941</v>
      </c>
      <c r="C39" s="41">
        <f>IF(ISNA(VLOOKUP(C30,$T$53:$Z$56,5,FALSE)),"-",VLOOKUP(C30,$T$53:$Z$56,5,FALSE))</f>
        <v>0</v>
      </c>
      <c r="D39" s="41">
        <f>IF(OR(C39="-",B39="-"),"-",B39+C39*D30)</f>
        <v>14.371257485029941</v>
      </c>
      <c r="E39" s="41">
        <f>IF(ISNA(VLOOKUP(C30,$T$53:$Z$56,7,FALSE)),"-",VLOOKUP(C30,$T$53:$Z$56,7,FALSE))</f>
        <v>14.371257485029941</v>
      </c>
      <c r="F39" s="49">
        <f>VLOOKUP(E30,$M$4:$Q$10,4,FALSE)</f>
        <v>6</v>
      </c>
      <c r="G39" s="49">
        <f>VLOOKUP(E30,$M$4:$Q$10,5,FALSE)</f>
        <v>3.0000000000000013E-2</v>
      </c>
      <c r="H39" s="49">
        <f>F33+F30*G33</f>
        <v>6.2527852257188075</v>
      </c>
      <c r="I39" s="49">
        <f>VLOOKUP(E30,$M$4:$Q$10,2,FALSE)</f>
        <v>9</v>
      </c>
      <c r="J39" s="49">
        <f>VLOOKUP(E30,$M$4:$Q$10,3,FALSE)</f>
        <v>-0.05</v>
      </c>
      <c r="K39" s="49">
        <f>I33+F30*J33</f>
        <v>8.5786912904686545</v>
      </c>
      <c r="L39" s="136">
        <f>IF(ISNUMBER(D39),D39,"-")</f>
        <v>14.371257485029941</v>
      </c>
      <c r="M39" s="136">
        <f>IF(ISNUMBER(E39),E39,"-")</f>
        <v>14.371257485029941</v>
      </c>
      <c r="S39" s="49" t="s">
        <v>34</v>
      </c>
      <c r="T39" s="14">
        <v>25</v>
      </c>
      <c r="U39" s="15">
        <v>1.7</v>
      </c>
      <c r="V39" s="72">
        <v>0</v>
      </c>
      <c r="W39" s="15">
        <f t="shared" si="2"/>
        <v>2.5499999999999998</v>
      </c>
      <c r="X39" s="72">
        <v>0</v>
      </c>
      <c r="Y39" s="15">
        <v>8.51</v>
      </c>
      <c r="Z39" s="15">
        <v>12.76</v>
      </c>
      <c r="AB39" s="23"/>
      <c r="AC39" s="23"/>
      <c r="AD39" s="23"/>
      <c r="AE39" s="23"/>
    </row>
    <row r="40" spans="1:31" x14ac:dyDescent="0.3">
      <c r="A40" s="66" t="s">
        <v>31</v>
      </c>
      <c r="B40" s="41">
        <f>IF(ISNA(VLOOKUP(C30,$T$57:$Z$63,4,FALSE)),"-",VLOOKUP(C30,$T$57:$Z$63,4,FALSE))</f>
        <v>14.371257485029941</v>
      </c>
      <c r="C40" s="41">
        <f>IF(ISNA(VLOOKUP(C30,$T$57:$Z$63,5,FALSE)),"-",VLOOKUP(C30,$T$57:$Z$63,5,FALSE))</f>
        <v>0</v>
      </c>
      <c r="D40" s="41">
        <f>IF(OR(C40="-",B40="-"),"-",B40+C40*D30)</f>
        <v>14.371257485029941</v>
      </c>
      <c r="E40" s="41">
        <f>IF(ISNA(VLOOKUP(C30,$T$57:$Z$63,7,FALSE)),"-",VLOOKUP(C30,$T$57:$Z$63,7,FALSE))</f>
        <v>14.371257485029941</v>
      </c>
      <c r="F40" s="49">
        <f>VLOOKUP(E30,$M$4:$Q$10,4,FALSE)</f>
        <v>6</v>
      </c>
      <c r="G40" s="49">
        <f>VLOOKUP(E30,$M$4:$Q$10,5,FALSE)</f>
        <v>3.0000000000000013E-2</v>
      </c>
      <c r="H40" s="49">
        <f>F33+F30*G33</f>
        <v>6.2527852257188075</v>
      </c>
      <c r="I40" s="49">
        <f>VLOOKUP(E30,$M$4:$Q$10,2,FALSE)</f>
        <v>9</v>
      </c>
      <c r="J40" s="49">
        <f>VLOOKUP(E30,$M$4:$Q$10,3,FALSE)</f>
        <v>-0.05</v>
      </c>
      <c r="K40" s="49">
        <f>I33+F30*J33</f>
        <v>8.5786912904686545</v>
      </c>
      <c r="L40" s="136">
        <f>IF(ISNUMBER(D40),D40,"-")</f>
        <v>14.371257485029941</v>
      </c>
      <c r="M40" s="136">
        <f>IF(ISNUMBER(E40),E40,"-")</f>
        <v>14.371257485029941</v>
      </c>
      <c r="S40" s="49" t="s">
        <v>33</v>
      </c>
      <c r="T40" s="14">
        <v>22</v>
      </c>
      <c r="U40" s="15">
        <v>6.8</v>
      </c>
      <c r="V40" s="72">
        <f t="shared" si="4"/>
        <v>-0.39999999999999947</v>
      </c>
      <c r="W40" s="15">
        <f t="shared" si="2"/>
        <v>10.199999999999999</v>
      </c>
      <c r="X40" s="72">
        <f t="shared" si="4"/>
        <v>-0.59999999999999787</v>
      </c>
      <c r="Y40" s="15">
        <v>13.1</v>
      </c>
      <c r="Z40" s="15">
        <v>19.649999999999999</v>
      </c>
      <c r="AB40" s="23"/>
      <c r="AC40" s="23"/>
      <c r="AD40" s="23"/>
      <c r="AE40" s="23"/>
    </row>
    <row r="41" spans="1:31" x14ac:dyDescent="0.3">
      <c r="S41" s="49" t="s">
        <v>33</v>
      </c>
      <c r="T41" s="14">
        <v>23</v>
      </c>
      <c r="U41" s="15">
        <v>6.4</v>
      </c>
      <c r="V41" s="72">
        <f t="shared" si="4"/>
        <v>-0.40000000000000036</v>
      </c>
      <c r="W41" s="15">
        <f t="shared" si="2"/>
        <v>9.6000000000000014</v>
      </c>
      <c r="X41" s="72">
        <f t="shared" si="4"/>
        <v>-0.60000000000000142</v>
      </c>
      <c r="Y41" s="15">
        <v>13.1</v>
      </c>
      <c r="Z41" s="15">
        <v>19.649999999999999</v>
      </c>
      <c r="AB41" s="23"/>
      <c r="AC41" s="23"/>
      <c r="AD41" s="23"/>
      <c r="AE41" s="23"/>
    </row>
    <row r="42" spans="1:31" x14ac:dyDescent="0.3">
      <c r="C42" s="166" t="s">
        <v>151</v>
      </c>
      <c r="D42" s="166"/>
      <c r="E42" s="166" t="s">
        <v>152</v>
      </c>
      <c r="F42" s="166"/>
      <c r="S42" s="49" t="s">
        <v>33</v>
      </c>
      <c r="T42" s="14">
        <v>24</v>
      </c>
      <c r="U42" s="15">
        <v>6</v>
      </c>
      <c r="V42" s="72">
        <f t="shared" si="4"/>
        <v>-0.40000000000000036</v>
      </c>
      <c r="W42" s="15">
        <f t="shared" si="2"/>
        <v>9</v>
      </c>
      <c r="X42" s="72">
        <f t="shared" si="4"/>
        <v>-0.60000000000000142</v>
      </c>
      <c r="Y42" s="15">
        <v>13.1</v>
      </c>
      <c r="Z42" s="15">
        <v>19.649999999999999</v>
      </c>
      <c r="AB42" s="23"/>
      <c r="AC42" s="23"/>
      <c r="AD42" s="23"/>
      <c r="AE42" s="23"/>
    </row>
    <row r="43" spans="1:31" x14ac:dyDescent="0.3">
      <c r="C43" s="49" t="s">
        <v>144</v>
      </c>
      <c r="D43" s="49" t="s">
        <v>141</v>
      </c>
      <c r="E43" s="49" t="s">
        <v>144</v>
      </c>
      <c r="F43" s="49" t="s">
        <v>141</v>
      </c>
      <c r="S43" s="49" t="s">
        <v>33</v>
      </c>
      <c r="T43" s="14">
        <v>25</v>
      </c>
      <c r="U43" s="15">
        <v>5.6</v>
      </c>
      <c r="V43" s="72">
        <f t="shared" si="4"/>
        <v>-0.39999999999999947</v>
      </c>
      <c r="W43" s="15">
        <f t="shared" si="2"/>
        <v>8.3999999999999986</v>
      </c>
      <c r="X43" s="72">
        <f t="shared" si="4"/>
        <v>-0.59999999999999787</v>
      </c>
      <c r="Y43" s="15">
        <v>13.1</v>
      </c>
      <c r="Z43" s="15">
        <v>19.649999999999999</v>
      </c>
      <c r="AB43" s="23"/>
      <c r="AC43" s="23"/>
      <c r="AD43" s="23"/>
      <c r="AE43" s="23"/>
    </row>
    <row r="44" spans="1:31" x14ac:dyDescent="0.3">
      <c r="A44" s="24" t="s">
        <v>105</v>
      </c>
      <c r="B44" s="24">
        <v>1</v>
      </c>
      <c r="C44" s="68">
        <f>ROUNDDOWN(F3,0)</f>
        <v>8</v>
      </c>
      <c r="D44" s="68">
        <f>F3-C44</f>
        <v>0.22676880676733369</v>
      </c>
      <c r="E44" s="49">
        <f>ROUNDDOWN(F4/15,0)*15</f>
        <v>0</v>
      </c>
      <c r="F44" s="68">
        <f>F4-E44</f>
        <v>8.4261741906269041</v>
      </c>
      <c r="S44" s="49" t="s">
        <v>33</v>
      </c>
      <c r="T44" s="14">
        <v>26</v>
      </c>
      <c r="U44" s="15">
        <v>5.2</v>
      </c>
      <c r="V44" s="72">
        <f t="shared" si="4"/>
        <v>-0.29999999999999982</v>
      </c>
      <c r="W44" s="15">
        <f t="shared" si="2"/>
        <v>7.8000000000000007</v>
      </c>
      <c r="X44" s="72">
        <f t="shared" si="4"/>
        <v>-0.45000000000000018</v>
      </c>
      <c r="Y44" s="15">
        <v>13.1</v>
      </c>
      <c r="Z44" s="15">
        <v>19.649999999999999</v>
      </c>
      <c r="AB44" s="23"/>
      <c r="AC44" s="23"/>
      <c r="AD44" s="23"/>
      <c r="AE44" s="23"/>
    </row>
    <row r="45" spans="1:31" x14ac:dyDescent="0.3">
      <c r="B45" s="63"/>
      <c r="C45" s="64" t="s">
        <v>143</v>
      </c>
      <c r="D45" s="65"/>
      <c r="E45" s="63" t="s">
        <v>145</v>
      </c>
      <c r="F45" s="63"/>
      <c r="G45" s="64" t="s">
        <v>147</v>
      </c>
      <c r="H45" s="65"/>
      <c r="I45" s="63"/>
      <c r="J45" s="65" t="s">
        <v>148</v>
      </c>
      <c r="K45" s="65"/>
      <c r="L45" s="24" t="s">
        <v>153</v>
      </c>
      <c r="M45" s="24" t="s">
        <v>154</v>
      </c>
      <c r="S45" s="49" t="s">
        <v>33</v>
      </c>
      <c r="T45" s="14">
        <v>27</v>
      </c>
      <c r="U45" s="15">
        <v>4.9000000000000004</v>
      </c>
      <c r="V45" s="72">
        <f t="shared" si="4"/>
        <v>-0.30000000000000071</v>
      </c>
      <c r="W45" s="15">
        <f t="shared" si="2"/>
        <v>7.3500000000000005</v>
      </c>
      <c r="X45" s="72">
        <f t="shared" si="4"/>
        <v>-0.45000000000000107</v>
      </c>
      <c r="Y45" s="15">
        <v>13.1</v>
      </c>
      <c r="Z45" s="15">
        <v>19.649999999999999</v>
      </c>
      <c r="AB45" s="23"/>
      <c r="AC45" s="23"/>
      <c r="AD45" s="23"/>
      <c r="AE45" s="23"/>
    </row>
    <row r="46" spans="1:31" x14ac:dyDescent="0.3">
      <c r="B46" s="49" t="s">
        <v>140</v>
      </c>
      <c r="C46" s="49" t="s">
        <v>137</v>
      </c>
      <c r="D46" s="49" t="s">
        <v>142</v>
      </c>
      <c r="E46" s="49" t="s">
        <v>146</v>
      </c>
      <c r="F46" s="49" t="s">
        <v>140</v>
      </c>
      <c r="G46" s="49" t="s">
        <v>137</v>
      </c>
      <c r="H46" s="49" t="s">
        <v>142</v>
      </c>
      <c r="I46" s="49" t="s">
        <v>140</v>
      </c>
      <c r="J46" s="49" t="s">
        <v>137</v>
      </c>
      <c r="K46" s="49" t="s">
        <v>142</v>
      </c>
      <c r="L46" s="49" t="s">
        <v>155</v>
      </c>
      <c r="M46" s="49" t="s">
        <v>155</v>
      </c>
      <c r="S46" s="49" t="s">
        <v>33</v>
      </c>
      <c r="T46" s="14">
        <v>28</v>
      </c>
      <c r="U46" s="15">
        <v>4.5999999999999996</v>
      </c>
      <c r="V46" s="72">
        <f t="shared" si="4"/>
        <v>-0.19999999999999929</v>
      </c>
      <c r="W46" s="15">
        <f t="shared" si="2"/>
        <v>6.8999999999999995</v>
      </c>
      <c r="X46" s="72">
        <f t="shared" si="4"/>
        <v>-0.29999999999999893</v>
      </c>
      <c r="Y46" s="15">
        <v>13.1</v>
      </c>
      <c r="Z46" s="15">
        <v>19.649999999999999</v>
      </c>
      <c r="AB46" s="23"/>
      <c r="AC46" s="23"/>
      <c r="AD46" s="23"/>
      <c r="AE46" s="23"/>
    </row>
    <row r="47" spans="1:31" x14ac:dyDescent="0.3">
      <c r="A47" s="66" t="s">
        <v>38</v>
      </c>
      <c r="B47" s="49">
        <f>IF(ISNA(VLOOKUP(C44,$T$5:$Z$9,4,FALSE)),"-",VLOOKUP(C44,$T$5:$Z$9,4,FALSE))</f>
        <v>10.334999999999999</v>
      </c>
      <c r="C47" s="49">
        <f>IF(ISNA(VLOOKUP(C44,$T$5:$Z$9,5,FALSE)),"-",VLOOKUP(C44,$T$5:$Z$9,5,FALSE))</f>
        <v>-1.6349999999999998</v>
      </c>
      <c r="D47" s="49">
        <f>IF(OR(C47="-",B47="-"),"-",B47+C47*D44)</f>
        <v>9.9642330009354083</v>
      </c>
      <c r="E47" s="49">
        <f>IF(ISNA(VLOOKUP(C44,$T$5:$Z$9,7,FALSE)),"-",VLOOKUP(C44,$T$5:$Z$9,7,FALSE))</f>
        <v>10.34</v>
      </c>
      <c r="F47" s="49">
        <f>VLOOKUP(E44,$M$4:$Q$10,4,FALSE)</f>
        <v>6</v>
      </c>
      <c r="G47" s="49">
        <f>VLOOKUP(E44,$M$4:$Q$10,5,FALSE)</f>
        <v>3.0000000000000013E-2</v>
      </c>
      <c r="H47" s="49">
        <f>F47+F44*G47</f>
        <v>6.2527852257188075</v>
      </c>
      <c r="I47" s="49">
        <f>VLOOKUP(E44,$M$4:$Q$10,2,FALSE)</f>
        <v>9</v>
      </c>
      <c r="J47" s="49">
        <f>VLOOKUP(E44,$M$4:$Q$10,3,FALSE)</f>
        <v>-0.05</v>
      </c>
      <c r="K47" s="49">
        <f>I47+F44*J47</f>
        <v>8.5786912904686545</v>
      </c>
      <c r="L47" s="49">
        <f>IF(ISNUMBER(D47),MIN(K47,D47),"-")</f>
        <v>8.5786912904686545</v>
      </c>
      <c r="M47" s="49">
        <f>IF(ISNUMBER(E47),MIN(E47,H47),"-")</f>
        <v>6.2527852257188075</v>
      </c>
      <c r="S47" s="49" t="s">
        <v>33</v>
      </c>
      <c r="T47" s="14">
        <v>29</v>
      </c>
      <c r="U47" s="15">
        <v>4.4000000000000004</v>
      </c>
      <c r="V47" s="72">
        <f t="shared" si="4"/>
        <v>-0.20000000000000018</v>
      </c>
      <c r="W47" s="15">
        <f t="shared" si="2"/>
        <v>6.6000000000000005</v>
      </c>
      <c r="X47" s="72">
        <f t="shared" si="4"/>
        <v>-0.29999999999999982</v>
      </c>
      <c r="Y47" s="15">
        <v>13.1</v>
      </c>
      <c r="Z47" s="15">
        <v>19.649999999999999</v>
      </c>
      <c r="AB47" s="23"/>
      <c r="AC47" s="23"/>
      <c r="AD47" s="23"/>
      <c r="AE47" s="23"/>
    </row>
    <row r="48" spans="1:31" x14ac:dyDescent="0.3">
      <c r="A48" s="66" t="s">
        <v>37</v>
      </c>
      <c r="B48" s="49">
        <f>IF(ISNA(VLOOKUP(C44,$T$10:$Z$14,4,FALSE)),"-",VLOOKUP(C44,$T$10:$Z$14,4,FALSE))</f>
        <v>10.334999999999999</v>
      </c>
      <c r="C48" s="49">
        <f>IF(ISNA(VLOOKUP(C44,$T$10:$Z$14,5,FALSE)),"-",VLOOKUP(C44,$T$10:$Z$14,5,FALSE))</f>
        <v>-1.6349999999999998</v>
      </c>
      <c r="D48" s="49">
        <f>IF(OR(C48="-",B48="-"),"-",B48+C48*D44)</f>
        <v>9.9642330009354083</v>
      </c>
      <c r="E48" s="49">
        <f>IF(ISNA(VLOOKUP(C44,$T$10:$Z$14,7,FALSE)),"-",VLOOKUP(C44,$T$10:$Z$14,7,FALSE))</f>
        <v>10.34</v>
      </c>
      <c r="F48" s="49">
        <f>VLOOKUP(E44,$M$4:$Q$10,4,FALSE)</f>
        <v>6</v>
      </c>
      <c r="G48" s="49">
        <f>VLOOKUP(E44,$M$4:$Q$10,5,FALSE)</f>
        <v>3.0000000000000013E-2</v>
      </c>
      <c r="H48" s="49">
        <f>F47+F44*G47</f>
        <v>6.2527852257188075</v>
      </c>
      <c r="I48" s="49">
        <f>VLOOKUP(E44,$M$4:$Q$10,2,FALSE)</f>
        <v>9</v>
      </c>
      <c r="J48" s="49">
        <f>VLOOKUP(E44,$M$4:$Q$10,3,FALSE)</f>
        <v>-0.05</v>
      </c>
      <c r="K48" s="49">
        <f>I47+F44*J47</f>
        <v>8.5786912904686545</v>
      </c>
      <c r="L48" s="49">
        <f t="shared" ref="L48:L52" si="9">IF(ISNUMBER(D48),MIN(K48,D48),"-")</f>
        <v>8.5786912904686545</v>
      </c>
      <c r="M48" s="49">
        <f t="shared" ref="M48:M52" si="10">IF(ISNUMBER(E48),MIN(E48,H48),"-")</f>
        <v>6.2527852257188075</v>
      </c>
      <c r="S48" s="49" t="s">
        <v>33</v>
      </c>
      <c r="T48" s="14">
        <v>30</v>
      </c>
      <c r="U48" s="15">
        <v>4.2</v>
      </c>
      <c r="V48" s="72">
        <f t="shared" si="4"/>
        <v>-0.30000000000000027</v>
      </c>
      <c r="W48" s="15">
        <f t="shared" si="2"/>
        <v>6.3000000000000007</v>
      </c>
      <c r="X48" s="72">
        <f t="shared" si="4"/>
        <v>-0.45000000000000107</v>
      </c>
      <c r="Y48" s="15">
        <v>13.1</v>
      </c>
      <c r="Z48" s="15">
        <v>19.649999999999999</v>
      </c>
      <c r="AB48" s="23"/>
      <c r="AC48" s="23"/>
      <c r="AD48" s="23"/>
      <c r="AE48" s="23"/>
    </row>
    <row r="49" spans="1:31" x14ac:dyDescent="0.3">
      <c r="A49" s="66" t="s">
        <v>36</v>
      </c>
      <c r="B49" s="49" t="str">
        <f>IF(ISNA(VLOOKUP(C44,$T$15:$Z$19,4,FALSE)),"-",VLOOKUP(C44,$T$15:$Z$19,4,FALSE))</f>
        <v>-</v>
      </c>
      <c r="C49" s="49" t="str">
        <f>IF(ISNA(VLOOKUP(C44,$T$15:$Z$19,5,FALSE)),"-",VLOOKUP(C44,$T$15:$Z$19,5,FALSE))</f>
        <v>-</v>
      </c>
      <c r="D49" s="49" t="str">
        <f>IF(OR(C49="-",B49="-"),"-",B49+C49*D44)</f>
        <v>-</v>
      </c>
      <c r="E49" s="49" t="str">
        <f>IF(ISNA(VLOOKUP(C44,$T$15:$Z$19,7,FALSE)),"-",VLOOKUP(C44,$T$15:$Z$19,7,FALSE))</f>
        <v>-</v>
      </c>
      <c r="F49" s="49">
        <f>VLOOKUP(E44,$M$4:$Q$10,4,FALSE)</f>
        <v>6</v>
      </c>
      <c r="G49" s="49">
        <f>VLOOKUP(E44,$M$4:$Q$10,5,FALSE)</f>
        <v>3.0000000000000013E-2</v>
      </c>
      <c r="H49" s="49">
        <f>F47+F44*G47</f>
        <v>6.2527852257188075</v>
      </c>
      <c r="I49" s="49">
        <f>VLOOKUP(E44,$M$4:$Q$10,2,FALSE)</f>
        <v>9</v>
      </c>
      <c r="J49" s="49">
        <f>VLOOKUP(E44,$M$4:$Q$10,3,FALSE)</f>
        <v>-0.05</v>
      </c>
      <c r="K49" s="49">
        <f>I47+F44*J47</f>
        <v>8.5786912904686545</v>
      </c>
      <c r="L49" s="49" t="str">
        <f t="shared" si="9"/>
        <v>-</v>
      </c>
      <c r="M49" s="49" t="str">
        <f t="shared" si="10"/>
        <v>-</v>
      </c>
      <c r="S49" s="49" t="s">
        <v>33</v>
      </c>
      <c r="T49" s="14">
        <v>31</v>
      </c>
      <c r="U49" s="15">
        <v>3.9</v>
      </c>
      <c r="V49" s="72">
        <f t="shared" si="4"/>
        <v>-0.19999999999999973</v>
      </c>
      <c r="W49" s="15">
        <f t="shared" si="2"/>
        <v>5.85</v>
      </c>
      <c r="X49" s="72">
        <f t="shared" si="4"/>
        <v>-0.29999999999999893</v>
      </c>
      <c r="Y49" s="15">
        <v>13.1</v>
      </c>
      <c r="Z49" s="15">
        <v>19.649999999999999</v>
      </c>
      <c r="AB49" s="23"/>
      <c r="AC49" s="23"/>
      <c r="AD49" s="23"/>
      <c r="AE49" s="23"/>
    </row>
    <row r="50" spans="1:31" x14ac:dyDescent="0.3">
      <c r="A50" s="66" t="s">
        <v>35</v>
      </c>
      <c r="B50" s="49" t="str">
        <f>IF(ISNA(VLOOKUP(C44,$T$20:$Z$28,4,FALSE)),"-",VLOOKUP(C44,$T$20:$Z$28,4,FALSE))</f>
        <v>-</v>
      </c>
      <c r="C50" s="49" t="str">
        <f>IF(ISNA(VLOOKUP(C44,$T$20:$Z$28,5,FALSE)),"-",VLOOKUP(C44,$T$20:$Z$28,5,FALSE))</f>
        <v>-</v>
      </c>
      <c r="D50" s="49" t="str">
        <f>IF(OR(C50="-",B50="-"),"-",B47+C47*D44)</f>
        <v>-</v>
      </c>
      <c r="E50" s="49" t="str">
        <f>IF(ISNA(VLOOKUP(C44,$T$20:$Z$28,7,FALSE)),"-",VLOOKUP(C44,$T$20:$Z$28,7,FALSE))</f>
        <v>-</v>
      </c>
      <c r="F50" s="49">
        <f>VLOOKUP(E44,$M$4:$Q$10,4,FALSE)</f>
        <v>6</v>
      </c>
      <c r="G50" s="49">
        <f>VLOOKUP(E44,$M$4:$Q$10,5,FALSE)</f>
        <v>3.0000000000000013E-2</v>
      </c>
      <c r="H50" s="49">
        <f>F47+F44*G47</f>
        <v>6.2527852257188075</v>
      </c>
      <c r="I50" s="49">
        <f>VLOOKUP(E44,$M$4:$Q$10,2,FALSE)</f>
        <v>9</v>
      </c>
      <c r="J50" s="49">
        <f>VLOOKUP(E44,$M$4:$Q$10,3,FALSE)</f>
        <v>-0.05</v>
      </c>
      <c r="K50" s="49">
        <f>I47+F44*J47</f>
        <v>8.5786912904686545</v>
      </c>
      <c r="L50" s="49" t="str">
        <f t="shared" si="9"/>
        <v>-</v>
      </c>
      <c r="M50" s="49" t="str">
        <f t="shared" si="10"/>
        <v>-</v>
      </c>
      <c r="S50" s="49" t="s">
        <v>33</v>
      </c>
      <c r="T50" s="14">
        <v>32</v>
      </c>
      <c r="U50" s="15">
        <v>3.7</v>
      </c>
      <c r="V50" s="72">
        <f t="shared" si="4"/>
        <v>-0.20000000000000018</v>
      </c>
      <c r="W50" s="15">
        <f t="shared" si="2"/>
        <v>5.5500000000000007</v>
      </c>
      <c r="X50" s="72">
        <f t="shared" si="4"/>
        <v>-0.30000000000000071</v>
      </c>
      <c r="Y50" s="15">
        <v>13.1</v>
      </c>
      <c r="Z50" s="15">
        <v>19.649999999999999</v>
      </c>
      <c r="AB50" s="23"/>
      <c r="AC50" s="23"/>
      <c r="AD50" s="23"/>
      <c r="AE50" s="23"/>
    </row>
    <row r="51" spans="1:31" x14ac:dyDescent="0.3">
      <c r="A51" s="66" t="s">
        <v>34</v>
      </c>
      <c r="B51" s="49" t="str">
        <f>IF(ISNA(VLOOKUP(C44,$T$29:$Z$39,4,FALSE)),"-",VLOOKUP(C44,$T$29:$Z$39,4,FALSE))</f>
        <v>-</v>
      </c>
      <c r="C51" s="49" t="str">
        <f>IF(ISNA(VLOOKUP(C44,$T$29:$Z$39,5,FALSE)),"-",VLOOKUP(C44,$T$29:$Z$39,5,FALSE))</f>
        <v>-</v>
      </c>
      <c r="D51" s="49" t="str">
        <f>IF(OR(C51="-",B51="-"),"-",B51+C51*D44)</f>
        <v>-</v>
      </c>
      <c r="E51" s="49" t="str">
        <f>IF(ISNA(VLOOKUP(C44,$T$29:$Z$39,7,FALSE)),"-",VLOOKUP(C44,$T$29:$Z$39,7,FALSE))</f>
        <v>-</v>
      </c>
      <c r="F51" s="49">
        <f>VLOOKUP(E44,$M$4:$Q$10,4,FALSE)</f>
        <v>6</v>
      </c>
      <c r="G51" s="49">
        <f>VLOOKUP(E44,$M$4:$Q$10,5,FALSE)</f>
        <v>3.0000000000000013E-2</v>
      </c>
      <c r="H51" s="49">
        <f>F47+F44*G47</f>
        <v>6.2527852257188075</v>
      </c>
      <c r="I51" s="49">
        <f>VLOOKUP(E44,$M$4:$Q$10,2,FALSE)</f>
        <v>9</v>
      </c>
      <c r="J51" s="49">
        <f>VLOOKUP(E44,$M$4:$Q$10,3,FALSE)</f>
        <v>-0.05</v>
      </c>
      <c r="K51" s="49">
        <f>I47+F44*J47</f>
        <v>8.5786912904686545</v>
      </c>
      <c r="L51" s="49" t="str">
        <f t="shared" si="9"/>
        <v>-</v>
      </c>
      <c r="M51" s="49" t="str">
        <f t="shared" si="10"/>
        <v>-</v>
      </c>
      <c r="S51" s="49" t="s">
        <v>33</v>
      </c>
      <c r="T51" s="14">
        <v>33</v>
      </c>
      <c r="U51" s="15">
        <v>3.5</v>
      </c>
      <c r="V51" s="72">
        <f t="shared" si="4"/>
        <v>-0.20000000000000018</v>
      </c>
      <c r="W51" s="15">
        <f t="shared" si="2"/>
        <v>5.25</v>
      </c>
      <c r="X51" s="72">
        <f t="shared" si="4"/>
        <v>-0.30000000000000071</v>
      </c>
      <c r="Y51" s="15">
        <v>13.1</v>
      </c>
      <c r="Z51" s="15">
        <v>19.649999999999999</v>
      </c>
      <c r="AB51" s="23"/>
      <c r="AC51" s="23"/>
      <c r="AD51" s="23"/>
      <c r="AE51" s="23"/>
    </row>
    <row r="52" spans="1:31" x14ac:dyDescent="0.3">
      <c r="A52" s="66" t="s">
        <v>33</v>
      </c>
      <c r="B52" s="49" t="str">
        <f>IF(ISNA(VLOOKUP(C44,$T$40:$Z$52,4,FALSE)),"-",VLOOKUP(C44,$T$40:$Z$52,4,FALSE))</f>
        <v>-</v>
      </c>
      <c r="C52" s="49" t="str">
        <f>IF(ISNA(VLOOKUP(C44,$T$40:$Z$52,5,FALSE)),"-",VLOOKUP(C44,$T$40:$Z$52,5,FALSE))</f>
        <v>-</v>
      </c>
      <c r="D52" s="49" t="str">
        <f>IF(OR(C52="-",B52="-"),"-",B52+C52*D44)</f>
        <v>-</v>
      </c>
      <c r="E52" s="49" t="str">
        <f>IF(ISNA(VLOOKUP(C44,$T$40:$Z$52,7,FALSE)),"-",VLOOKUP(C44,$T$40:$Z$52,7,FALSE))</f>
        <v>-</v>
      </c>
      <c r="F52" s="49">
        <f>VLOOKUP(E44,$M$4:$Q$10,4,FALSE)</f>
        <v>6</v>
      </c>
      <c r="G52" s="49">
        <f>VLOOKUP(E44,$M$4:$Q$10,5,FALSE)</f>
        <v>3.0000000000000013E-2</v>
      </c>
      <c r="H52" s="49">
        <f>F47+F44*G47</f>
        <v>6.2527852257188075</v>
      </c>
      <c r="I52" s="49">
        <f>VLOOKUP(E44,$M$4:$Q$10,2,FALSE)</f>
        <v>9</v>
      </c>
      <c r="J52" s="49">
        <f>VLOOKUP(E44,$M$4:$Q$10,3,FALSE)</f>
        <v>-0.05</v>
      </c>
      <c r="K52" s="49">
        <f>I47+F44*J47</f>
        <v>8.5786912904686545</v>
      </c>
      <c r="L52" s="49" t="str">
        <f t="shared" si="9"/>
        <v>-</v>
      </c>
      <c r="M52" s="49" t="str">
        <f t="shared" si="10"/>
        <v>-</v>
      </c>
      <c r="S52" s="49" t="s">
        <v>33</v>
      </c>
      <c r="T52" s="14">
        <v>34</v>
      </c>
      <c r="U52" s="15">
        <v>3.3</v>
      </c>
      <c r="V52" s="72">
        <v>0</v>
      </c>
      <c r="W52" s="15">
        <f t="shared" si="2"/>
        <v>4.9499999999999993</v>
      </c>
      <c r="X52" s="72">
        <v>0</v>
      </c>
      <c r="Y52" s="15">
        <v>13.1</v>
      </c>
      <c r="Z52" s="15">
        <v>19.649999999999999</v>
      </c>
      <c r="AB52" s="23"/>
      <c r="AC52" s="23"/>
      <c r="AD52" s="23"/>
      <c r="AE52" s="23"/>
    </row>
    <row r="53" spans="1:31" x14ac:dyDescent="0.3">
      <c r="A53" s="66" t="s">
        <v>32</v>
      </c>
      <c r="B53" s="41">
        <f>IF(ISNA(VLOOKUP(C44,$T$53:$Z$56,4,FALSE)),"-",VLOOKUP(C44,$T$53:$Z$56,4,FALSE))</f>
        <v>14.371257485029941</v>
      </c>
      <c r="C53" s="41">
        <f>IF(ISNA(VLOOKUP(C44,$T$53:$Z$56,5,FALSE)),"-",VLOOKUP(C44,$T$53:$Z$56,5,FALSE))</f>
        <v>0</v>
      </c>
      <c r="D53" s="41">
        <f>IF(OR(C53="-",B53="-"),"-",B53+C53*D44)</f>
        <v>14.371257485029941</v>
      </c>
      <c r="E53" s="41">
        <f>IF(ISNA(VLOOKUP(C44,$T$53:$Z$56,7,FALSE)),"-",VLOOKUP(C44,$T$53:$Z$56,7,FALSE))</f>
        <v>14.371257485029941</v>
      </c>
      <c r="F53" s="49">
        <f>VLOOKUP(E44,$M$4:$Q$10,4,FALSE)</f>
        <v>6</v>
      </c>
      <c r="G53" s="49">
        <f>VLOOKUP(E44,$M$4:$Q$10,5,FALSE)</f>
        <v>3.0000000000000013E-2</v>
      </c>
      <c r="H53" s="49">
        <f>F47+F44*G47</f>
        <v>6.2527852257188075</v>
      </c>
      <c r="I53" s="49">
        <f>VLOOKUP(E44,$M$4:$Q$10,2,FALSE)</f>
        <v>9</v>
      </c>
      <c r="J53" s="49">
        <f>VLOOKUP(E44,$M$4:$Q$10,3,FALSE)</f>
        <v>-0.05</v>
      </c>
      <c r="K53" s="49">
        <f>I47+F44*J47</f>
        <v>8.5786912904686545</v>
      </c>
      <c r="L53" s="136">
        <f>IF(ISNUMBER(D53),D53,"-")</f>
        <v>14.371257485029941</v>
      </c>
      <c r="M53" s="136">
        <f>IF(ISNUMBER(E53),E53,"-")</f>
        <v>14.371257485029941</v>
      </c>
      <c r="S53" s="49" t="s">
        <v>32</v>
      </c>
      <c r="T53" s="14">
        <v>5</v>
      </c>
      <c r="U53" s="13">
        <f t="shared" ref="U53:U63" si="11">16/1.67</f>
        <v>9.5808383233532943</v>
      </c>
      <c r="V53" s="72">
        <f t="shared" si="4"/>
        <v>0</v>
      </c>
      <c r="W53" s="13">
        <f t="shared" ref="W53:W63" si="12">U53*1.5</f>
        <v>14.371257485029941</v>
      </c>
      <c r="X53" s="72">
        <f t="shared" si="4"/>
        <v>0</v>
      </c>
      <c r="Y53" s="13">
        <f t="shared" ref="Y53:Y63" si="13">16/1.67</f>
        <v>9.5808383233532943</v>
      </c>
      <c r="Z53" s="13">
        <f t="shared" ref="Z53:Z63" si="14">Y53*1.5</f>
        <v>14.371257485029941</v>
      </c>
      <c r="AB53" s="23"/>
      <c r="AC53" s="23"/>
      <c r="AD53" s="23"/>
      <c r="AE53" s="23"/>
    </row>
    <row r="54" spans="1:31" x14ac:dyDescent="0.3">
      <c r="A54" s="66" t="s">
        <v>31</v>
      </c>
      <c r="B54" s="41">
        <f>IF(ISNA(VLOOKUP(C44,$T$57:$Z$63,4,FALSE)),"-",VLOOKUP(C44,$T$57:$Z$63,4,FALSE))</f>
        <v>14.371257485029941</v>
      </c>
      <c r="C54" s="41">
        <f>IF(ISNA(VLOOKUP(C44,$T$57:$Z$63,5,FALSE)),"-",VLOOKUP(C44,$T$57:$Z$63,5,FALSE))</f>
        <v>0</v>
      </c>
      <c r="D54" s="41">
        <f>IF(OR(C54="-",B54="-"),"-",B54+C54*D44)</f>
        <v>14.371257485029941</v>
      </c>
      <c r="E54" s="41">
        <f>IF(ISNA(VLOOKUP(C44,$T$57:$Z$63,7,FALSE)),"-",VLOOKUP(C44,$T$57:$Z$63,7,FALSE))</f>
        <v>14.371257485029941</v>
      </c>
      <c r="F54" s="49">
        <f>VLOOKUP(E44,$M$4:$Q$10,4,FALSE)</f>
        <v>6</v>
      </c>
      <c r="G54" s="49">
        <f>VLOOKUP(E44,$M$4:$Q$10,5,FALSE)</f>
        <v>3.0000000000000013E-2</v>
      </c>
      <c r="H54" s="49">
        <f>F47+F44*G47</f>
        <v>6.2527852257188075</v>
      </c>
      <c r="I54" s="49">
        <f>VLOOKUP(E44,$M$4:$Q$10,2,FALSE)</f>
        <v>9</v>
      </c>
      <c r="J54" s="49">
        <f>VLOOKUP(E44,$M$4:$Q$10,3,FALSE)</f>
        <v>-0.05</v>
      </c>
      <c r="K54" s="49">
        <f>I47+F44*J47</f>
        <v>8.5786912904686545</v>
      </c>
      <c r="L54" s="136">
        <f>IF(ISNUMBER(D54),D54,"-")</f>
        <v>14.371257485029941</v>
      </c>
      <c r="M54" s="136">
        <f>IF(ISNUMBER(E54),E54,"-")</f>
        <v>14.371257485029941</v>
      </c>
      <c r="S54" s="49" t="s">
        <v>32</v>
      </c>
      <c r="T54" s="14">
        <v>6</v>
      </c>
      <c r="U54" s="13">
        <f t="shared" si="11"/>
        <v>9.5808383233532943</v>
      </c>
      <c r="V54" s="72">
        <f t="shared" si="4"/>
        <v>0</v>
      </c>
      <c r="W54" s="13">
        <f t="shared" si="12"/>
        <v>14.371257485029941</v>
      </c>
      <c r="X54" s="72">
        <f t="shared" si="4"/>
        <v>0</v>
      </c>
      <c r="Y54" s="13">
        <f t="shared" si="13"/>
        <v>9.5808383233532943</v>
      </c>
      <c r="Z54" s="13">
        <f t="shared" si="14"/>
        <v>14.371257485029941</v>
      </c>
      <c r="AB54" s="23"/>
      <c r="AC54" s="23"/>
      <c r="AD54" s="23"/>
      <c r="AE54" s="23"/>
    </row>
    <row r="55" spans="1:31" x14ac:dyDescent="0.3">
      <c r="S55" s="49" t="s">
        <v>32</v>
      </c>
      <c r="T55" s="14">
        <v>7</v>
      </c>
      <c r="U55" s="13">
        <f t="shared" si="11"/>
        <v>9.5808383233532943</v>
      </c>
      <c r="V55" s="72">
        <f t="shared" si="4"/>
        <v>0</v>
      </c>
      <c r="W55" s="13">
        <f t="shared" si="12"/>
        <v>14.371257485029941</v>
      </c>
      <c r="X55" s="72">
        <f t="shared" si="4"/>
        <v>0</v>
      </c>
      <c r="Y55" s="13">
        <f t="shared" si="13"/>
        <v>9.5808383233532943</v>
      </c>
      <c r="Z55" s="13">
        <f t="shared" si="14"/>
        <v>14.371257485029941</v>
      </c>
      <c r="AB55" s="23"/>
      <c r="AC55" s="23"/>
      <c r="AD55" s="23"/>
      <c r="AE55" s="23"/>
    </row>
    <row r="56" spans="1:31" x14ac:dyDescent="0.3">
      <c r="S56" s="49" t="s">
        <v>32</v>
      </c>
      <c r="T56" s="14">
        <v>8</v>
      </c>
      <c r="U56" s="13">
        <f t="shared" si="11"/>
        <v>9.5808383233532943</v>
      </c>
      <c r="V56" s="72">
        <v>0</v>
      </c>
      <c r="W56" s="13">
        <f t="shared" si="12"/>
        <v>14.371257485029941</v>
      </c>
      <c r="X56" s="72">
        <v>0</v>
      </c>
      <c r="Y56" s="13">
        <f t="shared" si="13"/>
        <v>9.5808383233532943</v>
      </c>
      <c r="Z56" s="13">
        <f t="shared" si="14"/>
        <v>14.371257485029941</v>
      </c>
      <c r="AB56" s="23"/>
      <c r="AC56" s="23"/>
      <c r="AD56" s="23"/>
      <c r="AE56" s="23"/>
    </row>
    <row r="57" spans="1:31" x14ac:dyDescent="0.3">
      <c r="S57" s="49" t="s">
        <v>31</v>
      </c>
      <c r="T57" s="14">
        <v>8</v>
      </c>
      <c r="U57" s="13">
        <f t="shared" si="11"/>
        <v>9.5808383233532943</v>
      </c>
      <c r="V57" s="72">
        <f t="shared" si="4"/>
        <v>0</v>
      </c>
      <c r="W57" s="13">
        <f t="shared" si="12"/>
        <v>14.371257485029941</v>
      </c>
      <c r="X57" s="72">
        <f t="shared" si="4"/>
        <v>0</v>
      </c>
      <c r="Y57" s="13">
        <f t="shared" si="13"/>
        <v>9.5808383233532943</v>
      </c>
      <c r="Z57" s="13">
        <f t="shared" si="14"/>
        <v>14.371257485029941</v>
      </c>
      <c r="AB57" s="23"/>
      <c r="AC57" s="23"/>
      <c r="AD57" s="23"/>
      <c r="AE57" s="23"/>
    </row>
    <row r="58" spans="1:31" x14ac:dyDescent="0.3">
      <c r="S58" s="49" t="s">
        <v>31</v>
      </c>
      <c r="T58" s="14">
        <v>9</v>
      </c>
      <c r="U58" s="13">
        <f t="shared" si="11"/>
        <v>9.5808383233532943</v>
      </c>
      <c r="V58" s="72">
        <f t="shared" si="4"/>
        <v>0</v>
      </c>
      <c r="W58" s="13">
        <f t="shared" si="12"/>
        <v>14.371257485029941</v>
      </c>
      <c r="X58" s="72">
        <f t="shared" si="4"/>
        <v>0</v>
      </c>
      <c r="Y58" s="13">
        <f t="shared" si="13"/>
        <v>9.5808383233532943</v>
      </c>
      <c r="Z58" s="13">
        <f t="shared" si="14"/>
        <v>14.371257485029941</v>
      </c>
      <c r="AB58" s="23"/>
      <c r="AC58" s="23"/>
      <c r="AD58" s="23"/>
      <c r="AE58" s="23"/>
    </row>
    <row r="59" spans="1:31" x14ac:dyDescent="0.3">
      <c r="S59" s="49" t="s">
        <v>31</v>
      </c>
      <c r="T59" s="14">
        <v>10</v>
      </c>
      <c r="U59" s="13">
        <f t="shared" si="11"/>
        <v>9.5808383233532943</v>
      </c>
      <c r="V59" s="72">
        <f t="shared" si="4"/>
        <v>0</v>
      </c>
      <c r="W59" s="13">
        <f t="shared" si="12"/>
        <v>14.371257485029941</v>
      </c>
      <c r="X59" s="72">
        <f t="shared" si="4"/>
        <v>0</v>
      </c>
      <c r="Y59" s="13">
        <f t="shared" si="13"/>
        <v>9.5808383233532943</v>
      </c>
      <c r="Z59" s="13">
        <f t="shared" si="14"/>
        <v>14.371257485029941</v>
      </c>
      <c r="AB59" s="23"/>
      <c r="AC59" s="23"/>
      <c r="AD59" s="23"/>
      <c r="AE59" s="23"/>
    </row>
    <row r="60" spans="1:31" x14ac:dyDescent="0.3">
      <c r="S60" s="49" t="s">
        <v>31</v>
      </c>
      <c r="T60" s="14">
        <v>11</v>
      </c>
      <c r="U60" s="13">
        <f t="shared" si="11"/>
        <v>9.5808383233532943</v>
      </c>
      <c r="V60" s="72">
        <f t="shared" si="4"/>
        <v>0</v>
      </c>
      <c r="W60" s="13">
        <f t="shared" si="12"/>
        <v>14.371257485029941</v>
      </c>
      <c r="X60" s="72">
        <f t="shared" si="4"/>
        <v>0</v>
      </c>
      <c r="Y60" s="13">
        <f t="shared" si="13"/>
        <v>9.5808383233532943</v>
      </c>
      <c r="Z60" s="13">
        <f t="shared" si="14"/>
        <v>14.371257485029941</v>
      </c>
      <c r="AB60" s="23"/>
      <c r="AC60" s="23"/>
      <c r="AD60" s="23"/>
      <c r="AE60" s="23"/>
    </row>
    <row r="61" spans="1:31" x14ac:dyDescent="0.3">
      <c r="S61" s="49" t="s">
        <v>31</v>
      </c>
      <c r="T61" s="14">
        <v>12</v>
      </c>
      <c r="U61" s="13">
        <f t="shared" si="11"/>
        <v>9.5808383233532943</v>
      </c>
      <c r="V61" s="72">
        <f t="shared" si="4"/>
        <v>0</v>
      </c>
      <c r="W61" s="13">
        <f t="shared" si="12"/>
        <v>14.371257485029941</v>
      </c>
      <c r="X61" s="72">
        <f t="shared" si="4"/>
        <v>0</v>
      </c>
      <c r="Y61" s="13">
        <f t="shared" si="13"/>
        <v>9.5808383233532943</v>
      </c>
      <c r="Z61" s="13">
        <f t="shared" si="14"/>
        <v>14.371257485029941</v>
      </c>
      <c r="AB61" s="23"/>
      <c r="AC61" s="23"/>
      <c r="AD61" s="23"/>
      <c r="AE61" s="23"/>
    </row>
    <row r="62" spans="1:31" x14ac:dyDescent="0.3">
      <c r="S62" s="49" t="s">
        <v>31</v>
      </c>
      <c r="T62" s="14">
        <v>13</v>
      </c>
      <c r="U62" s="13">
        <f t="shared" si="11"/>
        <v>9.5808383233532943</v>
      </c>
      <c r="V62" s="72">
        <f t="shared" si="4"/>
        <v>0</v>
      </c>
      <c r="W62" s="13">
        <f t="shared" si="12"/>
        <v>14.371257485029941</v>
      </c>
      <c r="X62" s="72">
        <f t="shared" si="4"/>
        <v>0</v>
      </c>
      <c r="Y62" s="13">
        <f t="shared" si="13"/>
        <v>9.5808383233532943</v>
      </c>
      <c r="Z62" s="13">
        <f t="shared" si="14"/>
        <v>14.371257485029941</v>
      </c>
      <c r="AB62" s="23"/>
      <c r="AC62" s="23"/>
      <c r="AD62" s="23"/>
      <c r="AE62" s="23"/>
    </row>
    <row r="63" spans="1:31" ht="15" thickBot="1" x14ac:dyDescent="0.35">
      <c r="S63" s="49" t="s">
        <v>31</v>
      </c>
      <c r="T63" s="14">
        <v>14</v>
      </c>
      <c r="U63" s="13">
        <f t="shared" si="11"/>
        <v>9.5808383233532943</v>
      </c>
      <c r="V63" s="72">
        <v>0</v>
      </c>
      <c r="W63" s="13">
        <f t="shared" si="12"/>
        <v>14.371257485029941</v>
      </c>
      <c r="X63" s="72">
        <v>0</v>
      </c>
      <c r="Y63" s="13">
        <f t="shared" si="13"/>
        <v>9.5808383233532943</v>
      </c>
      <c r="Z63" s="13">
        <f t="shared" si="14"/>
        <v>14.371257485029941</v>
      </c>
      <c r="AB63" s="23"/>
      <c r="AC63" s="23"/>
      <c r="AD63" s="23"/>
      <c r="AE63" s="23"/>
    </row>
    <row r="64" spans="1:31" ht="15" thickBot="1" x14ac:dyDescent="0.35">
      <c r="A64" s="22"/>
      <c r="B64" s="29" t="s">
        <v>41</v>
      </c>
      <c r="C64" s="30"/>
      <c r="D64" s="29" t="s">
        <v>40</v>
      </c>
      <c r="E64" s="30"/>
      <c r="F64" s="29" t="s">
        <v>39</v>
      </c>
      <c r="G64" s="30"/>
      <c r="AC64" s="23"/>
    </row>
    <row r="65" spans="1:7" ht="100.8" x14ac:dyDescent="0.3">
      <c r="A65" s="22"/>
      <c r="B65" s="31" t="s">
        <v>53</v>
      </c>
      <c r="C65" s="26" t="s">
        <v>54</v>
      </c>
      <c r="D65" s="26" t="s">
        <v>53</v>
      </c>
      <c r="E65" s="26" t="s">
        <v>54</v>
      </c>
      <c r="F65" s="26" t="s">
        <v>53</v>
      </c>
      <c r="G65" s="26" t="s">
        <v>54</v>
      </c>
    </row>
    <row r="66" spans="1:7" x14ac:dyDescent="0.3">
      <c r="B66" s="32"/>
      <c r="C66" s="27"/>
      <c r="D66" s="27"/>
      <c r="E66" s="27"/>
      <c r="F66" s="27"/>
      <c r="G66" s="27"/>
    </row>
    <row r="67" spans="1:7" ht="15" thickBot="1" x14ac:dyDescent="0.35">
      <c r="B67" s="33"/>
      <c r="C67" s="28"/>
      <c r="D67" s="28"/>
      <c r="E67" s="28"/>
      <c r="F67" s="28"/>
      <c r="G67" s="28"/>
    </row>
    <row r="68" spans="1:7" x14ac:dyDescent="0.3">
      <c r="A68" s="49" t="s">
        <v>38</v>
      </c>
      <c r="B68" s="21">
        <f>L19</f>
        <v>9</v>
      </c>
      <c r="C68" s="20">
        <f>M19</f>
        <v>6</v>
      </c>
      <c r="D68" s="21">
        <f>L33</f>
        <v>8.5786912904686545</v>
      </c>
      <c r="E68" s="20">
        <f>M33</f>
        <v>6.2527852257188075</v>
      </c>
      <c r="F68" s="21">
        <f>L47</f>
        <v>8.5786912904686545</v>
      </c>
      <c r="G68" s="20">
        <f>M47</f>
        <v>6.2527852257188075</v>
      </c>
    </row>
    <row r="69" spans="1:7" x14ac:dyDescent="0.3">
      <c r="A69" s="49" t="s">
        <v>37</v>
      </c>
      <c r="B69" s="19">
        <f t="shared" ref="B69:B75" si="15">L20</f>
        <v>9</v>
      </c>
      <c r="C69" s="18">
        <f t="shared" ref="C69:C75" si="16">M20</f>
        <v>6</v>
      </c>
      <c r="D69" s="19">
        <f t="shared" ref="D69:D75" si="17">L34</f>
        <v>8.5786912904686545</v>
      </c>
      <c r="E69" s="18">
        <f t="shared" ref="E69:E75" si="18">M34</f>
        <v>6.2527852257188075</v>
      </c>
      <c r="F69" s="19">
        <f t="shared" ref="F69:F75" si="19">L48</f>
        <v>8.5786912904686545</v>
      </c>
      <c r="G69" s="18">
        <f t="shared" ref="G69:G75" si="20">M48</f>
        <v>6.2527852257188075</v>
      </c>
    </row>
    <row r="70" spans="1:7" x14ac:dyDescent="0.3">
      <c r="A70" s="49" t="s">
        <v>36</v>
      </c>
      <c r="B70" s="19" t="str">
        <f t="shared" si="15"/>
        <v>-</v>
      </c>
      <c r="C70" s="18" t="str">
        <f t="shared" si="16"/>
        <v>-</v>
      </c>
      <c r="D70" s="19" t="str">
        <f t="shared" si="17"/>
        <v>-</v>
      </c>
      <c r="E70" s="18" t="str">
        <f t="shared" si="18"/>
        <v>-</v>
      </c>
      <c r="F70" s="19" t="str">
        <f t="shared" si="19"/>
        <v>-</v>
      </c>
      <c r="G70" s="18" t="str">
        <f t="shared" si="20"/>
        <v>-</v>
      </c>
    </row>
    <row r="71" spans="1:7" x14ac:dyDescent="0.3">
      <c r="A71" s="49" t="s">
        <v>35</v>
      </c>
      <c r="B71" s="19" t="str">
        <f t="shared" si="15"/>
        <v>-</v>
      </c>
      <c r="C71" s="18" t="str">
        <f t="shared" si="16"/>
        <v>-</v>
      </c>
      <c r="D71" s="19" t="str">
        <f t="shared" si="17"/>
        <v>-</v>
      </c>
      <c r="E71" s="18" t="str">
        <f t="shared" si="18"/>
        <v>-</v>
      </c>
      <c r="F71" s="19" t="str">
        <f t="shared" si="19"/>
        <v>-</v>
      </c>
      <c r="G71" s="18" t="str">
        <f t="shared" si="20"/>
        <v>-</v>
      </c>
    </row>
    <row r="72" spans="1:7" x14ac:dyDescent="0.3">
      <c r="A72" s="49" t="s">
        <v>34</v>
      </c>
      <c r="B72" s="19" t="str">
        <f t="shared" si="15"/>
        <v>-</v>
      </c>
      <c r="C72" s="18" t="str">
        <f t="shared" si="16"/>
        <v>-</v>
      </c>
      <c r="D72" s="19" t="str">
        <f t="shared" si="17"/>
        <v>-</v>
      </c>
      <c r="E72" s="18" t="str">
        <f t="shared" si="18"/>
        <v>-</v>
      </c>
      <c r="F72" s="19" t="str">
        <f t="shared" si="19"/>
        <v>-</v>
      </c>
      <c r="G72" s="18" t="str">
        <f t="shared" si="20"/>
        <v>-</v>
      </c>
    </row>
    <row r="73" spans="1:7" x14ac:dyDescent="0.3">
      <c r="A73" s="49" t="s">
        <v>33</v>
      </c>
      <c r="B73" s="19" t="str">
        <f t="shared" si="15"/>
        <v>-</v>
      </c>
      <c r="C73" s="18" t="str">
        <f t="shared" si="16"/>
        <v>-</v>
      </c>
      <c r="D73" s="19" t="str">
        <f t="shared" si="17"/>
        <v>-</v>
      </c>
      <c r="E73" s="18" t="str">
        <f t="shared" si="18"/>
        <v>-</v>
      </c>
      <c r="F73" s="19" t="str">
        <f t="shared" si="19"/>
        <v>-</v>
      </c>
      <c r="G73" s="18" t="str">
        <f t="shared" si="20"/>
        <v>-</v>
      </c>
    </row>
    <row r="74" spans="1:7" x14ac:dyDescent="0.3">
      <c r="A74" s="49" t="s">
        <v>32</v>
      </c>
      <c r="B74" s="19">
        <f t="shared" si="15"/>
        <v>14.371257485029941</v>
      </c>
      <c r="C74" s="18">
        <f t="shared" si="16"/>
        <v>14.371257485029941</v>
      </c>
      <c r="D74" s="19">
        <f t="shared" si="17"/>
        <v>14.371257485029941</v>
      </c>
      <c r="E74" s="18">
        <f t="shared" si="18"/>
        <v>14.371257485029941</v>
      </c>
      <c r="F74" s="19">
        <f t="shared" si="19"/>
        <v>14.371257485029941</v>
      </c>
      <c r="G74" s="18">
        <f t="shared" si="20"/>
        <v>14.371257485029941</v>
      </c>
    </row>
    <row r="75" spans="1:7" ht="15" thickBot="1" x14ac:dyDescent="0.35">
      <c r="A75" s="49" t="s">
        <v>31</v>
      </c>
      <c r="B75" s="17">
        <f t="shared" si="15"/>
        <v>14.371257485029941</v>
      </c>
      <c r="C75" s="16">
        <f t="shared" si="16"/>
        <v>14.371257485029941</v>
      </c>
      <c r="D75" s="17">
        <f t="shared" si="17"/>
        <v>14.371257485029941</v>
      </c>
      <c r="E75" s="16">
        <f t="shared" si="18"/>
        <v>14.371257485029941</v>
      </c>
      <c r="F75" s="17">
        <f t="shared" si="19"/>
        <v>14.371257485029941</v>
      </c>
      <c r="G75" s="16">
        <f t="shared" si="20"/>
        <v>14.371257485029941</v>
      </c>
    </row>
  </sheetData>
  <mergeCells count="12">
    <mergeCell ref="C14:D14"/>
    <mergeCell ref="E14:F14"/>
    <mergeCell ref="C28:D28"/>
    <mergeCell ref="E28:F28"/>
    <mergeCell ref="C42:D42"/>
    <mergeCell ref="E42:F42"/>
    <mergeCell ref="Z2:Z4"/>
    <mergeCell ref="N1:N3"/>
    <mergeCell ref="P1:P3"/>
    <mergeCell ref="U2:U4"/>
    <mergeCell ref="W2:W4"/>
    <mergeCell ref="Y2:Y4"/>
  </mergeCells>
  <pageMargins left="0.7" right="0.7" top="0.75" bottom="0.75" header="0.3" footer="0.3"/>
  <pageSetup scale="54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AD42B-7F52-45C4-852E-7EB9C5F375FA}">
  <sheetPr codeName="Sheet10">
    <tabColor rgb="FFFF0000"/>
  </sheetPr>
  <dimension ref="A1:BI136"/>
  <sheetViews>
    <sheetView view="pageBreakPreview" topLeftCell="A55" zoomScale="40" zoomScaleNormal="85" zoomScaleSheetLayoutView="40" workbookViewId="0">
      <selection activeCell="L16" sqref="L16:R23"/>
    </sheetView>
  </sheetViews>
  <sheetFormatPr defaultRowHeight="14.4" x14ac:dyDescent="0.3"/>
  <cols>
    <col min="1" max="1" width="13.77734375" customWidth="1"/>
    <col min="2" max="2" width="12.77734375" customWidth="1"/>
    <col min="3" max="3" width="12.77734375" style="36" customWidth="1"/>
    <col min="4" max="4" width="12.77734375" style="9" customWidth="1"/>
    <col min="5" max="9" width="12.77734375" customWidth="1"/>
    <col min="11" max="19" width="12.77734375" customWidth="1"/>
    <col min="21" max="21" width="19" bestFit="1" customWidth="1"/>
    <col min="22" max="22" width="12.6640625" bestFit="1" customWidth="1"/>
    <col min="23" max="24" width="6.44140625" bestFit="1" customWidth="1"/>
    <col min="25" max="25" width="5" bestFit="1" customWidth="1"/>
    <col min="26" max="26" width="6.88671875" bestFit="1" customWidth="1"/>
    <col min="27" max="27" width="7.21875" bestFit="1" customWidth="1"/>
    <col min="28" max="28" width="6.88671875" bestFit="1" customWidth="1"/>
    <col min="29" max="29" width="7.21875" bestFit="1" customWidth="1"/>
    <col min="30" max="30" width="10.44140625" bestFit="1" customWidth="1"/>
    <col min="31" max="31" width="6.109375" bestFit="1" customWidth="1"/>
    <col min="32" max="32" width="6.77734375" bestFit="1" customWidth="1"/>
    <col min="33" max="33" width="6.5546875" customWidth="1"/>
    <col min="34" max="34" width="6" bestFit="1" customWidth="1"/>
    <col min="35" max="35" width="6.33203125" bestFit="1" customWidth="1"/>
    <col min="36" max="36" width="13.88671875" bestFit="1" customWidth="1"/>
    <col min="37" max="37" width="10.21875" bestFit="1" customWidth="1"/>
    <col min="38" max="38" width="11.5546875" bestFit="1" customWidth="1"/>
  </cols>
  <sheetData>
    <row r="1" spans="1:49" x14ac:dyDescent="0.3">
      <c r="A1" s="97"/>
      <c r="B1" s="97"/>
      <c r="C1" s="98"/>
      <c r="D1" s="66"/>
      <c r="E1" s="97"/>
      <c r="F1" s="97"/>
      <c r="G1" s="97"/>
      <c r="H1" s="97"/>
      <c r="I1" s="97"/>
    </row>
    <row r="2" spans="1:49" x14ac:dyDescent="0.3">
      <c r="A2" s="97"/>
      <c r="B2" s="97"/>
      <c r="C2" s="98"/>
      <c r="D2" s="66"/>
      <c r="E2" s="97"/>
      <c r="F2" s="97"/>
      <c r="G2" s="97"/>
      <c r="H2" s="97"/>
      <c r="I2" s="97"/>
      <c r="M2" s="37" t="s">
        <v>50</v>
      </c>
      <c r="N2">
        <v>4</v>
      </c>
    </row>
    <row r="3" spans="1:49" x14ac:dyDescent="0.3">
      <c r="A3" s="97"/>
      <c r="B3" s="97"/>
      <c r="C3" s="98"/>
      <c r="D3" s="66"/>
      <c r="E3" s="97"/>
      <c r="F3" s="97"/>
      <c r="G3" s="97"/>
      <c r="H3" s="97"/>
      <c r="I3" s="97"/>
      <c r="M3" s="37" t="s">
        <v>51</v>
      </c>
      <c r="N3">
        <v>4</v>
      </c>
    </row>
    <row r="4" spans="1:49" x14ac:dyDescent="0.3">
      <c r="A4" s="97"/>
      <c r="B4" s="97"/>
      <c r="C4" s="98"/>
      <c r="D4" s="66"/>
      <c r="E4" s="97"/>
      <c r="F4" s="97"/>
      <c r="G4" s="97"/>
      <c r="H4" s="97"/>
      <c r="I4" s="97"/>
      <c r="M4" s="37" t="s">
        <v>52</v>
      </c>
      <c r="N4">
        <v>24253.9612307965</v>
      </c>
    </row>
    <row r="5" spans="1:49" x14ac:dyDescent="0.3">
      <c r="A5" s="97"/>
      <c r="B5" s="97"/>
      <c r="C5" s="98"/>
      <c r="D5" s="66"/>
      <c r="E5" s="97"/>
      <c r="F5" s="97"/>
      <c r="G5" s="97"/>
      <c r="H5" s="97"/>
      <c r="I5" s="97"/>
      <c r="M5" s="37" t="s">
        <v>184</v>
      </c>
      <c r="N5">
        <v>-1.1159114601389799</v>
      </c>
    </row>
    <row r="6" spans="1:49" ht="15" thickBot="1" x14ac:dyDescent="0.35">
      <c r="A6" s="101"/>
      <c r="B6" s="101"/>
      <c r="C6" s="102"/>
      <c r="D6" s="103"/>
      <c r="E6" s="101"/>
      <c r="F6" s="101"/>
      <c r="G6" s="101"/>
      <c r="H6" s="101"/>
      <c r="I6" s="101"/>
      <c r="M6" s="37" t="s">
        <v>185</v>
      </c>
      <c r="N6">
        <v>-1.81997622813814</v>
      </c>
    </row>
    <row r="7" spans="1:49" x14ac:dyDescent="0.3">
      <c r="A7" s="96"/>
      <c r="B7" s="97"/>
      <c r="C7" s="98"/>
      <c r="D7" s="66"/>
      <c r="E7" s="97"/>
      <c r="F7" s="97"/>
      <c r="G7" s="97"/>
      <c r="H7" s="97"/>
      <c r="I7" s="99"/>
      <c r="M7" s="37" t="s">
        <v>186</v>
      </c>
      <c r="N7">
        <v>-16.157378651076598</v>
      </c>
    </row>
    <row r="8" spans="1:49" x14ac:dyDescent="0.3">
      <c r="A8" s="96"/>
      <c r="B8" s="97"/>
      <c r="C8" s="98"/>
      <c r="D8" s="66"/>
      <c r="E8" s="97"/>
      <c r="F8" s="97"/>
      <c r="G8" s="97"/>
      <c r="H8" s="97"/>
      <c r="I8" s="99"/>
      <c r="M8" s="37" t="s">
        <v>187</v>
      </c>
      <c r="N8">
        <v>22.4817371614071</v>
      </c>
    </row>
    <row r="9" spans="1:49" x14ac:dyDescent="0.3">
      <c r="A9" s="96"/>
      <c r="B9" s="97"/>
      <c r="C9" s="98"/>
      <c r="D9" s="66"/>
      <c r="E9" s="97"/>
      <c r="F9" s="97"/>
      <c r="G9" s="97"/>
      <c r="H9" s="97"/>
      <c r="I9" s="99"/>
      <c r="M9" s="37" t="s">
        <v>188</v>
      </c>
      <c r="N9">
        <v>36.664486653026401</v>
      </c>
    </row>
    <row r="10" spans="1:49" x14ac:dyDescent="0.3">
      <c r="A10" s="96"/>
      <c r="B10" s="97"/>
      <c r="C10" s="98"/>
      <c r="D10" s="66"/>
      <c r="E10" s="97"/>
      <c r="F10" s="97"/>
      <c r="G10" s="97"/>
      <c r="H10" s="97"/>
      <c r="I10" s="99"/>
      <c r="M10" s="37" t="s">
        <v>189</v>
      </c>
      <c r="N10">
        <v>-59.390533240251699</v>
      </c>
    </row>
    <row r="11" spans="1:49" ht="15" thickBot="1" x14ac:dyDescent="0.35">
      <c r="A11" s="96"/>
      <c r="B11" s="97"/>
      <c r="C11" s="98"/>
      <c r="D11" s="66"/>
      <c r="E11" s="97"/>
      <c r="F11" s="97"/>
      <c r="G11" s="97"/>
      <c r="H11" s="97"/>
      <c r="I11" s="99"/>
      <c r="L11" s="36" t="s">
        <v>55</v>
      </c>
      <c r="M11">
        <f>N8</f>
        <v>22.4817371614071</v>
      </c>
      <c r="N11">
        <f>N5</f>
        <v>-1.1159114601389799</v>
      </c>
      <c r="O11">
        <f>N9</f>
        <v>36.664486653026401</v>
      </c>
      <c r="P11">
        <f>N6</f>
        <v>-1.81997622813814</v>
      </c>
      <c r="Q11">
        <f>N10</f>
        <v>-59.390533240251699</v>
      </c>
      <c r="R11">
        <f>N7</f>
        <v>-16.157378651076598</v>
      </c>
    </row>
    <row r="12" spans="1:49" ht="15" thickBot="1" x14ac:dyDescent="0.35">
      <c r="A12" s="96"/>
      <c r="B12" s="97"/>
      <c r="C12" s="98"/>
      <c r="D12" s="66"/>
      <c r="E12" s="97"/>
      <c r="F12" s="97"/>
      <c r="G12" s="97"/>
      <c r="H12" s="97"/>
      <c r="I12" s="99"/>
      <c r="L12" s="22"/>
      <c r="M12" s="173" t="s">
        <v>41</v>
      </c>
      <c r="N12" s="174"/>
      <c r="O12" s="173" t="s">
        <v>40</v>
      </c>
      <c r="P12" s="174"/>
      <c r="Q12" s="173" t="s">
        <v>39</v>
      </c>
      <c r="R12" s="174"/>
    </row>
    <row r="13" spans="1:49" ht="12" customHeight="1" x14ac:dyDescent="0.3">
      <c r="A13" s="96"/>
      <c r="B13" s="97"/>
      <c r="C13" s="98"/>
      <c r="D13" s="66"/>
      <c r="E13" s="97"/>
      <c r="F13" s="97"/>
      <c r="G13" s="97"/>
      <c r="H13" s="97"/>
      <c r="I13" s="99"/>
      <c r="L13" s="22"/>
      <c r="M13" s="175" t="s">
        <v>53</v>
      </c>
      <c r="N13" s="175" t="s">
        <v>54</v>
      </c>
      <c r="O13" s="175" t="s">
        <v>53</v>
      </c>
      <c r="P13" s="175" t="s">
        <v>54</v>
      </c>
      <c r="Q13" s="175" t="s">
        <v>53</v>
      </c>
      <c r="R13" s="175" t="s">
        <v>54</v>
      </c>
    </row>
    <row r="14" spans="1:49" x14ac:dyDescent="0.3">
      <c r="A14" s="96"/>
      <c r="B14" s="97"/>
      <c r="C14" s="98"/>
      <c r="D14" s="66"/>
      <c r="E14" s="97"/>
      <c r="F14" s="97"/>
      <c r="G14" s="97"/>
      <c r="H14" s="97"/>
      <c r="I14" s="99"/>
      <c r="L14" s="9"/>
      <c r="M14" s="176"/>
      <c r="N14" s="176"/>
      <c r="O14" s="176"/>
      <c r="P14" s="176"/>
      <c r="Q14" s="176"/>
      <c r="R14" s="176"/>
    </row>
    <row r="15" spans="1:49" ht="15" thickBot="1" x14ac:dyDescent="0.35">
      <c r="A15" s="96"/>
      <c r="B15" s="97"/>
      <c r="C15" s="98"/>
      <c r="D15" s="66"/>
      <c r="E15" s="97"/>
      <c r="F15" s="97"/>
      <c r="G15" s="97"/>
      <c r="H15" s="97"/>
      <c r="I15" s="99"/>
      <c r="L15" s="9"/>
      <c r="M15" s="177"/>
      <c r="N15" s="177"/>
      <c r="O15" s="177"/>
      <c r="P15" s="177"/>
      <c r="Q15" s="177"/>
      <c r="R15" s="177"/>
      <c r="U15" s="9" t="s">
        <v>30</v>
      </c>
      <c r="V15" s="9" t="s">
        <v>65</v>
      </c>
      <c r="W15" s="9" t="s">
        <v>58</v>
      </c>
      <c r="X15" s="9" t="s">
        <v>64</v>
      </c>
      <c r="Y15" s="9" t="s">
        <v>73</v>
      </c>
      <c r="Z15" s="9" t="s">
        <v>59</v>
      </c>
      <c r="AA15" s="9" t="s">
        <v>67</v>
      </c>
      <c r="AB15" s="9" t="s">
        <v>84</v>
      </c>
      <c r="AC15" s="9" t="s">
        <v>85</v>
      </c>
      <c r="AD15" s="9" t="s">
        <v>62</v>
      </c>
      <c r="AE15" s="9" t="s">
        <v>63</v>
      </c>
      <c r="AF15" s="9" t="s">
        <v>23</v>
      </c>
      <c r="AG15" s="9" t="s">
        <v>122</v>
      </c>
      <c r="AH15" s="9" t="s">
        <v>123</v>
      </c>
      <c r="AI15" s="9" t="s">
        <v>29</v>
      </c>
      <c r="AJ15" s="9" t="s">
        <v>56</v>
      </c>
      <c r="AK15" s="9" t="s">
        <v>57</v>
      </c>
      <c r="AL15" s="9" t="s">
        <v>66</v>
      </c>
      <c r="AM15" t="s">
        <v>113</v>
      </c>
      <c r="AN15" t="s">
        <v>114</v>
      </c>
      <c r="AO15" t="s">
        <v>118</v>
      </c>
      <c r="AP15" t="s">
        <v>119</v>
      </c>
      <c r="AQ15" t="s">
        <v>120</v>
      </c>
      <c r="AR15" t="s">
        <v>121</v>
      </c>
    </row>
    <row r="16" spans="1:49" x14ac:dyDescent="0.3">
      <c r="A16" s="96"/>
      <c r="B16" s="97"/>
      <c r="C16" s="98"/>
      <c r="D16" s="66"/>
      <c r="E16" s="97"/>
      <c r="F16" s="97"/>
      <c r="G16" s="97"/>
      <c r="H16" s="97"/>
      <c r="I16" s="99"/>
      <c r="L16" s="36" t="s">
        <v>38</v>
      </c>
      <c r="M16" s="21">
        <v>9</v>
      </c>
      <c r="N16" s="20">
        <v>6</v>
      </c>
      <c r="O16" s="21">
        <v>8.5786912904686545</v>
      </c>
      <c r="P16" s="20">
        <v>6.2527852257188075</v>
      </c>
      <c r="Q16" s="21">
        <v>8.5786912904686545</v>
      </c>
      <c r="R16" s="20">
        <v>6.2527852257188075</v>
      </c>
      <c r="U16" s="9">
        <v>1</v>
      </c>
      <c r="V16" s="9">
        <v>2</v>
      </c>
      <c r="W16" s="9">
        <v>3</v>
      </c>
      <c r="X16" s="9">
        <v>4</v>
      </c>
      <c r="Y16" s="9">
        <v>5</v>
      </c>
      <c r="Z16" s="9">
        <v>6</v>
      </c>
      <c r="AA16" s="9">
        <v>7</v>
      </c>
      <c r="AB16" s="9">
        <v>8</v>
      </c>
      <c r="AC16" s="9">
        <v>9</v>
      </c>
      <c r="AD16" s="9">
        <v>10</v>
      </c>
      <c r="AE16" s="9">
        <v>11</v>
      </c>
      <c r="AF16" s="9">
        <v>12</v>
      </c>
      <c r="AG16" s="9">
        <v>13</v>
      </c>
      <c r="AH16" s="9">
        <v>14</v>
      </c>
      <c r="AI16" s="9">
        <v>15</v>
      </c>
      <c r="AJ16" s="9">
        <v>16</v>
      </c>
      <c r="AK16" s="9">
        <v>17</v>
      </c>
      <c r="AL16" s="9">
        <v>18</v>
      </c>
      <c r="AM16" s="49">
        <v>19</v>
      </c>
      <c r="AN16" s="49">
        <v>20</v>
      </c>
      <c r="AO16" s="49">
        <v>21</v>
      </c>
      <c r="AP16" s="49">
        <v>22</v>
      </c>
      <c r="AQ16" s="49">
        <v>23</v>
      </c>
      <c r="AR16" s="49">
        <v>24</v>
      </c>
      <c r="AS16" s="49"/>
      <c r="AT16" s="49"/>
      <c r="AU16" s="49"/>
      <c r="AV16" s="49"/>
      <c r="AW16" s="49"/>
    </row>
    <row r="17" spans="1:61" x14ac:dyDescent="0.3">
      <c r="A17" s="96"/>
      <c r="B17" s="97"/>
      <c r="C17" s="98"/>
      <c r="D17" s="66"/>
      <c r="E17" s="97"/>
      <c r="F17" s="97"/>
      <c r="G17" s="97"/>
      <c r="H17" s="97"/>
      <c r="I17" s="99"/>
      <c r="L17" s="36" t="s">
        <v>37</v>
      </c>
      <c r="M17" s="19">
        <v>9</v>
      </c>
      <c r="N17" s="18">
        <v>6</v>
      </c>
      <c r="O17" s="19">
        <v>8.5786912904686545</v>
      </c>
      <c r="P17" s="18">
        <v>6.2527852257188075</v>
      </c>
      <c r="Q17" s="19">
        <v>8.5786912904686545</v>
      </c>
      <c r="R17" s="18">
        <v>6.2527852257188075</v>
      </c>
      <c r="U17" s="9">
        <f>N2</f>
        <v>4</v>
      </c>
      <c r="V17" s="9" t="str">
        <f>VLOOKUP($U17,'Girder Bracing Data'!$A$2:$X$173,Design!V16,FALSE)</f>
        <v>E</v>
      </c>
      <c r="W17" s="49">
        <f>VLOOKUP($U17,'Girder Bracing Data'!$A$2:$X$173,Design!W16,FALSE)</f>
        <v>54</v>
      </c>
      <c r="X17" s="49">
        <f>VLOOKUP($U17,'Girder Bracing Data'!$A$2:$X$173,Design!X16,FALSE)</f>
        <v>54</v>
      </c>
      <c r="Y17" s="49">
        <f>VLOOKUP($U17,'Girder Bracing Data'!$A$2:$X$173,Design!Y16,FALSE)</f>
        <v>9</v>
      </c>
      <c r="Z17" s="49">
        <f>VLOOKUP($U17,'Girder Bracing Data'!$A$2:$X$173,Design!Z16,FALSE)</f>
        <v>12.96</v>
      </c>
      <c r="AA17" s="49">
        <f>VLOOKUP($U17,'Girder Bracing Data'!$A$2:$X$173,Design!AA16,FALSE)</f>
        <v>25.56</v>
      </c>
      <c r="AB17" s="49">
        <f>VLOOKUP($U17,'Girder Bracing Data'!$A$2:$X$173,Design!AB16,FALSE)</f>
        <v>12.96</v>
      </c>
      <c r="AC17" s="49">
        <f>VLOOKUP($U17,'Girder Bracing Data'!$A$2:$X$173,Design!AC16,FALSE)</f>
        <v>25.56</v>
      </c>
      <c r="AD17" s="49">
        <f>VLOOKUP($U17,'Girder Bracing Data'!$A$2:$X$173,Design!AD16,FALSE)</f>
        <v>85.8</v>
      </c>
      <c r="AE17" s="49">
        <f>VLOOKUP($U17,'Girder Bracing Data'!$A$2:$X$173,Design!AE16,FALSE)</f>
        <v>18.899999999999999</v>
      </c>
      <c r="AF17" s="49">
        <f>VLOOKUP($U17,'Girder Bracing Data'!$A$2:$X$173,Design!AF16,FALSE)</f>
        <v>29000</v>
      </c>
      <c r="AG17" s="49">
        <f>VLOOKUP($U17,'Girder Bracing Data'!$A$2:$X$173,Design!AG16,FALSE)</f>
        <v>1.4630000000000001</v>
      </c>
      <c r="AH17" s="49">
        <f>VLOOKUP($U17,'Girder Bracing Data'!$A$2:$X$173,Design!AH16,FALSE)</f>
        <v>2.7549999999999999</v>
      </c>
      <c r="AI17" s="49">
        <f>VLOOKUP($U17,'Girder Bracing Data'!$A$2:$X$173,Design!AI16,FALSE)</f>
        <v>0</v>
      </c>
      <c r="AJ17" s="49">
        <f>VLOOKUP($U17,'Girder Bracing Data'!$A$2:$X$173,Design!AJ16,FALSE)</f>
        <v>3</v>
      </c>
      <c r="AK17" s="49">
        <f>VLOOKUP($U17,'Girder Bracing Data'!$A$2:$X$173,Design!AK16,FALSE)</f>
        <v>5</v>
      </c>
      <c r="AL17" s="49" t="str">
        <f>VLOOKUP($U17,'Girder Bracing Data'!$A$2:$X$173,Design!AL16,FALSE)</f>
        <v>MB 8'-14'</v>
      </c>
      <c r="AM17" s="49">
        <f>VLOOKUP($U17,'Girder Bracing Data'!$A$2:$X$173,Design!AM16,FALSE)</f>
        <v>131</v>
      </c>
      <c r="AN17" s="49" t="str">
        <f>VLOOKUP($U17,'Girder Bracing Data'!$A$2:$X$173,Design!AN16,FALSE)</f>
        <v>Mid-Span Bracing</v>
      </c>
      <c r="AO17" s="49">
        <f>VLOOKUP($U17,'Girder Bracing Data'!$A$2:$X$173,Design!AO16,FALSE)</f>
        <v>1.4</v>
      </c>
      <c r="AP17" s="49">
        <f>VLOOKUP($U17,'Girder Bracing Data'!$A$2:$X$173,Design!AP16,FALSE)</f>
        <v>75</v>
      </c>
      <c r="AQ17" s="49">
        <f>VLOOKUP($U17,'Girder Bracing Data'!$A$2:$X$173,Design!AQ16,FALSE)</f>
        <v>37.5</v>
      </c>
      <c r="AR17" s="49">
        <f>VLOOKUP($U17,'Girder Bracing Data'!$A$2:$X$173,Design!AR16,FALSE)</f>
        <v>971.4375</v>
      </c>
      <c r="AS17" s="49"/>
      <c r="AT17" s="49"/>
      <c r="AU17" s="49"/>
      <c r="AV17" s="49"/>
      <c r="AW17" s="49"/>
      <c r="AX17" s="49"/>
      <c r="AY17" s="49"/>
      <c r="AZ17" s="49"/>
      <c r="BA17" s="49"/>
      <c r="BB17" s="49"/>
      <c r="BC17" s="49"/>
      <c r="BD17" s="49"/>
      <c r="BE17" s="49"/>
      <c r="BF17" s="49"/>
      <c r="BG17" s="49"/>
      <c r="BH17" s="49"/>
      <c r="BI17" s="49"/>
    </row>
    <row r="18" spans="1:61" x14ac:dyDescent="0.3">
      <c r="A18" s="96"/>
      <c r="B18" s="97"/>
      <c r="C18" s="98"/>
      <c r="D18" s="66"/>
      <c r="E18" s="97"/>
      <c r="F18" s="97"/>
      <c r="G18" s="97"/>
      <c r="H18" s="97"/>
      <c r="I18" s="99"/>
      <c r="L18" s="36" t="s">
        <v>36</v>
      </c>
      <c r="M18" s="19" t="s">
        <v>81</v>
      </c>
      <c r="N18" s="18" t="s">
        <v>81</v>
      </c>
      <c r="O18" s="19" t="s">
        <v>81</v>
      </c>
      <c r="P18" s="18" t="s">
        <v>81</v>
      </c>
      <c r="Q18" s="19" t="s">
        <v>81</v>
      </c>
      <c r="R18" s="18" t="s">
        <v>81</v>
      </c>
    </row>
    <row r="19" spans="1:61" x14ac:dyDescent="0.3">
      <c r="A19" s="96"/>
      <c r="B19" s="97"/>
      <c r="C19" s="98"/>
      <c r="D19" s="66"/>
      <c r="E19" s="97"/>
      <c r="F19" s="97"/>
      <c r="G19" s="97"/>
      <c r="H19" s="97"/>
      <c r="I19" s="99"/>
      <c r="L19" s="36" t="s">
        <v>35</v>
      </c>
      <c r="M19" s="19" t="s">
        <v>81</v>
      </c>
      <c r="N19" s="18" t="s">
        <v>81</v>
      </c>
      <c r="O19" s="19" t="s">
        <v>81</v>
      </c>
      <c r="P19" s="18" t="s">
        <v>81</v>
      </c>
      <c r="Q19" s="19" t="s">
        <v>81</v>
      </c>
      <c r="R19" s="18" t="s">
        <v>81</v>
      </c>
    </row>
    <row r="20" spans="1:61" x14ac:dyDescent="0.3">
      <c r="A20" s="96"/>
      <c r="B20" s="97"/>
      <c r="C20" s="98"/>
      <c r="D20" s="66"/>
      <c r="E20" s="97"/>
      <c r="F20" s="97"/>
      <c r="G20" s="97"/>
      <c r="H20" s="97"/>
      <c r="I20" s="99"/>
      <c r="L20" s="36" t="s">
        <v>34</v>
      </c>
      <c r="M20" s="19" t="s">
        <v>81</v>
      </c>
      <c r="N20" s="18" t="s">
        <v>81</v>
      </c>
      <c r="O20" s="19" t="s">
        <v>81</v>
      </c>
      <c r="P20" s="18" t="s">
        <v>81</v>
      </c>
      <c r="Q20" s="19" t="s">
        <v>81</v>
      </c>
      <c r="R20" s="18" t="s">
        <v>81</v>
      </c>
    </row>
    <row r="21" spans="1:61" x14ac:dyDescent="0.3">
      <c r="A21" s="96"/>
      <c r="B21" s="97"/>
      <c r="C21" s="98"/>
      <c r="D21" s="66"/>
      <c r="E21" s="97"/>
      <c r="F21" s="97"/>
      <c r="G21" s="97"/>
      <c r="H21" s="97"/>
      <c r="I21" s="99"/>
      <c r="L21" s="36" t="s">
        <v>33</v>
      </c>
      <c r="M21" s="19" t="s">
        <v>81</v>
      </c>
      <c r="N21" s="18" t="s">
        <v>81</v>
      </c>
      <c r="O21" s="19" t="s">
        <v>81</v>
      </c>
      <c r="P21" s="18" t="s">
        <v>81</v>
      </c>
      <c r="Q21" s="19" t="s">
        <v>81</v>
      </c>
      <c r="R21" s="18" t="s">
        <v>81</v>
      </c>
    </row>
    <row r="22" spans="1:61" x14ac:dyDescent="0.3">
      <c r="A22" s="96"/>
      <c r="B22" s="97"/>
      <c r="C22" s="98"/>
      <c r="D22" s="66"/>
      <c r="E22" s="97"/>
      <c r="F22" s="97"/>
      <c r="G22" s="97"/>
      <c r="H22" s="97"/>
      <c r="I22" s="99"/>
      <c r="L22" s="36" t="s">
        <v>32</v>
      </c>
      <c r="M22" s="19">
        <v>14.371257485029941</v>
      </c>
      <c r="N22" s="18">
        <v>14.371257485029941</v>
      </c>
      <c r="O22" s="19">
        <v>14.371257485029941</v>
      </c>
      <c r="P22" s="18">
        <v>14.371257485029941</v>
      </c>
      <c r="Q22" s="19">
        <v>14.371257485029941</v>
      </c>
      <c r="R22" s="18">
        <v>14.371257485029941</v>
      </c>
    </row>
    <row r="23" spans="1:61" ht="15" thickBot="1" x14ac:dyDescent="0.35">
      <c r="A23" s="96"/>
      <c r="B23" s="97"/>
      <c r="C23" s="98"/>
      <c r="D23" s="66"/>
      <c r="E23" s="97"/>
      <c r="F23" s="97"/>
      <c r="G23" s="97"/>
      <c r="H23" s="97"/>
      <c r="I23" s="99"/>
      <c r="L23" s="36" t="s">
        <v>31</v>
      </c>
      <c r="M23" s="17">
        <v>14.371257485029941</v>
      </c>
      <c r="N23" s="16">
        <v>14.371257485029941</v>
      </c>
      <c r="O23" s="17">
        <v>14.371257485029941</v>
      </c>
      <c r="P23" s="16">
        <v>14.371257485029941</v>
      </c>
      <c r="Q23" s="17">
        <v>14.371257485029941</v>
      </c>
      <c r="R23" s="16">
        <v>14.371257485029941</v>
      </c>
    </row>
    <row r="24" spans="1:61" ht="14.4" customHeight="1" x14ac:dyDescent="0.3">
      <c r="A24" s="96"/>
      <c r="B24" s="97"/>
      <c r="C24" s="98"/>
      <c r="D24" s="66"/>
      <c r="E24" s="97"/>
      <c r="F24" s="97"/>
      <c r="G24" s="97"/>
      <c r="H24" s="97"/>
      <c r="I24" s="99"/>
      <c r="K24" s="46"/>
      <c r="S24" s="38"/>
    </row>
    <row r="25" spans="1:61" ht="53.4" customHeight="1" x14ac:dyDescent="1.1000000000000001">
      <c r="A25" s="170" t="str">
        <f>_xlfn.CONCAT("Analysis #",N2)</f>
        <v>Analysis #4</v>
      </c>
      <c r="B25" s="171"/>
      <c r="C25" s="171"/>
      <c r="D25" s="171"/>
      <c r="E25" s="171"/>
      <c r="F25" s="171"/>
      <c r="G25" s="171"/>
      <c r="H25" s="171"/>
      <c r="I25" s="172"/>
      <c r="K25" s="38"/>
      <c r="L25" s="36"/>
      <c r="S25" s="38"/>
    </row>
    <row r="26" spans="1:61" x14ac:dyDescent="0.3">
      <c r="A26" s="96"/>
      <c r="B26" s="97"/>
      <c r="C26" s="98"/>
      <c r="D26" s="66"/>
      <c r="E26" s="97"/>
      <c r="F26" s="97"/>
      <c r="G26" s="97"/>
      <c r="H26" s="97"/>
      <c r="I26" s="99"/>
      <c r="K26" s="38"/>
      <c r="L26" s="36"/>
      <c r="S26" s="38"/>
    </row>
    <row r="27" spans="1:61" ht="28.8" x14ac:dyDescent="0.55000000000000004">
      <c r="A27" s="167" t="str">
        <f>D78</f>
        <v>E</v>
      </c>
      <c r="B27" s="168"/>
      <c r="C27" s="168"/>
      <c r="D27" s="168"/>
      <c r="E27" s="168"/>
      <c r="F27" s="168"/>
      <c r="G27" s="168"/>
      <c r="H27" s="168"/>
      <c r="I27" s="169"/>
      <c r="K27" s="38"/>
      <c r="L27" s="36"/>
      <c r="S27" s="38"/>
    </row>
    <row r="28" spans="1:61" x14ac:dyDescent="0.3">
      <c r="A28" s="96"/>
      <c r="B28" s="97"/>
      <c r="C28" s="98"/>
      <c r="D28" s="66"/>
      <c r="E28" s="97"/>
      <c r="F28" s="97"/>
      <c r="G28" s="97"/>
      <c r="H28" s="97"/>
      <c r="I28" s="99"/>
      <c r="K28" s="38"/>
      <c r="L28" s="36"/>
      <c r="S28" s="38"/>
    </row>
    <row r="29" spans="1:61" x14ac:dyDescent="0.3">
      <c r="A29" s="96"/>
      <c r="B29" s="97"/>
      <c r="C29" s="98"/>
      <c r="D29" s="66"/>
      <c r="E29" s="97"/>
      <c r="F29" s="97"/>
      <c r="G29" s="97"/>
      <c r="H29" s="97"/>
      <c r="I29" s="99"/>
      <c r="K29" s="38"/>
      <c r="L29" s="36"/>
      <c r="S29" s="38"/>
    </row>
    <row r="30" spans="1:61" x14ac:dyDescent="0.3">
      <c r="A30" s="96"/>
      <c r="B30" s="97"/>
      <c r="C30" s="98"/>
      <c r="D30" s="66"/>
      <c r="E30" s="97"/>
      <c r="F30" s="97"/>
      <c r="G30" s="97"/>
      <c r="H30" s="97"/>
      <c r="I30" s="99"/>
      <c r="K30" s="38"/>
      <c r="L30" s="36"/>
      <c r="S30" s="38"/>
    </row>
    <row r="31" spans="1:61" x14ac:dyDescent="0.3">
      <c r="A31" s="96"/>
      <c r="B31" s="97"/>
      <c r="C31" s="98"/>
      <c r="D31" s="66"/>
      <c r="E31" s="97"/>
      <c r="F31" s="97"/>
      <c r="G31" s="97"/>
      <c r="H31" s="97"/>
      <c r="I31" s="99"/>
      <c r="K31" s="38"/>
      <c r="L31" s="36"/>
      <c r="Q31" s="52">
        <f>L97</f>
        <v>1</v>
      </c>
      <c r="S31" s="38"/>
    </row>
    <row r="32" spans="1:61" x14ac:dyDescent="0.3">
      <c r="A32" s="96"/>
      <c r="B32" s="97"/>
      <c r="C32" s="98"/>
      <c r="D32" s="66"/>
      <c r="E32" s="97"/>
      <c r="F32" s="97"/>
      <c r="G32" s="97"/>
      <c r="H32" s="97"/>
      <c r="I32" s="99"/>
      <c r="J32" s="38"/>
      <c r="K32" s="38"/>
      <c r="L32" s="36"/>
      <c r="Q32" s="52">
        <f>M97</f>
        <v>1</v>
      </c>
      <c r="S32" s="38"/>
    </row>
    <row r="33" spans="1:17" x14ac:dyDescent="0.3">
      <c r="A33" s="96"/>
      <c r="B33" s="97"/>
      <c r="C33" s="98"/>
      <c r="D33" s="66"/>
      <c r="E33" s="97"/>
      <c r="F33" s="97"/>
      <c r="G33" s="97"/>
      <c r="H33" s="97"/>
      <c r="I33" s="99"/>
      <c r="J33" s="38"/>
      <c r="Q33" s="52">
        <f>N97</f>
        <v>1</v>
      </c>
    </row>
    <row r="34" spans="1:17" x14ac:dyDescent="0.3">
      <c r="A34" s="96"/>
      <c r="B34" s="97"/>
      <c r="C34" s="98"/>
      <c r="D34" s="66"/>
      <c r="E34" s="97"/>
      <c r="F34" s="97"/>
      <c r="G34" s="97"/>
      <c r="H34" s="97"/>
      <c r="I34" s="99"/>
      <c r="J34" s="38"/>
      <c r="Q34" s="52">
        <f>L100</f>
        <v>1</v>
      </c>
    </row>
    <row r="35" spans="1:17" x14ac:dyDescent="0.3">
      <c r="A35" s="96"/>
      <c r="B35" s="97"/>
      <c r="C35" s="98"/>
      <c r="D35" s="66"/>
      <c r="E35" s="97"/>
      <c r="F35" s="97"/>
      <c r="G35" s="97"/>
      <c r="H35" s="97"/>
      <c r="I35" s="99"/>
      <c r="J35" s="38"/>
      <c r="Q35" s="52">
        <f>M100</f>
        <v>1</v>
      </c>
    </row>
    <row r="36" spans="1:17" x14ac:dyDescent="0.3">
      <c r="A36" s="96"/>
      <c r="B36" s="97"/>
      <c r="C36" s="98"/>
      <c r="D36" s="66"/>
      <c r="E36" s="97"/>
      <c r="F36" s="97"/>
      <c r="G36" s="97"/>
      <c r="H36" s="97"/>
      <c r="I36" s="99"/>
      <c r="Q36" s="52">
        <f>N100</f>
        <v>1</v>
      </c>
    </row>
    <row r="37" spans="1:17" x14ac:dyDescent="0.3">
      <c r="A37" s="96"/>
      <c r="B37" s="97"/>
      <c r="C37" s="98"/>
      <c r="D37" s="66"/>
      <c r="E37" s="97"/>
      <c r="F37" s="97"/>
      <c r="G37" s="97"/>
      <c r="H37" s="97"/>
      <c r="I37" s="99"/>
    </row>
    <row r="38" spans="1:17" x14ac:dyDescent="0.3">
      <c r="A38" s="96"/>
      <c r="B38" s="97"/>
      <c r="C38" s="98"/>
      <c r="D38" s="66"/>
      <c r="E38" s="97"/>
      <c r="F38" s="97"/>
      <c r="G38" s="97"/>
      <c r="H38" s="97"/>
      <c r="I38" s="99"/>
    </row>
    <row r="39" spans="1:17" x14ac:dyDescent="0.3">
      <c r="A39" s="96"/>
      <c r="B39" s="97"/>
      <c r="C39" s="98"/>
      <c r="D39" s="66"/>
      <c r="E39" s="97"/>
      <c r="F39" s="97"/>
      <c r="G39" s="97"/>
      <c r="H39" s="97"/>
      <c r="I39" s="99"/>
    </row>
    <row r="40" spans="1:17" x14ac:dyDescent="0.3">
      <c r="A40" s="96"/>
      <c r="B40" s="97"/>
      <c r="C40" s="98"/>
      <c r="D40" s="66"/>
      <c r="E40" s="97"/>
      <c r="F40" s="97"/>
      <c r="G40" s="97"/>
      <c r="H40" s="97"/>
      <c r="I40" s="99"/>
    </row>
    <row r="41" spans="1:17" x14ac:dyDescent="0.3">
      <c r="A41" s="96"/>
      <c r="B41" s="97"/>
      <c r="C41" s="98"/>
      <c r="D41" s="66"/>
      <c r="E41" s="97"/>
      <c r="F41" s="97"/>
      <c r="G41" s="97"/>
      <c r="H41" s="97"/>
      <c r="I41" s="99"/>
    </row>
    <row r="42" spans="1:17" x14ac:dyDescent="0.3">
      <c r="A42" s="96"/>
      <c r="B42" s="97"/>
      <c r="C42" s="98"/>
      <c r="D42" s="66"/>
      <c r="E42" s="97"/>
      <c r="F42" s="97"/>
      <c r="G42" s="97"/>
      <c r="H42" s="97"/>
      <c r="I42" s="99"/>
    </row>
    <row r="43" spans="1:17" x14ac:dyDescent="0.3">
      <c r="A43" s="96"/>
      <c r="B43" s="97"/>
      <c r="C43" s="98"/>
      <c r="D43" s="66"/>
      <c r="E43" s="97"/>
      <c r="F43" s="97"/>
      <c r="G43" s="97"/>
      <c r="H43" s="97"/>
      <c r="I43" s="99"/>
    </row>
    <row r="44" spans="1:17" x14ac:dyDescent="0.3">
      <c r="A44" s="96"/>
      <c r="B44" s="97"/>
      <c r="C44" s="98"/>
      <c r="D44" s="66"/>
      <c r="E44" s="97"/>
      <c r="F44" s="97"/>
      <c r="G44" s="97"/>
      <c r="H44" s="97"/>
      <c r="I44" s="99"/>
    </row>
    <row r="45" spans="1:17" x14ac:dyDescent="0.3">
      <c r="A45" s="96"/>
      <c r="B45" s="97"/>
      <c r="C45" s="98"/>
      <c r="D45" s="66"/>
      <c r="E45" s="97"/>
      <c r="F45" s="97"/>
      <c r="G45" s="97"/>
      <c r="H45" s="97"/>
      <c r="I45" s="99"/>
    </row>
    <row r="46" spans="1:17" x14ac:dyDescent="0.3">
      <c r="A46" s="96"/>
      <c r="B46" s="97"/>
      <c r="C46" s="98"/>
      <c r="D46" s="66"/>
      <c r="E46" s="97"/>
      <c r="F46" s="97"/>
      <c r="G46" s="97"/>
      <c r="H46" s="97"/>
      <c r="I46" s="99"/>
    </row>
    <row r="47" spans="1:17" x14ac:dyDescent="0.3">
      <c r="A47" s="96"/>
      <c r="B47" s="97"/>
      <c r="C47" s="98"/>
      <c r="D47" s="66"/>
      <c r="E47" s="97"/>
      <c r="F47" s="97"/>
      <c r="G47" s="97"/>
      <c r="H47" s="97"/>
      <c r="I47" s="99"/>
    </row>
    <row r="48" spans="1:17" x14ac:dyDescent="0.3">
      <c r="A48" s="96"/>
      <c r="B48" s="97"/>
      <c r="C48" s="98"/>
      <c r="D48" s="66"/>
      <c r="E48" s="97"/>
      <c r="F48" s="97"/>
      <c r="G48" s="97"/>
      <c r="H48" s="97"/>
      <c r="I48" s="99"/>
    </row>
    <row r="49" spans="1:9" x14ac:dyDescent="0.3">
      <c r="A49" s="96"/>
      <c r="B49" s="97"/>
      <c r="C49" s="98"/>
      <c r="D49" s="66"/>
      <c r="E49" s="97"/>
      <c r="F49" s="97"/>
      <c r="G49" s="97"/>
      <c r="H49" s="97"/>
      <c r="I49" s="99"/>
    </row>
    <row r="50" spans="1:9" x14ac:dyDescent="0.3">
      <c r="A50" s="96"/>
      <c r="B50" s="97"/>
      <c r="C50" s="98"/>
      <c r="D50" s="66"/>
      <c r="E50" s="97"/>
      <c r="F50" s="97"/>
      <c r="G50" s="97"/>
      <c r="H50" s="97"/>
      <c r="I50" s="99"/>
    </row>
    <row r="51" spans="1:9" x14ac:dyDescent="0.3">
      <c r="A51" s="96"/>
      <c r="B51" s="97"/>
      <c r="C51" s="98"/>
      <c r="D51" s="66"/>
      <c r="E51" s="97"/>
      <c r="F51" s="97"/>
      <c r="G51" s="97"/>
      <c r="H51" s="97"/>
      <c r="I51" s="99"/>
    </row>
    <row r="52" spans="1:9" x14ac:dyDescent="0.3">
      <c r="A52" s="96"/>
      <c r="B52" s="97"/>
      <c r="C52" s="98"/>
      <c r="D52" s="66"/>
      <c r="E52" s="97"/>
      <c r="F52" s="97"/>
      <c r="G52" s="97"/>
      <c r="H52" s="97"/>
      <c r="I52" s="99"/>
    </row>
    <row r="53" spans="1:9" x14ac:dyDescent="0.3">
      <c r="A53" s="96"/>
      <c r="B53" s="97"/>
      <c r="C53" s="98"/>
      <c r="D53" s="66"/>
      <c r="E53" s="97"/>
      <c r="F53" s="97"/>
      <c r="G53" s="97"/>
      <c r="H53" s="97"/>
      <c r="I53" s="99"/>
    </row>
    <row r="54" spans="1:9" ht="15" thickBot="1" x14ac:dyDescent="0.35">
      <c r="A54" s="100"/>
      <c r="B54" s="101"/>
      <c r="C54" s="102"/>
      <c r="D54" s="103"/>
      <c r="E54" s="101"/>
      <c r="F54" s="101"/>
      <c r="G54" s="101"/>
      <c r="H54" s="101"/>
      <c r="I54" s="104"/>
    </row>
    <row r="77" spans="1:9" x14ac:dyDescent="0.3">
      <c r="A77" s="73"/>
      <c r="B77" s="73"/>
      <c r="C77" s="74" t="s">
        <v>87</v>
      </c>
      <c r="D77" s="75">
        <f>N2</f>
        <v>4</v>
      </c>
      <c r="E77" s="73"/>
      <c r="F77" s="73"/>
      <c r="G77" s="73"/>
      <c r="H77" s="73"/>
      <c r="I77" s="73"/>
    </row>
    <row r="78" spans="1:9" x14ac:dyDescent="0.3">
      <c r="A78" s="73"/>
      <c r="B78" s="73"/>
      <c r="C78" s="74" t="s">
        <v>88</v>
      </c>
      <c r="D78" s="75" t="str">
        <f>V17</f>
        <v>E</v>
      </c>
      <c r="E78" s="73"/>
      <c r="F78" s="73"/>
      <c r="G78" s="73"/>
      <c r="H78" s="73"/>
      <c r="I78" s="73"/>
    </row>
    <row r="79" spans="1:9" x14ac:dyDescent="0.3">
      <c r="A79" s="73"/>
      <c r="B79" s="73"/>
      <c r="C79" s="74"/>
      <c r="D79" s="75"/>
      <c r="E79" s="73"/>
      <c r="F79" s="73"/>
      <c r="G79" s="73"/>
      <c r="H79" s="73"/>
      <c r="I79" s="73"/>
    </row>
    <row r="80" spans="1:9" x14ac:dyDescent="0.3">
      <c r="A80" s="73"/>
      <c r="B80" s="73"/>
      <c r="C80" s="74" t="s">
        <v>89</v>
      </c>
      <c r="D80" s="75">
        <f>W17</f>
        <v>54</v>
      </c>
      <c r="E80" s="73" t="s">
        <v>74</v>
      </c>
      <c r="F80" s="73"/>
      <c r="G80" s="74" t="s">
        <v>96</v>
      </c>
      <c r="H80" s="75">
        <f>AD17</f>
        <v>85.8</v>
      </c>
      <c r="I80" s="73" t="s">
        <v>97</v>
      </c>
    </row>
    <row r="81" spans="1:14" x14ac:dyDescent="0.3">
      <c r="A81" s="73"/>
      <c r="B81" s="73"/>
      <c r="C81" s="74" t="s">
        <v>90</v>
      </c>
      <c r="D81" s="75">
        <f>X17</f>
        <v>54</v>
      </c>
      <c r="E81" s="73" t="s">
        <v>74</v>
      </c>
      <c r="F81" s="73"/>
      <c r="G81" s="74" t="s">
        <v>98</v>
      </c>
      <c r="H81" s="75">
        <f>AE17</f>
        <v>18.899999999999999</v>
      </c>
      <c r="I81" s="73" t="s">
        <v>76</v>
      </c>
    </row>
    <row r="82" spans="1:14" x14ac:dyDescent="0.3">
      <c r="A82" s="73"/>
      <c r="B82" s="73"/>
      <c r="C82" s="74" t="s">
        <v>91</v>
      </c>
      <c r="D82" s="75">
        <f>Y17</f>
        <v>9</v>
      </c>
      <c r="E82" s="73" t="s">
        <v>92</v>
      </c>
      <c r="F82" s="73"/>
      <c r="G82" s="74"/>
      <c r="H82" s="75"/>
      <c r="I82" s="73"/>
    </row>
    <row r="83" spans="1:14" x14ac:dyDescent="0.3">
      <c r="A83" s="73"/>
      <c r="B83" s="73"/>
      <c r="C83" s="74" t="s">
        <v>93</v>
      </c>
      <c r="D83" s="75">
        <f>Z17</f>
        <v>12.96</v>
      </c>
      <c r="E83" s="73" t="s">
        <v>74</v>
      </c>
      <c r="F83" s="73"/>
      <c r="G83" s="74" t="s">
        <v>99</v>
      </c>
      <c r="H83" s="75">
        <f>AF17</f>
        <v>29000</v>
      </c>
      <c r="I83" s="73" t="s">
        <v>77</v>
      </c>
    </row>
    <row r="84" spans="1:14" ht="16.2" x14ac:dyDescent="0.3">
      <c r="A84" s="73"/>
      <c r="B84" s="73"/>
      <c r="C84" s="74" t="s">
        <v>94</v>
      </c>
      <c r="D84" s="75">
        <f>AA17</f>
        <v>25.56</v>
      </c>
      <c r="E84" s="73" t="s">
        <v>74</v>
      </c>
      <c r="F84" s="73"/>
      <c r="G84" s="74" t="s">
        <v>100</v>
      </c>
      <c r="H84" s="75">
        <f>AG17</f>
        <v>1.4630000000000001</v>
      </c>
      <c r="I84" s="73" t="s">
        <v>156</v>
      </c>
    </row>
    <row r="85" spans="1:14" ht="16.2" x14ac:dyDescent="0.3">
      <c r="A85" s="73"/>
      <c r="B85" s="73"/>
      <c r="C85" s="74" t="s">
        <v>95</v>
      </c>
      <c r="D85" s="75">
        <f>AB17</f>
        <v>12.96</v>
      </c>
      <c r="E85" s="73" t="s">
        <v>74</v>
      </c>
      <c r="F85" s="73"/>
      <c r="G85" s="74" t="s">
        <v>101</v>
      </c>
      <c r="H85" s="75">
        <f>AH17</f>
        <v>2.7549999999999999</v>
      </c>
      <c r="I85" s="73" t="s">
        <v>157</v>
      </c>
    </row>
    <row r="86" spans="1:14" x14ac:dyDescent="0.3">
      <c r="A86" s="73"/>
      <c r="B86" s="73"/>
      <c r="C86" s="74" t="s">
        <v>95</v>
      </c>
      <c r="D86" s="75">
        <f>AC17</f>
        <v>25.56</v>
      </c>
      <c r="E86" s="73" t="s">
        <v>74</v>
      </c>
      <c r="F86" s="73"/>
      <c r="G86" s="74"/>
      <c r="H86" s="75"/>
      <c r="I86" s="73"/>
    </row>
    <row r="87" spans="1:14" x14ac:dyDescent="0.3">
      <c r="A87" s="73"/>
      <c r="B87" s="74"/>
      <c r="C87" s="74" t="s">
        <v>158</v>
      </c>
      <c r="D87" s="75">
        <f>AI17</f>
        <v>0</v>
      </c>
      <c r="E87" s="73"/>
      <c r="F87" s="73"/>
      <c r="G87" s="73"/>
      <c r="H87" s="73"/>
      <c r="I87" s="73"/>
    </row>
    <row r="88" spans="1:14" x14ac:dyDescent="0.3">
      <c r="A88" s="73"/>
      <c r="B88" s="73"/>
      <c r="C88" s="74"/>
      <c r="G88" s="73"/>
      <c r="H88" s="73"/>
      <c r="I88" s="73"/>
    </row>
    <row r="89" spans="1:14" x14ac:dyDescent="0.3">
      <c r="A89" s="73"/>
      <c r="B89" s="73"/>
      <c r="C89" s="73"/>
      <c r="D89" s="74" t="s">
        <v>104</v>
      </c>
      <c r="E89" s="75" t="str">
        <f>AL17</f>
        <v>MB 8'-14'</v>
      </c>
      <c r="G89" s="73"/>
      <c r="H89" s="73"/>
      <c r="I89" s="73"/>
    </row>
    <row r="90" spans="1:14" x14ac:dyDescent="0.3">
      <c r="A90" s="73"/>
      <c r="B90" s="73"/>
      <c r="C90" s="73"/>
      <c r="D90" s="74" t="s">
        <v>102</v>
      </c>
      <c r="E90" s="75">
        <f>AJ17</f>
        <v>3</v>
      </c>
      <c r="G90" s="73"/>
      <c r="H90" s="73"/>
      <c r="I90" s="73"/>
    </row>
    <row r="91" spans="1:14" x14ac:dyDescent="0.3">
      <c r="A91" s="73"/>
      <c r="B91" s="73"/>
      <c r="C91" s="73"/>
      <c r="D91" s="74" t="s">
        <v>103</v>
      </c>
      <c r="E91" s="75">
        <f>AK17</f>
        <v>5</v>
      </c>
      <c r="F91" s="73"/>
      <c r="G91" s="73"/>
      <c r="H91" s="73"/>
      <c r="I91" s="73"/>
    </row>
    <row r="92" spans="1:14" ht="15" thickBot="1" x14ac:dyDescent="0.35">
      <c r="A92" s="73"/>
      <c r="B92" s="73"/>
      <c r="C92" s="74"/>
      <c r="D92" s="75"/>
      <c r="E92" s="73"/>
      <c r="F92" s="73"/>
      <c r="G92" s="73"/>
      <c r="H92" s="73"/>
      <c r="I92" s="73"/>
    </row>
    <row r="93" spans="1:14" ht="15" thickBot="1" x14ac:dyDescent="0.35">
      <c r="A93" s="73"/>
      <c r="B93" s="73"/>
      <c r="C93" s="74"/>
      <c r="D93" s="121"/>
      <c r="E93" s="120" t="s">
        <v>105</v>
      </c>
      <c r="F93" s="122"/>
      <c r="G93" s="73"/>
      <c r="H93" s="73"/>
      <c r="I93" s="73"/>
      <c r="K93" s="74"/>
      <c r="L93" s="76"/>
      <c r="M93" s="77" t="s">
        <v>105</v>
      </c>
      <c r="N93" s="78"/>
    </row>
    <row r="94" spans="1:14" ht="15" thickBot="1" x14ac:dyDescent="0.35">
      <c r="A94" s="73"/>
      <c r="B94" s="73"/>
      <c r="C94" s="74"/>
      <c r="D94" s="126">
        <v>1</v>
      </c>
      <c r="E94" s="127">
        <v>2</v>
      </c>
      <c r="F94" s="128">
        <v>3</v>
      </c>
      <c r="G94" s="73"/>
      <c r="H94" s="73"/>
      <c r="I94" s="73"/>
      <c r="K94" s="74"/>
      <c r="L94" s="79">
        <v>1</v>
      </c>
      <c r="M94" s="80">
        <v>2</v>
      </c>
      <c r="N94" s="81">
        <v>3</v>
      </c>
    </row>
    <row r="95" spans="1:14" x14ac:dyDescent="0.3">
      <c r="A95" s="73"/>
      <c r="B95" s="73"/>
      <c r="C95" s="74" t="s">
        <v>108</v>
      </c>
      <c r="D95" s="82">
        <f>VLOOKUP($E$89,$L$16:$R$23,3,FALSE)</f>
        <v>14.371257485029941</v>
      </c>
      <c r="E95" s="83">
        <f>VLOOKUP($E$89,$L$16:$R$23,5,FALSE)</f>
        <v>14.371257485029941</v>
      </c>
      <c r="F95" s="84">
        <f>VLOOKUP($E$89,$L$16:$R$23,7,FALSE)</f>
        <v>14.371257485029941</v>
      </c>
      <c r="G95" s="73"/>
      <c r="H95" s="73"/>
      <c r="I95" s="73"/>
      <c r="K95" s="74" t="s">
        <v>108</v>
      </c>
    </row>
    <row r="96" spans="1:14" ht="15" thickBot="1" x14ac:dyDescent="0.35">
      <c r="A96" s="73"/>
      <c r="B96" s="73"/>
      <c r="C96" s="74" t="s">
        <v>190</v>
      </c>
      <c r="D96" s="117">
        <f>VLOOKUP($E$89,$L$16:$R$23,2,FALSE)</f>
        <v>14.371257485029941</v>
      </c>
      <c r="E96" s="118">
        <f>VLOOKUP($E$89,$L$16:$R$23,3,FALSE)</f>
        <v>14.371257485029941</v>
      </c>
      <c r="F96" s="119">
        <f>VLOOKUP($E$89,$L$16:$R$23,6,FALSE)</f>
        <v>14.371257485029941</v>
      </c>
      <c r="G96" s="73"/>
      <c r="H96" s="73"/>
      <c r="I96" s="73"/>
      <c r="K96" s="74" t="s">
        <v>106</v>
      </c>
      <c r="L96" s="85">
        <f>N5/E90</f>
        <v>-0.37197048671299332</v>
      </c>
      <c r="M96" s="86">
        <f>N6/E91</f>
        <v>-0.36399524562762797</v>
      </c>
      <c r="N96" s="87">
        <f>N7/E91</f>
        <v>-3.2314757302153199</v>
      </c>
    </row>
    <row r="97" spans="1:14" ht="15" thickBot="1" x14ac:dyDescent="0.35">
      <c r="A97" s="73"/>
      <c r="B97" s="73"/>
      <c r="C97" s="74" t="s">
        <v>191</v>
      </c>
      <c r="D97" s="82">
        <f>N5</f>
        <v>-1.1159114601389799</v>
      </c>
      <c r="E97" s="83">
        <f>N6</f>
        <v>-1.81997622813814</v>
      </c>
      <c r="F97" s="84">
        <f>N7</f>
        <v>-16.157378651076598</v>
      </c>
      <c r="G97" s="73"/>
      <c r="H97" s="73"/>
      <c r="I97" s="73"/>
      <c r="K97" s="73" t="s">
        <v>112</v>
      </c>
      <c r="L97" s="88">
        <f>IF(ISNUMBER(D95),ROUNDUP(ABS(L96/D95),0),"-")</f>
        <v>1</v>
      </c>
      <c r="M97" s="89">
        <f>IF(ISNUMBER(E95),ROUNDUP(ABS(M96/E95),0),"-")</f>
        <v>1</v>
      </c>
      <c r="N97" s="90">
        <f>IF(ISNUMBER(F95),ROUNDUP(ABS(N96/F95),0),"-")</f>
        <v>1</v>
      </c>
    </row>
    <row r="98" spans="1:14" ht="15" thickBot="1" x14ac:dyDescent="0.35">
      <c r="A98" s="73"/>
      <c r="B98" s="73"/>
      <c r="C98" s="74" t="s">
        <v>192</v>
      </c>
      <c r="D98" s="117">
        <f>N8</f>
        <v>22.4817371614071</v>
      </c>
      <c r="E98" s="118">
        <f>N9</f>
        <v>36.664486653026401</v>
      </c>
      <c r="F98" s="119">
        <f>N10</f>
        <v>-59.390533240251699</v>
      </c>
      <c r="G98" s="73"/>
      <c r="H98" s="73"/>
      <c r="I98" s="73"/>
      <c r="K98" s="74" t="s">
        <v>109</v>
      </c>
    </row>
    <row r="99" spans="1:14" x14ac:dyDescent="0.3">
      <c r="A99" s="73"/>
      <c r="B99" s="73"/>
      <c r="C99" s="74" t="s">
        <v>193</v>
      </c>
      <c r="D99" s="82">
        <f>D97/E90</f>
        <v>-0.37197048671299332</v>
      </c>
      <c r="E99" s="83">
        <f>E97/E91</f>
        <v>-0.36399524562762797</v>
      </c>
      <c r="F99" s="84">
        <f>F97/E91</f>
        <v>-3.2314757302153199</v>
      </c>
      <c r="G99" s="73"/>
      <c r="H99" s="73"/>
      <c r="I99" s="73"/>
      <c r="K99" s="74" t="s">
        <v>107</v>
      </c>
      <c r="L99" s="85">
        <f>N8/E90</f>
        <v>7.4939123871357003</v>
      </c>
      <c r="M99" s="86">
        <f>N9/E91</f>
        <v>7.33289733060528</v>
      </c>
      <c r="N99" s="87">
        <f>N10/E91</f>
        <v>-11.878106648050339</v>
      </c>
    </row>
    <row r="100" spans="1:14" ht="15" thickBot="1" x14ac:dyDescent="0.35">
      <c r="A100" s="73"/>
      <c r="B100" s="73"/>
      <c r="C100" s="74" t="s">
        <v>194</v>
      </c>
      <c r="D100" s="129">
        <f>D98/E90</f>
        <v>7.4939123871357003</v>
      </c>
      <c r="E100" s="130">
        <f>E98/E91</f>
        <v>7.33289733060528</v>
      </c>
      <c r="F100" s="131">
        <f>F98/E91</f>
        <v>-11.878106648050339</v>
      </c>
      <c r="G100" s="73"/>
      <c r="H100" s="73"/>
      <c r="I100" s="73"/>
      <c r="K100" s="73" t="s">
        <v>112</v>
      </c>
      <c r="L100" s="88">
        <f>IF(ISNUMBER(D96),ROUNDUP(ABS(L99/D96),0),"-")</f>
        <v>1</v>
      </c>
      <c r="M100" s="89">
        <f>IF(ISNUMBER(E96),ROUNDUP(ABS(M99/E96),0),"-")</f>
        <v>1</v>
      </c>
      <c r="N100" s="90">
        <f>IF(ISNUMBER(F96),ROUNDUP(ABS(N99/F96),0),"-")</f>
        <v>1</v>
      </c>
    </row>
    <row r="101" spans="1:14" x14ac:dyDescent="0.3">
      <c r="A101" s="73"/>
      <c r="B101" s="73"/>
      <c r="C101" s="74" t="s">
        <v>195</v>
      </c>
      <c r="D101" s="123">
        <f>IF(D99&lt;0,ROUNDUP(ABS(D99)/D96,0),ROUNDUP(ABS(D99)/D95,0))</f>
        <v>1</v>
      </c>
      <c r="E101" s="124">
        <f>IF(E99&lt;0,ROUNDUP(ABS(E99)/E96,0),ROUNDUP(ABS(E99)/E95,0))</f>
        <v>1</v>
      </c>
      <c r="F101" s="125">
        <f>IF(F99&lt;0,ROUNDUP(ABS(F99)/F96,0),ROUNDUP(ABS(F99)/F95,0))</f>
        <v>1</v>
      </c>
      <c r="G101" s="73"/>
      <c r="H101" s="73"/>
      <c r="I101" s="73"/>
    </row>
    <row r="102" spans="1:14" ht="15" thickBot="1" x14ac:dyDescent="0.35">
      <c r="A102" s="73"/>
      <c r="B102" s="73"/>
      <c r="C102" s="36" t="s">
        <v>196</v>
      </c>
      <c r="D102" s="132">
        <f>IF(D100&lt;0,ROUNDUP(ABS(D100)/D96,0),ROUNDUP(ABS(D100)/D95,0))</f>
        <v>1</v>
      </c>
      <c r="E102" s="133">
        <f t="shared" ref="E102:F102" si="0">IF(E100&lt;0,ROUNDUP(ABS(E100)/E96,0),ROUNDUP(ABS(E100)/E95,0))</f>
        <v>1</v>
      </c>
      <c r="F102" s="134">
        <f t="shared" si="0"/>
        <v>1</v>
      </c>
      <c r="G102" s="73"/>
      <c r="H102" s="73"/>
      <c r="I102" s="73"/>
    </row>
    <row r="103" spans="1:14" x14ac:dyDescent="0.3">
      <c r="A103" s="73"/>
      <c r="B103" s="73"/>
      <c r="G103" s="73"/>
      <c r="H103" s="73"/>
      <c r="I103" s="73"/>
    </row>
    <row r="104" spans="1:14" x14ac:dyDescent="0.3">
      <c r="A104" s="73"/>
      <c r="B104" s="73"/>
      <c r="C104" s="74"/>
      <c r="D104" s="74" t="s">
        <v>197</v>
      </c>
      <c r="E104" s="51">
        <f>IF(COUNTIF(Q31:Q36,"-")&gt;0,"Geometry Error",MAX(D101:F101,D102:F102))</f>
        <v>1</v>
      </c>
      <c r="F104" s="73"/>
      <c r="G104" s="73"/>
      <c r="H104" s="73"/>
      <c r="I104" s="73"/>
    </row>
    <row r="105" spans="1:14" x14ac:dyDescent="0.3">
      <c r="A105" s="73"/>
      <c r="B105" s="73"/>
      <c r="C105" s="74"/>
      <c r="D105" s="75"/>
      <c r="E105" s="73"/>
      <c r="F105" s="73"/>
      <c r="G105" s="73"/>
      <c r="H105" s="73"/>
      <c r="I105" s="73"/>
    </row>
    <row r="106" spans="1:14" x14ac:dyDescent="0.3">
      <c r="A106" s="73"/>
      <c r="B106" s="73"/>
      <c r="C106" s="74"/>
      <c r="D106" s="74" t="s">
        <v>110</v>
      </c>
      <c r="E106" s="91">
        <f>N4</f>
        <v>24253.9612307965</v>
      </c>
      <c r="F106" s="73" t="s">
        <v>134</v>
      </c>
      <c r="G106" s="73"/>
      <c r="H106" s="73"/>
      <c r="I106" s="73"/>
    </row>
    <row r="107" spans="1:14" x14ac:dyDescent="0.3">
      <c r="A107" s="73"/>
      <c r="B107" s="73"/>
      <c r="C107" s="74"/>
      <c r="D107" s="74"/>
      <c r="E107" s="75"/>
      <c r="F107" s="73"/>
      <c r="G107" s="73"/>
      <c r="H107" s="73"/>
      <c r="I107" s="73"/>
    </row>
    <row r="108" spans="1:14" x14ac:dyDescent="0.3">
      <c r="A108" s="73"/>
      <c r="B108" s="73"/>
      <c r="C108" s="74"/>
      <c r="D108" s="74" t="s">
        <v>124</v>
      </c>
      <c r="E108" s="75">
        <f>AM17</f>
        <v>131</v>
      </c>
      <c r="F108" s="73" t="s">
        <v>92</v>
      </c>
      <c r="G108" s="73"/>
      <c r="H108" s="73"/>
      <c r="I108" s="73"/>
    </row>
    <row r="109" spans="1:14" x14ac:dyDescent="0.3">
      <c r="A109" s="73"/>
      <c r="B109" s="73"/>
      <c r="C109" s="74"/>
      <c r="D109" s="74" t="s">
        <v>125</v>
      </c>
      <c r="E109" s="92" t="str">
        <f>AN17</f>
        <v>Mid-Span Bracing</v>
      </c>
      <c r="F109" s="73"/>
      <c r="G109" s="73"/>
      <c r="H109" s="73"/>
      <c r="I109" s="73"/>
    </row>
    <row r="110" spans="1:14" x14ac:dyDescent="0.3">
      <c r="A110" s="73"/>
      <c r="B110" s="73"/>
      <c r="C110" s="74"/>
      <c r="D110" s="74" t="s">
        <v>126</v>
      </c>
      <c r="E110" s="75">
        <f>AO17</f>
        <v>1.4</v>
      </c>
      <c r="F110" s="73"/>
      <c r="G110" s="73"/>
      <c r="H110" s="73"/>
      <c r="I110" s="73"/>
    </row>
    <row r="111" spans="1:14" x14ac:dyDescent="0.3">
      <c r="A111" s="73"/>
      <c r="B111" s="73"/>
      <c r="C111" s="74"/>
      <c r="D111" s="74" t="s">
        <v>127</v>
      </c>
      <c r="E111" s="75">
        <f>AP17</f>
        <v>75</v>
      </c>
      <c r="F111" s="73" t="s">
        <v>130</v>
      </c>
      <c r="G111" s="73"/>
      <c r="H111" s="73"/>
      <c r="I111" s="73"/>
    </row>
    <row r="112" spans="1:14" x14ac:dyDescent="0.3">
      <c r="A112" s="73"/>
      <c r="B112" s="73"/>
      <c r="C112" s="74"/>
      <c r="D112" s="74" t="s">
        <v>128</v>
      </c>
      <c r="E112" s="75">
        <f>AQ17</f>
        <v>37.5</v>
      </c>
      <c r="F112" s="73" t="s">
        <v>130</v>
      </c>
      <c r="G112" s="73"/>
      <c r="H112" s="73"/>
      <c r="I112" s="73"/>
    </row>
    <row r="113" spans="1:9" x14ac:dyDescent="0.3">
      <c r="A113" s="73"/>
      <c r="B113" s="73"/>
      <c r="C113" s="74"/>
      <c r="D113" s="74" t="s">
        <v>129</v>
      </c>
      <c r="E113" s="75">
        <f>AR17</f>
        <v>971.4375</v>
      </c>
      <c r="F113" s="73" t="s">
        <v>131</v>
      </c>
      <c r="G113" s="73"/>
      <c r="H113" s="73"/>
      <c r="I113" s="73"/>
    </row>
    <row r="114" spans="1:9" x14ac:dyDescent="0.3">
      <c r="A114" s="73"/>
      <c r="B114" s="73"/>
      <c r="C114" s="74"/>
      <c r="D114" s="74"/>
      <c r="E114" s="75"/>
      <c r="F114" s="73"/>
      <c r="G114" s="73"/>
      <c r="H114" s="73"/>
      <c r="I114" s="73"/>
    </row>
    <row r="115" spans="1:9" x14ac:dyDescent="0.3">
      <c r="A115" s="73"/>
      <c r="B115" s="73"/>
      <c r="C115" s="74"/>
      <c r="D115" s="74" t="s">
        <v>132</v>
      </c>
      <c r="E115" s="75">
        <f>39*EXP(-E108/48)+0.5</f>
        <v>3.045672807394447</v>
      </c>
      <c r="F115" s="73"/>
      <c r="G115" s="73"/>
      <c r="H115" s="73"/>
      <c r="I115" s="73"/>
    </row>
    <row r="116" spans="1:9" x14ac:dyDescent="0.3">
      <c r="A116" s="73"/>
      <c r="B116" s="73"/>
      <c r="C116" s="74"/>
      <c r="D116" s="74" t="s">
        <v>133</v>
      </c>
      <c r="E116" s="75">
        <f>E115+E110*620*E106*EXP(-E108/30)/(E106+1000000)-SQRT(E112)/(1000000)*(8*E108^2+0.004*E108*E106-5100*E108-E106+900000)-MIN(D80:D81)*E111/(48*E113)</f>
        <v>1.0296099991803032</v>
      </c>
      <c r="F116" s="93" t="s">
        <v>135</v>
      </c>
      <c r="G116" s="73"/>
      <c r="H116" s="73"/>
      <c r="I116" s="73"/>
    </row>
    <row r="117" spans="1:9" x14ac:dyDescent="0.3">
      <c r="C117" s="74"/>
      <c r="D117" s="74"/>
      <c r="E117" s="75"/>
      <c r="F117" s="73"/>
    </row>
    <row r="118" spans="1:9" x14ac:dyDescent="0.3">
      <c r="C118" s="74"/>
      <c r="D118" s="74" t="s">
        <v>111</v>
      </c>
      <c r="E118" s="47" t="str">
        <f>IF(E116&gt;1,"OK","NG")</f>
        <v>OK</v>
      </c>
      <c r="F118" s="73"/>
    </row>
    <row r="131" spans="1:9" x14ac:dyDescent="0.3">
      <c r="A131" s="73"/>
      <c r="B131" s="73"/>
      <c r="C131" s="74"/>
      <c r="D131" s="75"/>
      <c r="E131" s="73"/>
      <c r="F131" s="73"/>
      <c r="G131" s="73"/>
      <c r="H131" s="73"/>
      <c r="I131" s="73"/>
    </row>
    <row r="132" spans="1:9" x14ac:dyDescent="0.3">
      <c r="A132" s="73"/>
      <c r="B132" s="73"/>
      <c r="C132" s="74"/>
      <c r="D132" s="75"/>
      <c r="E132" s="73"/>
      <c r="F132" s="73"/>
      <c r="G132" s="73"/>
      <c r="H132" s="73"/>
      <c r="I132" s="73"/>
    </row>
    <row r="133" spans="1:9" x14ac:dyDescent="0.3">
      <c r="A133" s="73"/>
      <c r="B133" s="73"/>
      <c r="C133" s="74"/>
      <c r="D133" s="75"/>
      <c r="E133" s="73"/>
      <c r="F133" s="73"/>
      <c r="G133" s="73"/>
      <c r="H133" s="73"/>
      <c r="I133" s="73"/>
    </row>
    <row r="134" spans="1:9" x14ac:dyDescent="0.3">
      <c r="A134" s="73"/>
      <c r="B134" s="73"/>
      <c r="C134" s="74"/>
      <c r="D134" s="75"/>
      <c r="E134" s="73"/>
      <c r="F134" s="73"/>
      <c r="G134" s="73"/>
      <c r="H134" s="73"/>
      <c r="I134" s="73"/>
    </row>
    <row r="135" spans="1:9" x14ac:dyDescent="0.3">
      <c r="A135" s="73"/>
      <c r="B135" s="73"/>
      <c r="C135" s="74"/>
      <c r="D135" s="75"/>
      <c r="E135" s="73"/>
      <c r="F135" s="73"/>
      <c r="G135" s="73"/>
      <c r="H135" s="73"/>
      <c r="I135" s="73"/>
    </row>
    <row r="136" spans="1:9" x14ac:dyDescent="0.3">
      <c r="A136" s="73"/>
      <c r="B136" s="73"/>
      <c r="C136" s="74"/>
      <c r="D136" s="75"/>
      <c r="E136" s="73"/>
      <c r="F136" s="73"/>
      <c r="G136" s="73"/>
      <c r="H136" s="73"/>
      <c r="I136" s="73"/>
    </row>
  </sheetData>
  <mergeCells count="11">
    <mergeCell ref="A27:I27"/>
    <mergeCell ref="A25:I25"/>
    <mergeCell ref="Q12:R12"/>
    <mergeCell ref="O12:P12"/>
    <mergeCell ref="M12:N12"/>
    <mergeCell ref="M13:M15"/>
    <mergeCell ref="N13:N15"/>
    <mergeCell ref="O13:O15"/>
    <mergeCell ref="P13:P15"/>
    <mergeCell ref="Q13:Q15"/>
    <mergeCell ref="R13:R15"/>
  </mergeCells>
  <conditionalFormatting sqref="E118">
    <cfRule type="cellIs" dxfId="1" priority="2" operator="equal">
      <formula>"NG"</formula>
    </cfRule>
  </conditionalFormatting>
  <conditionalFormatting sqref="E104">
    <cfRule type="cellIs" dxfId="0" priority="1" operator="equal">
      <formula>"Geometry Error"</formula>
    </cfRule>
  </conditionalFormatting>
  <pageMargins left="0.7" right="0" top="0" bottom="0" header="0" footer="0"/>
  <pageSetup scale="81" fitToHeight="2" orientation="portrait" r:id="rId1"/>
  <rowBreaks count="1" manualBreakCount="1">
    <brk id="54" max="8" man="1"/>
  </rowBreaks>
  <drawing r:id="rId2"/>
  <legacyDrawing r:id="rId3"/>
  <oleObjects>
    <mc:AlternateContent xmlns:mc="http://schemas.openxmlformats.org/markup-compatibility/2006">
      <mc:Choice Requires="x14">
        <oleObject progId="Worksheet" shapeId="7169" r:id="rId4">
          <objectPr defaultSize="0" autoPict="0" r:id="rId5">
            <anchor moveWithCells="1">
              <from>
                <xdr:col>0</xdr:col>
                <xdr:colOff>99060</xdr:colOff>
                <xdr:row>54</xdr:row>
                <xdr:rowOff>99060</xdr:rowOff>
              </from>
              <to>
                <xdr:col>8</xdr:col>
                <xdr:colOff>708660</xdr:colOff>
                <xdr:row>60</xdr:row>
                <xdr:rowOff>45720</xdr:rowOff>
              </to>
            </anchor>
          </objectPr>
        </oleObject>
      </mc:Choice>
      <mc:Fallback>
        <oleObject progId="Worksheet" shapeId="7169" r:id="rId4"/>
      </mc:Fallback>
    </mc:AlternateContent>
  </oleObjec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64246A-105E-4E90-A95E-E3BF3CA7D0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Cover</vt:lpstr>
      <vt:lpstr>Girder Bracing Data</vt:lpstr>
      <vt:lpstr>Index</vt:lpstr>
      <vt:lpstr>Output</vt:lpstr>
      <vt:lpstr>PreDesign</vt:lpstr>
      <vt:lpstr>Intermediate</vt:lpstr>
      <vt:lpstr>FEM</vt:lpstr>
      <vt:lpstr>FEM (2)</vt:lpstr>
      <vt:lpstr>FEM (3)</vt:lpstr>
      <vt:lpstr>EFCO</vt:lpstr>
      <vt:lpstr>EFCO-Capacity (MIKE)</vt:lpstr>
      <vt:lpstr>Design</vt:lpstr>
      <vt:lpstr>Cover!Print_Area</vt:lpstr>
      <vt:lpstr>Design!Print_Area</vt:lpstr>
      <vt:lpstr>'EFCO-Capacity (MIKE)'!Print_Area</vt:lpstr>
      <vt:lpstr>Index!Print_Area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Work</dc:creator>
  <cp:lastModifiedBy>Michael Work</cp:lastModifiedBy>
  <cp:lastPrinted>2018-10-22T18:30:50Z</cp:lastPrinted>
  <dcterms:created xsi:type="dcterms:W3CDTF">2018-09-04T14:30:10Z</dcterms:created>
  <dcterms:modified xsi:type="dcterms:W3CDTF">2018-10-22T19:45:43Z</dcterms:modified>
</cp:coreProperties>
</file>